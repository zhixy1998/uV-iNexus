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eg" ContentType="image/jpeg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:gc="http://schemas.grapecity.com/office/spreadsheet/2018/main" xmlns="http://schemas.openxmlformats.org/spreadsheetml/2006/main" mc:Ignorable="x15">
  <fileVersion appName="xl" lastEdited="7" lowestEdited="5" rupBuild="26130"/>
  <workbookPr/>
  <bookViews>
    <workbookView xWindow="0" yWindow="0" windowWidth="28800" windowHeight="11010" tabRatio="517" firstSheet="9" activeTab="9"/>
  </bookViews>
  <sheets>
    <sheet name="Report" sheetId="21" state="hidden" r:id="rId2"/>
    <sheet name="基础信息" sheetId="13" state="hidden" r:id="rId3"/>
    <sheet name="测量结果表" sheetId="20" state="hidden" r:id="rId4"/>
    <sheet name="管理表" sheetId="19" state="hidden" r:id="rId5"/>
    <sheet name="对应信息" sheetId="17" state="hidden" r:id="rId6"/>
    <sheet name="仪器状态" sheetId="23" state="hidden" r:id="rId7"/>
    <sheet name="检测项信息" sheetId="14" state="hidden" r:id="rId8"/>
    <sheet name="标准值" sheetId="16" state="hidden" r:id="rId9"/>
    <sheet name="字段对应" sheetId="15" state="hidden" r:id="rId10"/>
    <sheet name="漂移检验" sheetId="11" r:id="rId11"/>
  </sheets>
  <definedNames>
    <definedName name="OLE_LINK10" localSheetId="0">Report!#REF!</definedName>
  </definedNames>
  <calcPr calcId="189999"/>
  <extLst>
    <ext xmlns:x14="http://schemas.microsoft.com/office/spreadsheetml/2009/9/main" uri="{508A625A-C496-44e7-AB3D-5DD9D212655C}">
      <gcWorkbook aFmt="0" aCreateHyperlink="0" excelShortcuts="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<sst xmlns="http://schemas.openxmlformats.org/spreadsheetml/2006/main" uniqueCount="319">
  <si>
    <t>北京普析通用仪器有限责任公司</t>
  </si>
  <si>
    <t>文件编号</t>
  </si>
  <si>
    <t>T600T700系列紫外可见分光光度计整机检验原始记录表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</si>
  <si>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</si>
  <si>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</si>
  <si>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</si>
  <si>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</si>
  <si>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</si>
  <si>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</si>
  <si>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</si>
  <si>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检验结果</t>
  </si>
  <si>
    <t>序号</t>
  </si>
  <si>
    <t>检验项目</t>
  </si>
  <si>
    <t>结果</t>
  </si>
  <si>
    <t>波长段</t>
  </si>
  <si>
    <t>检测工具</t>
  </si>
  <si>
    <t>镨钕滤光片</t>
  </si>
  <si>
    <t>氘灯</t>
  </si>
  <si>
    <t>型号</t>
  </si>
  <si>
    <t>测量点</t>
  </si>
  <si>
    <t>杂散光</t>
  </si>
  <si>
    <t>检验工具</t>
  </si>
  <si>
    <t>220nm</t>
  </si>
  <si>
    <t>碘化钠标准溶液</t>
  </si>
  <si>
    <t>360nm</t>
  </si>
  <si>
    <t>亚硝酸钠标准溶液</t>
  </si>
  <si>
    <t>基线平直度</t>
  </si>
  <si>
    <t>测量值（Abs）</t>
  </si>
  <si>
    <t>基线暗噪声</t>
  </si>
  <si>
    <t>测量值（%）</t>
  </si>
  <si>
    <t>光谱带宽</t>
  </si>
  <si>
    <t>不超过标称光谱带宽的±20%</t>
  </si>
  <si>
    <t>≤0.05%</t>
  </si>
  <si>
    <t>≤0.005%</t>
  </si>
  <si>
    <t>≤0.1%</t>
  </si>
  <si>
    <t>≤0.02%</t>
  </si>
  <si>
    <t>漂移</t>
  </si>
  <si>
    <t>电源电压的适应性</t>
  </si>
  <si>
    <t>电压</t>
  </si>
  <si>
    <t>220V</t>
  </si>
  <si>
    <t>242V</t>
  </si>
  <si>
    <t>调压器，数字万用表</t>
  </si>
  <si>
    <t>介电强度</t>
  </si>
  <si>
    <t>无击穿和飞弧现象</t>
  </si>
  <si>
    <t>检验工具：耐压测试仪</t>
  </si>
  <si>
    <t>接触电流</t>
  </si>
  <si>
    <t>检验工具：泄漏电流测试仪</t>
  </si>
  <si>
    <t>保护接地</t>
  </si>
  <si>
    <t>≤0.1Ω</t>
  </si>
  <si>
    <t>检验工具：程控接地电阻测试仪</t>
  </si>
  <si>
    <t>测量值（Ω）</t>
  </si>
  <si>
    <t>绝缘电阻</t>
  </si>
  <si>
    <t>检验工具：绝缘电阻测试仪</t>
  </si>
  <si>
    <t>外观和结构</t>
  </si>
  <si>
    <t>检验结论</t>
  </si>
  <si>
    <t>备注</t>
  </si>
  <si>
    <t>名称</t>
  </si>
  <si>
    <t>特征值</t>
  </si>
  <si>
    <t>标准值</t>
  </si>
  <si>
    <t>是否为光谱扫描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</si>
  <si>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</si>
  <si>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</si>
  <si>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</si>
  <si>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</si>
  <si>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</si>
  <si>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</si>
  <si>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</si>
  <si>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增益</t>
  </si>
  <si>
    <t>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</si>
  <si>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</si>
  <si>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</si>
  <si>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</si>
  <si>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</si>
  <si>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</si>
  <si>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</si>
  <si>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</si>
  <si>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</si>
  <si>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</si>
  <si>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Es</t>
  </si>
  <si>
    <t>中速</t>
  </si>
  <si>
    <t>739.2,,807.4</t>
  </si>
  <si>
    <t>Er</t>
  </si>
  <si>
    <t>快速</t>
  </si>
  <si>
    <t>10%中性滤光片</t>
  </si>
  <si>
    <t>635.0,546.0,440.0</t>
  </si>
  <si>
    <t>R%</t>
  </si>
  <si>
    <t>极快</t>
  </si>
  <si>
    <t>20%中性滤光片</t>
  </si>
  <si>
    <t>635.0,546.0,440.1</t>
  </si>
  <si>
    <t xml:space="preserve"> </t>
  </si>
  <si>
    <t>30%中性滤光片</t>
  </si>
  <si>
    <t>635.0,546.0,440.2</t>
  </si>
  <si>
    <t>重铬酸钾标准物质</t>
  </si>
  <si>
    <t>22.9,51.3,13.7,18.2</t>
  </si>
  <si>
    <t>碘化钠溶液</t>
  </si>
  <si>
    <t>亚硝酸钠溶液</t>
  </si>
  <si>
    <t>检测类别</t>
  </si>
  <si>
    <t>项目名称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</si>
  <si>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</si>
  <si>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</si>
  <si>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</si>
  <si>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</si>
  <si>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</si>
  <si>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</si>
  <si>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</si>
  <si>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</si>
  <si>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时间间隔</t>
  </si>
  <si>
    <t>扫描个数</t>
  </si>
  <si>
    <t>暗电流物质</t>
  </si>
  <si>
    <t>校零物质</t>
  </si>
  <si>
    <t>测量物质</t>
  </si>
  <si>
    <t>波长示值误差与重复性校验</t>
  </si>
  <si>
    <t>807.4</t>
  </si>
  <si>
    <t>寻峰</t>
  </si>
  <si>
    <t>黑挡块</t>
  </si>
  <si>
    <t>空气</t>
  </si>
  <si>
    <t>656.1</t>
  </si>
  <si>
    <t>透射比示值误差与重复性校验</t>
  </si>
  <si>
    <t/>
  </si>
  <si>
    <t>求平均</t>
  </si>
  <si>
    <t>紫外分光光度计标准物质GBW(E)130066</t>
  </si>
  <si>
    <t>杂散光校验</t>
  </si>
  <si>
    <t>多次测量</t>
  </si>
  <si>
    <t>基线平直度检验</t>
  </si>
  <si>
    <t>求最大偏移量</t>
  </si>
  <si>
    <t>基线暗噪声检验</t>
  </si>
  <si>
    <t>光谱带宽与仪器最小光谱带宽</t>
  </si>
  <si>
    <t>氘灯5.0</t>
  </si>
  <si>
    <t>求半峰宽</t>
  </si>
  <si>
    <t>氘灯2.0</t>
  </si>
  <si>
    <t>氘灯1.0</t>
  </si>
  <si>
    <t>氘灯0.5</t>
  </si>
  <si>
    <t>氘灯0.2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</si>
  <si>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</si>
  <si>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</si>
  <si>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</si>
  <si>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</si>
  <si>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</si>
  <si>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</si>
  <si>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</si>
  <si>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</si>
  <si>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</si>
  <si>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</si>
  <si>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</si>
  <si>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仪器预热1小时之后进行检验</t>
  </si>
  <si>
    <t>求漂移</t>
  </si>
  <si>
    <t>仪器方法标记</t>
  </si>
  <si>
    <t>仪器方法字段</t>
  </si>
  <si>
    <t>算法标记</t>
  </si>
  <si>
    <t>算法字段</t>
  </si>
  <si>
    <t>StartWl</t>
  </si>
  <si>
    <t>Validation.ViewModel.DataStructure.FindPeakAndAverageUVTestTool</t>
  </si>
  <si>
    <t>EndWl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</si>
  <si>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</si>
  <si>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</si>
  <si>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</si>
  <si>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</si>
  <si>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</si>
  <si>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</si>
  <si>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</si>
  <si>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</si>
  <si>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</si>
  <si>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</si>
  <si>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</si>
  <si>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Validation.ViewModel.DataStructure.GetDriftUVTestTool</t>
  </si>
  <si>
    <t>Name</t>
  </si>
  <si>
    <t>PhotoMode</t>
  </si>
  <si>
    <t>ScanWlInterval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</si>
  <si>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</si>
  <si>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</si>
  <si>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</si>
  <si>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</si>
  <si>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</si>
  <si>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</si>
  <si>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</si>
  <si>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</si>
  <si>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</si>
  <si>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</si>
  <si>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波长重复性</t>
  </si>
  <si>
    <t>判定结果</t>
  </si>
  <si>
    <t>635nm</t>
  </si>
  <si>
    <t>546nm</t>
  </si>
  <si>
    <t>440nm</t>
  </si>
  <si>
    <t>350nm</t>
  </si>
  <si>
    <t>313nm</t>
  </si>
  <si>
    <t>257nm</t>
  </si>
  <si>
    <t>235nm</t>
  </si>
  <si>
    <t>测量值（nm）</t>
  </si>
  <si>
    <t>500nm</t>
  </si>
  <si>
    <t>totalcount</t>
  </si>
  <si>
    <t>timeinterval</t>
  </si>
  <si>
    <t>测量波长</t>
  </si>
  <si>
    <t>最大最小值差</t>
  </si>
  <si>
    <t>WlRange</t>
  </si>
  <si>
    <t>灯状态</t>
  </si>
  <si>
    <t>钨灯</t>
  </si>
  <si>
    <t>汞灯</t>
  </si>
  <si>
    <t>钬溶液</t>
  </si>
  <si>
    <t>测试项</t>
  </si>
  <si>
    <t>U1601</t>
  </si>
  <si>
    <t>U1602</t>
  </si>
  <si>
    <t>U1603</t>
  </si>
  <si>
    <t>T600B</t>
  </si>
  <si>
    <t>T700A</t>
  </si>
  <si>
    <t>仪器ID</t>
  </si>
  <si>
    <t>项目编号</t>
  </si>
  <si>
    <t>平均值</t>
  </si>
  <si>
    <t>检验地点</t>
  </si>
  <si>
    <t>温度</t>
  </si>
  <si>
    <t>湿度</t>
  </si>
  <si>
    <t>其他</t>
  </si>
  <si>
    <t>T700S</t>
  </si>
  <si>
    <t>重复性</t>
  </si>
  <si>
    <t>父项目编号</t>
  </si>
  <si>
    <t>父项目名称</t>
  </si>
  <si>
    <t>子项目编号</t>
  </si>
  <si>
    <t>子项目名称</t>
  </si>
  <si>
    <t>可允许误差范围</t>
  </si>
  <si>
    <t>640.79</t>
  </si>
  <si>
    <t>536.86</t>
  </si>
  <si>
    <t>416.57</t>
  </si>
  <si>
    <t>361.12</t>
  </si>
  <si>
    <t>287.52</t>
  </si>
  <si>
    <t>241.12</t>
  </si>
  <si>
    <t>误差值</t>
  </si>
  <si>
    <t>提示</t>
  </si>
  <si>
    <t>2.0</t>
  </si>
  <si>
    <t>1.0</t>
  </si>
  <si>
    <t>响应时间</t>
  </si>
  <si>
    <t>ResponseTime</t>
  </si>
  <si>
    <t>指标要求</t>
  </si>
  <si>
    <t xml:space="preserve">透射比示值误差与
重复性
（紫外区）
</t>
  </si>
  <si>
    <t>透射比示值误差与重复性
(可见区）</t>
  </si>
  <si>
    <t>重复性(nm)</t>
  </si>
  <si>
    <t>误差值(nm)</t>
  </si>
  <si>
    <t>平均值(nm)</t>
  </si>
  <si>
    <t>标准值(nm)</t>
  </si>
  <si>
    <t xml:space="preserve">
波长示值误差
钬溶液：
±0.3nm
波长重复性
≤0.1nm </t>
  </si>
  <si>
    <t xml:space="preserve">波长示值误差与重复性
</t>
  </si>
  <si>
    <t>波长示值误差与重复性</t>
  </si>
  <si>
    <t>5.0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</si>
  <si>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</si>
  <si>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</si>
  <si>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 xml:space="preserve">  有 □        无 □</t>
  </si>
  <si>
    <t>198V</t>
  </si>
  <si>
    <t>温度(℃)</t>
  </si>
  <si>
    <t>相对湿度(%)</t>
  </si>
  <si>
    <t xml:space="preserve">
波长示值误差
氘灯：
±0.1nm
镨钕：
±0.3nm
波长重复性
≤0.1nm 
</t>
  </si>
  <si>
    <t>B段</t>
  </si>
  <si>
    <t>测量值(nm)</t>
  </si>
  <si>
    <t>10%中性滤光片、20%中性滤光片、30%中性滤光片
（以标定的标准值为准）</t>
  </si>
  <si>
    <t>标准值(%)</t>
  </si>
  <si>
    <t>测量值(%)</t>
  </si>
  <si>
    <t>平均值(%)</t>
  </si>
  <si>
    <t>误差值(%)</t>
  </si>
  <si>
    <t>重复性(%)</t>
  </si>
  <si>
    <t>标准值（%）</t>
  </si>
  <si>
    <t>&lt;0.01%</t>
  </si>
  <si>
    <t>≤±0.1%</t>
  </si>
  <si>
    <t>光谱带宽（nm）</t>
  </si>
  <si>
    <t>偏差（%）</t>
  </si>
  <si>
    <t>噪声500nm</t>
  </si>
  <si>
    <t>噪声250nm</t>
  </si>
  <si>
    <t>±0.2%</t>
  </si>
  <si>
    <t>500nm测量值（%）</t>
  </si>
  <si>
    <t>500nm处的透射比变化（%）</t>
  </si>
  <si>
    <t>250nm测量值（%）</t>
  </si>
  <si>
    <t>250nm处的透射比变化（%）</t>
  </si>
  <si>
    <t>正常条件≤0.5mA</t>
  </si>
  <si>
    <t>测量值（mA）</t>
  </si>
  <si>
    <t>单一故障≤3.5mA</t>
  </si>
  <si>
    <t>≥20MΩ</t>
  </si>
  <si>
    <t>测量值（MΩ）</t>
  </si>
  <si>
    <t>合格 □                 不合格 □</t>
  </si>
  <si>
    <t xml:space="preserve">透射比示值误差
±0.3%
透射比重复性
≤0.1%
</t>
  </si>
  <si>
    <t>透射比示值误差
±0.3%
透射比重复性
≤0.1%</t>
  </si>
  <si>
    <t>边缘噪声
1090 nm</t>
  </si>
  <si>
    <t>边缘噪声200nm</t>
  </si>
  <si>
    <t>测量值
（%）</t>
  </si>
  <si>
    <t>修改标准值时，该仪器对应的模板文件必须未打开，同时修改后光标要在未修改的单元格内！方可保存成功！</t>
  </si>
  <si>
    <t>子项目编号-与检测项信息对应的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</si>
  <si>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</si>
  <si>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</si>
  <si>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</si>
  <si>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</si>
  <si>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</si>
  <si>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</si>
  <si>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</si>
  <si>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仪器id</t>
  </si>
  <si>
    <t>项目</t>
  </si>
  <si>
    <t>能量</t>
  </si>
  <si>
    <t>关灯，增益1下的RSD值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</si>
  <si>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</si>
  <si>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</si>
  <si>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</si>
  <si>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</si>
  <si>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</si>
  <si>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</si>
  <si>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</si>
  <si>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</si>
  <si>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</si>
  <si>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id</t>
  </si>
  <si>
    <t>父id</t>
  </si>
  <si>
    <t>ScanSpeed</t>
  </si>
  <si>
    <t>Gain</t>
  </si>
  <si>
    <t>LampPos</t>
  </si>
  <si>
    <t>U1604</t>
  </si>
  <si>
    <t>U1701</t>
  </si>
  <si>
    <t>U1702</t>
  </si>
  <si>
    <t>U1703</t>
  </si>
  <si>
    <t>U1704</t>
  </si>
  <si>
    <t>T600A</t>
  </si>
  <si>
    <t>T600S</t>
  </si>
  <si>
    <t>T600AS</t>
  </si>
  <si>
    <t>T700B</t>
  </si>
  <si>
    <t>T700AS</t>
  </si>
  <si>
    <t>≤±0.0005（2.0nm光谱带宽）</t>
  </si>
  <si>
    <t>500nm ≤0.1%/h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</si>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</sst>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>
    <numFmt numFmtId="164" formatCode="General"/>
    <numFmt numFmtId="165" formatCode="0.000"/>
    <numFmt numFmtId="166" formatCode="[$-10804]yyyy&quot;年&quot;m&quot;月&quot;d&quot;日&quot;"/>
    <numFmt numFmtId="167" formatCode="0.000_);[Red]\(0.000\)"/>
    <numFmt numFmtId="168" formatCode="0.0000_);[Red]\(0.0000\)"/>
    <numFmt numFmtId="169" formatCode="0.0_);[Red]\(0.0\)"/>
    <numFmt numFmtId="170" formatCode="0.00_);[Red]\(0.00\)"/>
    <numFmt numFmtId="171" formatCode="#,##0"/>
    <numFmt numFmtId="172" formatCode="0.0"/>
    <numFmt numFmtId="173" formatCode="[$-10804]yyyy/m/d h:mm"/>
    <numFmt numFmtId="174" formatCode="0.00_);[Red]\-0.00\ "/>
    <numFmt numFmtId="175" formatCode="#,##0%;-#,##0%"/>
    <numFmt numFmtId="176" formatCode="0.00000"/>
    <numFmt numFmtId="177" formatCode="0.0000"/>
  </numFmts>
  <fonts>
    <font>
      <b val="0"/>
      <i val="0"/>
      <strike val="0"/>
      <condense val="0"/>
      <extend val="0"/>
      <outline val="0"/>
      <shadow val="0"/>
      <u val="none"/>
      <vertAlign val="baseline"/>
      <sz val="11"/>
      <color auto="1"/>
      <name val="宋体"/>
    </font>
    <font/>
    <font/>
    <font>
      <b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8"/>
      <color theme="1"/>
      <name val="黑体"/>
      <family val="3"/>
      <charset val="134"/>
    </font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黑体"/>
      <family val="3"/>
      <charset val="134"/>
    </font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2"/>
      <color theme="1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Times New Roman"/>
      <family val="1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family val="2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黑体"/>
      <family val="3"/>
      <charset val="134"/>
    </font>
    <font>
      <b val="0"/>
      <i val="0"/>
      <strike val="0"/>
      <condense val="0"/>
      <extend val="0"/>
      <outline val="0"/>
      <shadow val="0"/>
      <u val="none"/>
      <vertAlign val="baseline"/>
      <sz val="10"/>
      <color rgb="FF000000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family val="3"/>
      <charset val="134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Times New Roman"/>
      <family val="1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family val="3"/>
      <charset val="134"/>
    </font>
    <font>
      <b val="0"/>
      <i val="0"/>
      <strike val="0"/>
      <condense val="0"/>
      <extend val="0"/>
      <outline val="0"/>
      <shadow val="0"/>
      <u val="none"/>
      <vertAlign val="baseline"/>
      <sz val="12"/>
      <color theme="1"/>
      <name val="黑体"/>
      <family val="3"/>
      <charset val="134"/>
    </font>
  </fonts>
  <fills>
    <fill>
      <patternFill patternType="none"/>
    </fill>
    <fill>
      <patternFill patternType="gray125"/>
    </fill>
    <fill/>
    <fill>
      <patternFill patternType="solid">
        <fgColor theme="4" tint="0.7995849482711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584948271126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C000"/>
        <bgColor indexed="64"/>
      </patternFill>
    </fill>
  </fills>
  <borders>
    <border>
      <left/>
      <right/>
      <top/>
      <bottom/>
      <diagonal/>
    </border>
    <border>
      <left style="thin"/>
      <right style="thin"/>
      <top style="thin"/>
      <bottom style="thin"/>
      <diagonal/>
    </border>
    <border/>
    <border>
      <left style="thin"/>
      <right style="thin"/>
      <top/>
      <bottom/>
      <diagonal/>
    </border>
    <border diagonalUp="0" diagonalDown="0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  <border diagonalUp="0" diagonalDown="0">
      <left style="thin">
        <color rgb="FF000000"/>
      </left>
      <right/>
      <top/>
      <bottom/>
      <diagonal/>
    </border>
    <border diagonalUp="0" diagonalDown="0">
      <left style="thin">
        <color rgb="FF000000"/>
      </left>
      <right/>
      <top/>
      <bottom style="thin">
        <color rgb="FF000000"/>
      </bottom>
      <diagonal/>
    </border>
    <border diagonalUp="0" diagonalDown="0">
      <left/>
      <right style="thin">
        <color rgb="FF000000"/>
      </right>
      <top style="thin">
        <color rgb="FF000000"/>
      </top>
      <bottom/>
      <diagonal/>
    </border>
    <border diagonalUp="0" diagonalDown="0">
      <left/>
      <right style="thin">
        <color rgb="FF000000"/>
      </right>
      <top/>
      <bottom/>
      <diagonal/>
    </border>
    <border diagonalUp="0" diagonalDown="0">
      <left/>
      <right style="thin">
        <color rgb="FF000000"/>
      </right>
      <top/>
      <bottom style="thin">
        <color rgb="FF000000"/>
      </bottom>
      <diagonal/>
    </border>
    <border diagonalUp="0" diagonalDown="0">
      <left/>
      <right/>
      <top style="thin">
        <color rgb="FF000000"/>
      </top>
      <bottom style="thin">
        <color rgb="FF000000"/>
      </bottom>
      <diagonal/>
    </border>
    <border diagonalUp="0" diagonalDown="0">
      <left/>
      <right/>
      <top style="thin">
        <color rgb="FF000000"/>
      </top>
      <bottom/>
      <diagonal/>
    </border>
    <border diagonalUp="0" diagonalDown="0">
      <left/>
      <right/>
      <top/>
      <bottom style="thin">
        <color rgb="FF000000"/>
      </bottom>
      <diagonal/>
    </border>
    <border/>
    <border diagonalUp="0" diagonalDown="0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0" diagonalDown="0">
      <left style="thin">
        <color rgb="FF000000"/>
      </left>
      <right style="thin">
        <color rgb="FF000000"/>
      </right>
      <top/>
      <bottom/>
      <diagonal/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>
      <alignment vertical="top"/>
    </xf>
    <xf numFmtId="164" fontId="10" fillId="0" borderId="0"/>
    <xf numFmtId="164" fontId="13" fillId="0" borderId="0"/>
  </cellStyleXfs>
  <cellXfs count="259"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/>
    <xf numFmtId="0" fontId="18" fillId="0" borderId="16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bottom"/>
    </xf>
    <xf numFmtId="165" fontId="10" fillId="0" borderId="1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/>
    <xf numFmtId="0" fontId="0" fillId="4" borderId="0" xfId="0" applyNumberFormat="1" applyFont="1" applyFill="1" applyBorder="1" applyAlignment="1" applyProtection="1">
      <alignment horizontal="left" vertical="bottom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8" fillId="0" borderId="9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0" fillId="0" borderId="0" xfId="0"/>
    <xf numFmtId="0" fontId="18" fillId="0" borderId="8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18" fillId="0" borderId="4" xfId="0" applyNumberFormat="1" applyFont="1" applyFill="1" applyBorder="1" applyAlignment="1" applyProtection="1">
      <alignment horizontal="center" vertical="center" wrapText="1"/>
    </xf>
    <xf numFmtId="0" fontId="18" fillId="0" borderId="17" xfId="0" applyNumberFormat="1" applyFont="1" applyFill="1" applyBorder="1" applyAlignment="1" applyProtection="1">
      <alignment horizontal="center" vertical="center" wrapText="1"/>
    </xf>
    <xf numFmtId="0" fontId="18" fillId="0" borderId="12" xfId="0" applyNumberFormat="1" applyFont="1" applyFill="1" applyBorder="1" applyAlignment="1" applyProtection="1">
      <alignment horizontal="center" vertical="center" wrapText="1"/>
    </xf>
    <xf numFmtId="165" fontId="10" fillId="0" borderId="9" xfId="0" applyNumberFormat="1" applyFont="1" applyFill="1" applyBorder="1" applyAlignment="1" applyProtection="1">
      <alignment horizontal="center" vertical="center" wrapText="1"/>
    </xf>
    <xf numFmtId="0" fontId="18" fillId="0" borderId="18" xfId="0" applyNumberFormat="1" applyFont="1" applyFill="1" applyBorder="1" applyAlignment="1" applyProtection="1">
      <alignment horizontal="left" vertical="center" wrapText="1"/>
    </xf>
    <xf numFmtId="0" fontId="0" fillId="0" borderId="5" xfId="0" applyNumberFormat="1" applyFont="1" applyFill="1" applyBorder="1" applyAlignment="1" applyProtection="1">
      <alignment horizontal="center" vertical="center" wrapText="1"/>
    </xf>
    <xf numFmtId="2" fontId="18" fillId="0" borderId="11" xfId="0" applyNumberFormat="1" applyFont="1" applyFill="1" applyBorder="1" applyAlignment="1" applyProtection="1">
      <alignment horizontal="center" vertical="center" wrapText="1"/>
    </xf>
    <xf numFmtId="2" fontId="18" fillId="0" borderId="14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ont="1" applyFill="1" applyBorder="1" applyAlignment="1" applyProtection="1"/>
    <xf numFmtId="0" fontId="10" fillId="0" borderId="13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bottom"/>
    </xf>
    <xf numFmtId="166" fontId="10" fillId="0" borderId="0" xfId="0" applyNumberFormat="1" applyFont="1" applyFill="1" applyBorder="1" applyAlignment="1" applyProtection="1"/>
    <xf numFmtId="0" fontId="11" fillId="4" borderId="1" xfId="0" applyNumberFormat="1" applyFont="1" applyFill="1" applyBorder="1" applyAlignment="1" applyProtection="1">
      <alignment horizontal="left" vertical="center" wrapText="1"/>
    </xf>
    <xf numFmtId="0" fontId="19" fillId="6" borderId="1" xfId="0" applyNumberFormat="1" applyFont="1" applyFill="1" applyBorder="1" applyAlignment="1" applyProtection="1">
      <alignment horizontal="center" vertical="center" wrapText="1"/>
    </xf>
    <xf numFmtId="169" fontId="20" fillId="6" borderId="1" xfId="0" applyNumberFormat="1" applyFont="1" applyFill="1" applyBorder="1" applyAlignment="1" applyProtection="1">
      <alignment horizontal="center" vertical="center" wrapText="1"/>
    </xf>
    <xf numFmtId="0" fontId="10" fillId="4" borderId="1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left" vertical="bottom"/>
    </xf>
    <xf numFmtId="0" fontId="11" fillId="6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/>
    <xf numFmtId="167" fontId="20" fillId="6" borderId="1" xfId="0" applyNumberFormat="1" applyFont="1" applyFill="1" applyBorder="1" applyAlignment="1" applyProtection="1">
      <alignment horizontal="center" vertical="center" wrapText="1"/>
    </xf>
    <xf numFmtId="49" fontId="12" fillId="6" borderId="1" xfId="0" applyNumberFormat="1" applyFont="1" applyFill="1" applyBorder="1" applyAlignment="1" applyProtection="1">
      <alignment horizontal="center" vertical="center" wrapText="1"/>
    </xf>
    <xf numFmtId="169" fontId="0" fillId="6" borderId="1" xfId="0" applyNumberFormat="1" applyFont="1" applyFill="1" applyBorder="1" applyAlignment="1" applyProtection="1">
      <alignment horizontal="center" vertical="bottom"/>
    </xf>
    <xf numFmtId="2" fontId="20" fillId="6" borderId="1" xfId="0" applyNumberFormat="1" applyFont="1" applyFill="1" applyBorder="1" applyAlignment="1" applyProtection="1">
      <alignment horizontal="center" vertical="center" wrapText="1"/>
    </xf>
    <xf numFmtId="170" fontId="20" fillId="6" borderId="1" xfId="0" applyNumberFormat="1" applyFont="1" applyFill="1" applyBorder="1" applyAlignment="1" applyProtection="1">
      <alignment horizontal="center" vertical="center" wrapText="1"/>
    </xf>
    <xf numFmtId="169" fontId="0" fillId="6" borderId="1" xfId="0" applyNumberFormat="1" applyFont="1" applyFill="1" applyBorder="1" applyAlignment="1" applyProtection="1">
      <alignment horizontal="center" vertical="center"/>
    </xf>
    <xf numFmtId="168" fontId="0" fillId="6" borderId="1" xfId="0" applyNumberFormat="1" applyFont="1" applyFill="1" applyBorder="1" applyAlignment="1" applyProtection="1">
      <alignment horizontal="center" vertical="bottom"/>
    </xf>
    <xf numFmtId="0" fontId="14" fillId="0" borderId="0" xfId="0" applyNumberFormat="1" applyFont="1" applyFill="1" applyBorder="1" applyAlignment="1" applyProtection="1"/>
    <xf numFmtId="171" fontId="10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bottom"/>
    </xf>
    <xf numFmtId="49" fontId="0" fillId="6" borderId="1" xfId="0" applyNumberFormat="1" applyFont="1" applyFill="1" applyBorder="1" applyAlignment="1" applyProtection="1">
      <alignment horizontal="center" vertical="bottom"/>
    </xf>
    <xf numFmtId="166" fontId="0" fillId="0" borderId="0" xfId="0" applyNumberFormat="1" applyFont="1" applyFill="1" applyBorder="1" applyAlignment="1" applyProtection="1">
      <alignment horizontal="left" vertical="bottom"/>
    </xf>
    <xf numFmtId="0" fontId="0" fillId="4" borderId="0" xfId="0" applyNumberFormat="1" applyFont="1" applyFill="1" applyBorder="1" applyAlignment="1" applyProtection="1">
      <alignment horizontal="left" vertical="center"/>
    </xf>
    <xf numFmtId="170" fontId="19" fillId="6" borderId="1" xfId="0" applyNumberFormat="1" applyFont="1" applyFill="1" applyBorder="1" applyAlignment="1" applyProtection="1">
      <alignment horizontal="center" vertical="center" wrapText="1"/>
    </xf>
    <xf numFmtId="0" fontId="3" fillId="6" borderId="1" xfId="0" applyNumberFormat="1" applyFont="1" applyFill="1" applyBorder="1" applyAlignment="1" applyProtection="1">
      <alignment horizontal="center" vertical="bottom"/>
    </xf>
    <xf numFmtId="170" fontId="0" fillId="6" borderId="1" xfId="0" applyNumberFormat="1" applyFont="1" applyFill="1" applyBorder="1" applyAlignment="1" applyProtection="1">
      <alignment horizontal="center" vertical="bottom"/>
    </xf>
    <xf numFmtId="0" fontId="0" fillId="6" borderId="1" xfId="0" applyNumberFormat="1" applyFont="1" applyFill="1" applyBorder="1" applyAlignment="1" applyProtection="1">
      <alignment horizontal="center" vertical="center"/>
    </xf>
    <xf numFmtId="0" fontId="18" fillId="0" borderId="13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bottom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0" fillId="6" borderId="1" xfId="0" applyNumberFormat="1" applyFont="1" applyFill="1" applyBorder="1" applyAlignment="1" applyProtection="1">
      <alignment horizontal="center" vertical="bottom"/>
    </xf>
    <xf numFmtId="175" fontId="10" fillId="0" borderId="16" xfId="0" applyNumberFormat="1" applyFont="1" applyFill="1" applyBorder="1" applyAlignment="1" applyProtection="1">
      <alignment horizontal="center" vertical="center" wrapText="1"/>
    </xf>
    <xf numFmtId="0" fontId="10" fillId="4" borderId="0" xfId="0" applyNumberFormat="1" applyFont="1" applyFill="1" applyBorder="1" applyAlignment="1" applyProtection="1"/>
    <xf numFmtId="0" fontId="18" fillId="0" borderId="14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74" fontId="10" fillId="0" borderId="18" xfId="0" applyNumberFormat="1" applyFont="1" applyFill="1" applyBorder="1" applyAlignment="1" applyProtection="1">
      <alignment horizontal="center" vertical="center" wrapText="1"/>
    </xf>
    <xf numFmtId="0" fontId="18" fillId="0" borderId="16" xfId="0" applyNumberFormat="1" applyFont="1" applyFill="1" applyBorder="1" applyAlignment="1" applyProtection="1">
      <alignment horizontal="center" vertical="center" wrapText="1"/>
    </xf>
    <xf numFmtId="0" fontId="12" fillId="0" borderId="11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0" fillId="5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/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8" borderId="1" xfId="0" applyNumberFormat="1" applyFont="1" applyFill="1" applyBorder="1" applyAlignment="1" applyProtection="1"/>
    <xf numFmtId="49" fontId="0" fillId="0" borderId="1" xfId="0" applyNumberFormat="1" applyFont="1" applyFill="1" applyBorder="1" applyAlignment="1" applyProtection="1">
      <alignment vertical="bottom" wrapText="1"/>
    </xf>
    <xf numFmtId="0" fontId="0" fillId="0" borderId="0" xfId="0"/>
    <xf numFmtId="0" fontId="6" fillId="0" borderId="0" xfId="0" applyNumberFormat="1" applyFont="1" applyFill="1" applyBorder="1" applyAlignment="1" applyProtection="1">
      <alignment vertical="bottom" wrapText="1"/>
    </xf>
    <xf numFmtId="0" fontId="10" fillId="0" borderId="9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bottom" wrapText="1"/>
    </xf>
    <xf numFmtId="49" fontId="7" fillId="0" borderId="1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vertical="bottom" wrapText="1"/>
    </xf>
    <xf numFmtId="0" fontId="10" fillId="0" borderId="8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bottom" wrapText="1"/>
    </xf>
    <xf numFmtId="0" fontId="17" fillId="3" borderId="1" xfId="0" applyNumberFormat="1" applyFont="1" applyFill="1" applyBorder="1" applyAlignment="1" applyProtection="1">
      <alignment horizontal="center" vertical="center" wrapText="1"/>
    </xf>
    <xf numFmtId="0" fontId="0" fillId="0" borderId="5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alignment vertical="bottom" wrapText="1"/>
    </xf>
    <xf numFmtId="0" fontId="10" fillId="0" borderId="12" xfId="0" applyNumberFormat="1" applyFont="1" applyFill="1" applyBorder="1" applyAlignment="1" applyProtection="1">
      <alignment horizontal="center" vertical="center" wrapText="1"/>
    </xf>
    <xf numFmtId="0" fontId="10" fillId="4" borderId="18" xfId="0" applyNumberFormat="1" applyFont="1" applyFill="1" applyBorder="1" applyAlignment="1" applyProtection="1">
      <alignment horizontal="center" vertical="center" wrapText="1"/>
    </xf>
    <xf numFmtId="0" fontId="18" fillId="0" borderId="14" xfId="0" applyNumberFormat="1" applyFont="1" applyFill="1" applyBorder="1" applyAlignment="1" applyProtection="1">
      <alignment horizontal="center" vertical="center"/>
    </xf>
    <xf numFmtId="2" fontId="18" fillId="0" borderId="13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21" fillId="0" borderId="4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0" fillId="0" borderId="0" xfId="0"/>
    <xf numFmtId="0" fontId="20" fillId="0" borderId="18" xfId="0" applyNumberFormat="1" applyFont="1" applyFill="1" applyBorder="1" applyAlignment="1" applyProtection="1">
      <alignment horizontal="center" vertical="center" wrapText="1"/>
    </xf>
    <xf numFmtId="49" fontId="0" fillId="0" borderId="1" xfId="0" applyNumberFormat="1" applyFont="1" applyFill="1" applyBorder="1" applyAlignment="1" applyProtection="1">
      <alignment horizontal="center" vertical="center"/>
    </xf>
    <xf numFmtId="0" fontId="12" fillId="0" borderId="8" xfId="0" applyNumberFormat="1" applyFont="1" applyFill="1" applyBorder="1" applyAlignment="1" applyProtection="1">
      <alignment vertical="center" wrapText="1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170" fontId="10" fillId="0" borderId="9" xfId="0" applyNumberFormat="1" applyFont="1" applyFill="1" applyBorder="1" applyAlignment="1" applyProtection="1">
      <alignment horizontal="center" vertical="center" wrapText="1"/>
    </xf>
    <xf numFmtId="49" fontId="8" fillId="0" borderId="1" xfId="0" applyNumberFormat="1" applyFont="1" applyFill="1" applyBorder="1" applyAlignment="1" applyProtection="1">
      <alignment horizontal="center" vertical="center" wrapText="1"/>
    </xf>
    <xf numFmtId="0" fontId="10" fillId="4" borderId="14" xfId="0" applyNumberFormat="1" applyFont="1" applyFill="1" applyBorder="1" applyAlignment="1" applyProtection="1">
      <alignment horizontal="center" vertical="center" wrapText="1"/>
    </xf>
    <xf numFmtId="170" fontId="10" fillId="0" borderId="11" xfId="0" applyNumberFormat="1" applyFont="1" applyFill="1" applyBorder="1" applyAlignment="1" applyProtection="1">
      <alignment horizontal="center" vertical="center" wrapText="1"/>
    </xf>
    <xf numFmtId="175" fontId="18" fillId="0" borderId="16" xfId="0" applyNumberFormat="1" applyFont="1" applyFill="1" applyBorder="1" applyAlignment="1" applyProtection="1">
      <alignment horizontal="center" vertical="center" wrapText="1"/>
    </xf>
    <xf numFmtId="170" fontId="10" fillId="0" borderId="12" xfId="0" applyNumberFormat="1" applyFont="1" applyFill="1" applyBorder="1" applyAlignment="1" applyProtection="1">
      <alignment horizontal="center" vertical="center" wrapText="1"/>
    </xf>
    <xf numFmtId="2" fontId="18" fillId="0" borderId="9" xfId="0" applyNumberFormat="1" applyFont="1" applyFill="1" applyBorder="1" applyAlignment="1" applyProtection="1">
      <alignment horizontal="center" vertical="center" wrapText="1"/>
    </xf>
    <xf numFmtId="170" fontId="10" fillId="0" borderId="16" xfId="0" applyNumberFormat="1" applyFont="1" applyFill="1" applyBorder="1" applyAlignment="1" applyProtection="1">
      <alignment horizontal="center" vertical="center" wrapText="1"/>
    </xf>
    <xf numFmtId="0" fontId="18" fillId="0" borderId="13" xfId="0" applyNumberFormat="1" applyFont="1" applyFill="1" applyBorder="1" applyAlignment="1" applyProtection="1">
      <alignment horizontal="center" vertical="center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16" fillId="0" borderId="14" xfId="0" applyNumberFormat="1" applyFont="1" applyFill="1" applyBorder="1" applyAlignment="1" applyProtection="1">
      <alignment horizontal="left" vertical="center" wrapText="1"/>
    </xf>
    <xf numFmtId="165" fontId="18" fillId="0" borderId="1" xfId="0" applyNumberFormat="1" applyFont="1" applyFill="1" applyBorder="1" applyAlignment="1" applyProtection="1">
      <alignment horizontal="center" vertical="center" wrapText="1"/>
    </xf>
    <xf numFmtId="0" fontId="16" fillId="0" borderId="7" xfId="0" applyNumberFormat="1" applyFont="1" applyFill="1" applyBorder="1" applyAlignment="1" applyProtection="1">
      <alignment horizontal="left" vertical="center" wrapText="1"/>
    </xf>
    <xf numFmtId="165" fontId="10" fillId="0" borderId="16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3" fillId="6" borderId="4" xfId="0" applyNumberFormat="1" applyFont="1" applyFill="1" applyBorder="1" applyAlignment="1" applyProtection="1">
      <alignment horizontal="center" vertical="center"/>
    </xf>
    <xf numFmtId="0" fontId="12" fillId="0" borderId="10" xfId="0" applyNumberFormat="1" applyFont="1" applyFill="1" applyBorder="1" applyAlignment="1" applyProtection="1">
      <alignment vertical="center" wrapText="1"/>
    </xf>
    <xf numFmtId="0" fontId="0" fillId="0" borderId="1" xfId="0" applyNumberFormat="1" applyFont="1" applyFill="1" applyBorder="1" applyAlignment="1" applyProtection="1">
      <alignment horizontal="left" vertical="bottom"/>
    </xf>
    <xf numFmtId="0" fontId="0" fillId="0" borderId="0" xfId="0"/>
    <xf numFmtId="176" fontId="18" fillId="0" borderId="8" xfId="0" applyNumberFormat="1" applyFont="1" applyFill="1" applyBorder="1" applyAlignment="1" applyProtection="1">
      <alignment horizontal="center" vertical="center" wrapText="1"/>
    </xf>
    <xf numFmtId="0" fontId="18" fillId="0" borderId="18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70" fontId="10" fillId="0" borderId="8" xfId="0" applyNumberFormat="1" applyFont="1" applyFill="1" applyBorder="1" applyAlignment="1" applyProtection="1">
      <alignment horizontal="center" vertical="center" wrapText="1"/>
    </xf>
    <xf numFmtId="0" fontId="16" fillId="0" borderId="8" xfId="0" applyNumberFormat="1" applyFont="1" applyFill="1" applyBorder="1" applyAlignment="1" applyProtection="1">
      <alignment horizontal="left" vertical="center" wrapText="1"/>
    </xf>
    <xf numFmtId="0" fontId="12" fillId="0" borderId="9" xfId="0" applyNumberFormat="1" applyFont="1" applyFill="1" applyBorder="1" applyAlignment="1" applyProtection="1">
      <alignment vertical="center" wrapText="1"/>
    </xf>
    <xf numFmtId="0" fontId="0" fillId="0" borderId="0" xfId="0"/>
    <xf numFmtId="165" fontId="9" fillId="0" borderId="18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65" fontId="9" fillId="0" borderId="16" xfId="0" applyNumberFormat="1" applyFont="1" applyFill="1" applyBorder="1" applyAlignment="1" applyProtection="1">
      <alignment horizontal="center" vertical="center" wrapText="1"/>
    </xf>
    <xf numFmtId="0" fontId="10" fillId="0" borderId="11" xfId="0" applyNumberFormat="1" applyFont="1" applyFill="1" applyBorder="1" applyAlignment="1" applyProtection="1">
      <alignment horizontal="center" vertical="center" wrapText="1"/>
    </xf>
    <xf numFmtId="0" fontId="18" fillId="0" borderId="1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165" fontId="10" fillId="0" borderId="8" xfId="0" applyNumberFormat="1" applyFont="1" applyFill="1" applyBorder="1" applyAlignment="1" applyProtection="1">
      <alignment horizontal="center" vertical="center" wrapText="1"/>
    </xf>
    <xf numFmtId="0" fontId="20" fillId="6" borderId="1" xfId="0" applyNumberFormat="1" applyFont="1" applyFill="1" applyBorder="1" applyAlignment="1" applyProtection="1">
      <alignment horizontal="center" vertical="center" wrapText="1"/>
    </xf>
    <xf numFmtId="0" fontId="21" fillId="0" borderId="4" xfId="0" applyNumberFormat="1" applyFont="1" applyFill="1" applyBorder="1" applyAlignment="1" applyProtection="1">
      <alignment horizontal="center" vertical="center"/>
    </xf>
    <xf numFmtId="0" fontId="0" fillId="0" borderId="0" xfId="0"/>
    <xf numFmtId="2" fontId="18" fillId="0" borderId="18" xfId="0" applyNumberFormat="1" applyFont="1" applyFill="1" applyBorder="1" applyAlignment="1" applyProtection="1">
      <alignment horizontal="center" vertical="center" wrapText="1"/>
    </xf>
    <xf numFmtId="0" fontId="3" fillId="6" borderId="12" xfId="0" applyNumberFormat="1" applyFont="1" applyFill="1" applyBorder="1" applyAlignment="1" applyProtection="1">
      <alignment horizontal="center" vertical="center"/>
    </xf>
    <xf numFmtId="176" fontId="18" fillId="0" borderId="13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bottom"/>
    </xf>
    <xf numFmtId="0" fontId="18" fillId="0" borderId="9" xfId="0" applyNumberFormat="1" applyFont="1" applyFill="1" applyBorder="1" applyAlignment="1" applyProtection="1">
      <alignment horizontal="left" vertical="center" wrapText="1"/>
    </xf>
    <xf numFmtId="0" fontId="18" fillId="0" borderId="11" xfId="0" applyNumberFormat="1" applyFont="1" applyFill="1" applyBorder="1" applyAlignment="1" applyProtection="1">
      <alignment horizontal="left" vertical="center" wrapText="1"/>
    </xf>
    <xf numFmtId="0" fontId="18" fillId="0" borderId="7" xfId="0" applyNumberFormat="1" applyFont="1" applyFill="1" applyBorder="1" applyAlignment="1" applyProtection="1">
      <alignment horizontal="center" vertical="center" wrapText="1"/>
    </xf>
    <xf numFmtId="0" fontId="10" fillId="4" borderId="9" xfId="0" applyNumberFormat="1" applyFont="1" applyFill="1" applyBorder="1" applyAlignment="1" applyProtection="1">
      <alignment horizontal="center" vertical="center" wrapText="1"/>
    </xf>
    <xf numFmtId="0" fontId="15" fillId="0" borderId="4" xfId="0" applyNumberFormat="1" applyFont="1" applyFill="1" applyBorder="1" applyAlignment="1" applyProtection="1">
      <alignment horizontal="center" vertical="center" wrapText="1"/>
    </xf>
    <xf numFmtId="172" fontId="18" fillId="0" borderId="18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10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49" fontId="10" fillId="0" borderId="1" xfId="0" applyNumberFormat="1" applyFont="1" applyFill="1" applyBorder="1" applyAlignment="1" applyProtection="1">
      <alignment horizontal="center" vertical="center"/>
    </xf>
    <xf numFmtId="0" fontId="0" fillId="0" borderId="3" xfId="0" applyNumberFormat="1" applyFont="1" applyFill="1" applyBorder="1" applyAlignment="1" applyProtection="1">
      <alignment horizontal="center" vertical="bottom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0" fillId="4" borderId="1" xfId="0" applyNumberFormat="1" applyFont="1" applyFill="1" applyBorder="1" applyAlignment="1" applyProtection="1"/>
    <xf numFmtId="166" fontId="3" fillId="7" borderId="1" xfId="0" applyNumberFormat="1" applyFont="1" applyFill="1" applyBorder="1" applyAlignment="1" applyProtection="1">
      <alignment horizontal="left" vertical="bottom"/>
    </xf>
    <xf numFmtId="174" fontId="10" fillId="0" borderId="11" xfId="0" applyNumberFormat="1" applyFont="1" applyFill="1" applyBorder="1" applyAlignment="1" applyProtection="1">
      <alignment horizontal="center" vertical="center" wrapText="1"/>
    </xf>
    <xf numFmtId="176" fontId="18" fillId="0" borderId="14" xfId="0" applyNumberFormat="1" applyFont="1" applyFill="1" applyBorder="1" applyAlignment="1" applyProtection="1">
      <alignment horizontal="center" vertical="center" wrapText="1"/>
    </xf>
    <xf numFmtId="176" fontId="18" fillId="0" borderId="9" xfId="0" applyNumberFormat="1" applyFont="1" applyFill="1" applyBorder="1" applyAlignment="1" applyProtection="1">
      <alignment horizontal="center" vertical="center" wrapText="1"/>
    </xf>
    <xf numFmtId="176" fontId="18" fillId="0" borderId="11" xfId="0" applyNumberFormat="1" applyFont="1" applyFill="1" applyBorder="1" applyAlignment="1" applyProtection="1">
      <alignment horizontal="center" vertical="center" wrapText="1"/>
    </xf>
    <xf numFmtId="0" fontId="18" fillId="0" borderId="18" xfId="0" applyNumberFormat="1" applyFont="1" applyFill="1" applyBorder="1" applyAlignment="1" applyProtection="1">
      <alignment horizontal="center" vertical="center"/>
    </xf>
    <xf numFmtId="174" fontId="10" fillId="0" borderId="9" xfId="0" applyNumberFormat="1" applyFont="1" applyFill="1" applyBorder="1" applyAlignment="1" applyProtection="1">
      <alignment horizontal="center" vertical="center" wrapText="1"/>
    </xf>
    <xf numFmtId="177" fontId="10" fillId="4" borderId="11" xfId="0" applyNumberFormat="1" applyFont="1" applyFill="1" applyBorder="1" applyAlignment="1" applyProtection="1">
      <alignment horizontal="center" vertical="center" wrapText="1"/>
    </xf>
    <xf numFmtId="177" fontId="10" fillId="4" borderId="9" xfId="0" applyNumberFormat="1" applyFont="1" applyFill="1" applyBorder="1" applyAlignment="1" applyProtection="1">
      <alignment horizontal="center" vertical="center" wrapText="1"/>
    </xf>
    <xf numFmtId="177" fontId="10" fillId="4" borderId="8" xfId="0" applyNumberFormat="1" applyFont="1" applyFill="1" applyBorder="1" applyAlignment="1" applyProtection="1">
      <alignment horizontal="center" vertical="center" wrapText="1"/>
    </xf>
    <xf numFmtId="175" fontId="10" fillId="0" borderId="18" xfId="0" applyNumberFormat="1" applyFont="1" applyFill="1" applyBorder="1" applyAlignment="1" applyProtection="1">
      <alignment horizontal="center" vertical="center" wrapText="1"/>
    </xf>
    <xf numFmtId="165" fontId="17" fillId="3" borderId="1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vertical="center" wrapText="1"/>
    </xf>
    <xf numFmtId="0" fontId="3" fillId="7" borderId="1" xfId="0" applyNumberFormat="1" applyFont="1" applyFill="1" applyBorder="1" applyAlignment="1" applyProtection="1">
      <alignment horizontal="left" vertical="center"/>
    </xf>
    <xf numFmtId="0" fontId="10" fillId="0" borderId="8" xfId="0" applyNumberFormat="1" applyFont="1" applyFill="1" applyBorder="1" applyAlignment="1" applyProtection="1">
      <alignment horizontal="center" vertical="bottom"/>
    </xf>
    <xf numFmtId="0" fontId="16" fillId="0" borderId="0" xfId="0" applyNumberFormat="1" applyFont="1" applyFill="1" applyBorder="1" applyAlignment="1" applyProtection="1">
      <alignment horizontal="left" vertical="center" wrapText="1"/>
    </xf>
    <xf numFmtId="0" fontId="16" fillId="0" borderId="18" xfId="0" applyNumberFormat="1" applyFont="1" applyFill="1" applyBorder="1" applyAlignment="1" applyProtection="1">
      <alignment horizontal="left" vertical="center" wrapText="1"/>
    </xf>
    <xf numFmtId="0" fontId="10" fillId="4" borderId="11" xfId="0" applyNumberFormat="1" applyFont="1" applyFill="1" applyBorder="1" applyAlignment="1" applyProtection="1">
      <alignment horizontal="center" vertical="center" wrapText="1"/>
    </xf>
    <xf numFmtId="0" fontId="10" fillId="0" borderId="7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/>
    </xf>
    <xf numFmtId="172" fontId="11" fillId="0" borderId="1" xfId="0" applyNumberFormat="1" applyFont="1" applyFill="1" applyBorder="1" applyAlignment="1" applyProtection="1">
      <alignment horizontal="center" vertical="center" wrapText="1"/>
    </xf>
    <xf numFmtId="172" fontId="18" fillId="0" borderId="1" xfId="0" applyNumberFormat="1" applyFont="1" applyFill="1" applyBorder="1" applyAlignment="1" applyProtection="1">
      <alignment horizontal="center" vertical="center" wrapText="1"/>
    </xf>
    <xf numFmtId="170" fontId="10" fillId="0" borderId="4" xfId="0" applyNumberFormat="1" applyFont="1" applyFill="1" applyBorder="1" applyAlignment="1" applyProtection="1">
      <alignment horizontal="center" vertical="center" wrapText="1"/>
    </xf>
    <xf numFmtId="0" fontId="12" fillId="0" borderId="18" xfId="0" applyNumberFormat="1" applyFont="1" applyFill="1" applyBorder="1" applyAlignment="1" applyProtection="1">
      <alignment vertical="center" wrapText="1"/>
    </xf>
    <xf numFmtId="2" fontId="10" fillId="0" borderId="4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74" fontId="10" fillId="0" borderId="4" xfId="0" applyNumberFormat="1" applyFont="1" applyFill="1" applyBorder="1" applyAlignment="1" applyProtection="1">
      <alignment horizontal="center" vertical="center" wrapText="1"/>
    </xf>
    <xf numFmtId="174" fontId="10" fillId="0" borderId="12" xfId="0" applyNumberFormat="1" applyFont="1" applyFill="1" applyBorder="1" applyAlignment="1" applyProtection="1">
      <alignment horizontal="center" vertical="center" wrapText="1"/>
    </xf>
    <xf numFmtId="0" fontId="10" fillId="4" borderId="4" xfId="0" applyNumberFormat="1" applyFont="1" applyFill="1" applyBorder="1" applyAlignment="1" applyProtection="1">
      <alignment horizontal="center" vertical="center" wrapText="1"/>
    </xf>
    <xf numFmtId="2" fontId="10" fillId="0" borderId="9" xfId="0" applyNumberFormat="1" applyFont="1" applyFill="1" applyBorder="1" applyAlignment="1" applyProtection="1">
      <alignment horizontal="center" vertical="center" wrapText="1"/>
    </xf>
    <xf numFmtId="2" fontId="10" fillId="0" borderId="8" xfId="0" applyNumberFormat="1" applyFont="1" applyFill="1" applyBorder="1" applyAlignment="1" applyProtection="1">
      <alignment horizontal="center" vertical="center" wrapText="1"/>
    </xf>
    <xf numFmtId="170" fontId="10" fillId="4" borderId="18" xfId="0" applyNumberFormat="1" applyFont="1" applyFill="1" applyBorder="1" applyAlignment="1" applyProtection="1">
      <alignment horizontal="center" vertical="center" wrapText="1"/>
    </xf>
    <xf numFmtId="165" fontId="18" fillId="0" borderId="4" xfId="0" applyNumberFormat="1" applyFont="1" applyFill="1" applyBorder="1" applyAlignment="1" applyProtection="1">
      <alignment horizontal="center" vertical="center" wrapText="1"/>
    </xf>
    <xf numFmtId="172" fontId="11" fillId="0" borderId="4" xfId="0" applyNumberFormat="1" applyFont="1" applyFill="1" applyBorder="1" applyAlignment="1" applyProtection="1">
      <alignment horizontal="center" vertical="center" wrapText="1"/>
    </xf>
    <xf numFmtId="0" fontId="10" fillId="4" borderId="13" xfId="0" applyNumberFormat="1" applyFont="1" applyFill="1" applyBorder="1" applyAlignment="1" applyProtection="1">
      <alignment horizontal="center" vertical="center" wrapText="1"/>
    </xf>
    <xf numFmtId="0" fontId="21" fillId="0" borderId="18" xfId="0" applyNumberFormat="1" applyFont="1" applyFill="1" applyBorder="1" applyAlignment="1" applyProtection="1">
      <alignment horizontal="center" vertical="center"/>
    </xf>
    <xf numFmtId="170" fontId="10" fillId="4" borderId="4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3" fillId="6" borderId="18" xfId="0" applyNumberFormat="1" applyFont="1" applyFill="1" applyBorder="1" applyAlignment="1" applyProtection="1">
      <alignment horizontal="center" vertical="center"/>
    </xf>
    <xf numFmtId="0" fontId="10" fillId="4" borderId="8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2" fontId="18" fillId="0" borderId="8" xfId="0" applyNumberFormat="1" applyFont="1" applyFill="1" applyBorder="1" applyAlignment="1" applyProtection="1">
      <alignment horizontal="center" vertical="center" wrapText="1"/>
    </xf>
    <xf numFmtId="0" fontId="18" fillId="0" borderId="9" xfId="0" applyNumberFormat="1" applyFont="1" applyFill="1" applyBorder="1" applyAlignment="1" applyProtection="1">
      <alignment horizontal="center" vertical="center"/>
    </xf>
    <xf numFmtId="0" fontId="18" fillId="0" borderId="11" xfId="0" applyNumberFormat="1" applyFont="1" applyFill="1" applyBorder="1" applyAlignment="1" applyProtection="1">
      <alignment horizontal="center" vertical="center"/>
    </xf>
    <xf numFmtId="0" fontId="0" fillId="0" borderId="0" xfId="0"/>
    <xf numFmtId="0" fontId="18" fillId="0" borderId="8" xfId="0" applyNumberFormat="1" applyFont="1" applyFill="1" applyBorder="1" applyAlignment="1" applyProtection="1">
      <alignment horizontal="left" vertical="center" wrapText="1"/>
    </xf>
    <xf numFmtId="0" fontId="10" fillId="0" borderId="9" xfId="0" applyNumberFormat="1" applyFont="1" applyFill="1" applyBorder="1" applyAlignment="1" applyProtection="1">
      <alignment horizontal="center" vertical="bottom"/>
    </xf>
    <xf numFmtId="0" fontId="10" fillId="0" borderId="11" xfId="0" applyNumberFormat="1" applyFont="1" applyFill="1" applyBorder="1" applyAlignment="1" applyProtection="1">
      <alignment horizontal="center" vertical="bottom"/>
    </xf>
    <xf numFmtId="0" fontId="10" fillId="0" borderId="18" xfId="0" applyNumberFormat="1" applyFont="1" applyFill="1" applyBorder="1" applyAlignment="1" applyProtection="1">
      <alignment horizontal="center" vertical="bottom"/>
    </xf>
    <xf numFmtId="170" fontId="10" fillId="0" borderId="18" xfId="0" applyNumberFormat="1" applyFont="1" applyFill="1" applyBorder="1" applyAlignment="1" applyProtection="1">
      <alignment horizontal="center" vertical="center" wrapText="1"/>
    </xf>
    <xf numFmtId="0" fontId="10" fillId="0" borderId="12" xfId="0" applyNumberFormat="1" applyFont="1" applyFill="1" applyBorder="1" applyAlignment="1" applyProtection="1">
      <alignment horizontal="center" vertical="bottom"/>
    </xf>
    <xf numFmtId="0" fontId="16" fillId="0" borderId="13" xfId="0" applyNumberFormat="1" applyFont="1" applyFill="1" applyBorder="1" applyAlignment="1" applyProtection="1">
      <alignment horizontal="left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16" fillId="0" borderId="9" xfId="0" applyNumberFormat="1" applyFont="1" applyFill="1" applyBorder="1" applyAlignment="1" applyProtection="1">
      <alignment horizontal="left" vertical="center" wrapText="1"/>
    </xf>
    <xf numFmtId="0" fontId="16" fillId="0" borderId="10" xfId="0" applyNumberFormat="1" applyFont="1" applyFill="1" applyBorder="1" applyAlignment="1" applyProtection="1">
      <alignment horizontal="left" vertical="center" wrapText="1"/>
    </xf>
    <xf numFmtId="0" fontId="16" fillId="0" borderId="11" xfId="0" applyNumberFormat="1" applyFont="1" applyFill="1" applyBorder="1" applyAlignment="1" applyProtection="1">
      <alignment horizontal="left" vertical="center" wrapText="1"/>
    </xf>
    <xf numFmtId="0" fontId="20" fillId="0" borderId="4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4" fillId="0" borderId="18" xfId="0" applyNumberFormat="1" applyFont="1" applyFill="1" applyBorder="1" applyAlignment="1" applyProtection="1">
      <alignment horizontal="center" vertical="center" wrapText="1"/>
    </xf>
    <xf numFmtId="0" fontId="7" fillId="5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21" fillId="0" borderId="18" xfId="0" applyNumberFormat="1" applyFont="1" applyFill="1" applyBorder="1" applyAlignment="1" applyProtection="1">
      <alignment horizontal="center" vertical="center" wrapText="1"/>
    </xf>
    <xf numFmtId="174" fontId="10" fillId="0" borderId="16" xfId="0" applyNumberFormat="1" applyFont="1" applyFill="1" applyBorder="1" applyAlignment="1" applyProtection="1">
      <alignment horizontal="center" vertical="center" wrapText="1"/>
    </xf>
    <xf numFmtId="0" fontId="12" fillId="0" borderId="7" xfId="0" applyNumberFormat="1" applyFont="1" applyFill="1" applyBorder="1" applyAlignment="1" applyProtection="1">
      <alignment vertical="center" wrapText="1"/>
    </xf>
    <xf numFmtId="0" fontId="0" fillId="0" borderId="0" xfId="0"/>
    <xf numFmtId="0" fontId="0" fillId="0" borderId="0" xfId="0"/>
    <xf numFmtId="2" fontId="10" fillId="4" borderId="4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2" fontId="10" fillId="0" borderId="16" xfId="0" applyNumberFormat="1" applyFont="1" applyFill="1" applyBorder="1" applyAlignment="1" applyProtection="1">
      <alignment horizontal="center" vertical="center" wrapText="1"/>
    </xf>
    <xf numFmtId="2" fontId="10" fillId="4" borderId="18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0" fillId="0" borderId="0" xfId="0"/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5" fillId="0" borderId="18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74" fontId="10" fillId="0" borderId="8" xfId="0" applyNumberFormat="1" applyFont="1" applyFill="1" applyBorder="1" applyAlignment="1" applyProtection="1">
      <alignment horizontal="center" vertical="center" wrapText="1"/>
    </xf>
    <xf numFmtId="0" fontId="0" fillId="5" borderId="5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3" fillId="7" borderId="1" xfId="0" applyNumberFormat="1" applyFont="1" applyFill="1" applyBorder="1" applyAlignment="1" applyProtection="1">
      <alignment horizontal="left" vertical="bottom"/>
    </xf>
    <xf numFmtId="0" fontId="3" fillId="7" borderId="1" xfId="0" applyNumberFormat="1" applyFont="1" applyFill="1" applyBorder="1" applyAlignment="1" applyProtection="1">
      <alignment horizontal="center" vertical="center"/>
    </xf>
    <xf numFmtId="0" fontId="12" fillId="6" borderId="1" xfId="0" applyNumberFormat="1" applyFont="1" applyFill="1" applyBorder="1" applyAlignment="1" applyProtection="1">
      <alignment horizontal="center" vertical="center" wrapText="1"/>
    </xf>
    <xf numFmtId="172" fontId="19" fillId="6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bottom"/>
    </xf>
    <xf numFmtId="173" fontId="0" fillId="0" borderId="1" xfId="0" applyNumberFormat="1" applyFont="1" applyFill="1" applyBorder="1" applyAlignment="1" applyProtection="1">
      <alignment horizontal="left" vertical="bottom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center" vertical="center" wrapText="1"/>
      <protection locked="0" hidden="0"/>
    </xf>
    <xf numFmtId="170" fontId="17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0" fillId="0" borderId="0" xfId="0"/>
    <xf numFmtId="0" fontId="17" fillId="9" borderId="1" xfId="0" applyFont="1" applyFill="1" applyBorder="1" applyAlignment="1" applyProtection="1">
      <alignment horizontal="center" vertical="center" wrapText="1"/>
      <protection locked="0" hidden="0"/>
    </xf>
    <xf numFmtId="0" fontId="0" fillId="0" borderId="0" xfId="0" applyAlignment="1" applyProtection="1">
      <protection locked="0" hidden="0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171" fontId="0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left" vertical="bottom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2" fontId="10" fillId="0" borderId="12" xfId="0" applyNumberFormat="1" applyFont="1" applyFill="1" applyBorder="1" applyAlignment="1" applyProtection="1">
      <alignment horizontal="center" vertical="center" wrapText="1"/>
    </xf>
    <xf numFmtId="0" fontId="15" fillId="0" borderId="18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bottom"/>
    </xf>
    <xf numFmtId="172" fontId="18" fillId="0" borderId="4" xfId="0" applyNumberFormat="1" applyFont="1" applyFill="1" applyBorder="1" applyAlignment="1" applyProtection="1">
      <alignment horizontal="center" vertical="center" wrapText="1"/>
    </xf>
    <xf numFmtId="2" fontId="10" fillId="0" borderId="11" xfId="0" applyNumberFormat="1" applyFont="1" applyFill="1" applyBorder="1" applyAlignment="1" applyProtection="1">
      <alignment horizontal="center" vertical="center" wrapText="1"/>
    </xf>
    <xf numFmtId="0" fontId="18" fillId="0" borderId="8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2" fontId="10" fillId="0" borderId="18" xfId="0" applyNumberFormat="1" applyFont="1" applyFill="1" applyBorder="1" applyAlignment="1" applyProtection="1">
      <alignment horizontal="center" vertical="center" wrapText="1"/>
    </xf>
    <xf numFmtId="177" fontId="10" fillId="4" borderId="18" xfId="0" applyNumberFormat="1" applyFont="1" applyFill="1" applyBorder="1" applyAlignment="1" applyProtection="1">
      <alignment horizontal="center" vertical="center" wrapText="1"/>
    </xf>
    <xf numFmtId="0" fontId="10" fillId="0" borderId="18" xfId="0" applyNumberFormat="1" applyFont="1" applyFill="1" applyBorder="1" applyAlignment="1" applyProtection="1">
      <alignment horizontal="center" vertical="center" wrapText="1"/>
    </xf>
    <xf numFmtId="175" fontId="18" fillId="0" borderId="18" xfId="0" applyNumberFormat="1" applyFont="1" applyFill="1" applyBorder="1" applyAlignment="1" applyProtection="1">
      <alignment horizontal="center" vertical="center" wrapText="1"/>
    </xf>
    <xf numFmtId="165" fontId="10" fillId="0" borderId="18" xfId="0" applyNumberFormat="1" applyFont="1" applyFill="1" applyBorder="1" applyAlignment="1" applyProtection="1">
      <alignment horizontal="center" vertical="center" wrapText="1"/>
    </xf>
    <xf numFmtId="172" fontId="11" fillId="0" borderId="18" xfId="0" applyNumberFormat="1" applyFont="1" applyFill="1" applyBorder="1" applyAlignment="1" applyProtection="1">
      <alignment horizontal="center" vertical="center" wrapText="1"/>
    </xf>
    <xf numFmtId="165" fontId="18" fillId="0" borderId="18" xfId="0" applyNumberFormat="1" applyFont="1" applyFill="1" applyBorder="1" applyAlignment="1" applyProtection="1">
      <alignment horizontal="center" vertical="center" wrapText="1"/>
    </xf>
    <xf numFmtId="176" fontId="18" fillId="0" borderId="18" xfId="0" applyNumberFormat="1" applyFont="1" applyFill="1" applyBorder="1" applyAlignment="1" applyProtection="1">
      <alignment horizontal="center" vertical="center" wrapText="1"/>
    </xf>
  </cellXfs>
  <cellStyles>
    <cellStyle xfId="0" builtinId="0" name="常规"/>
    <cellStyle xfId="1" name="常规 2"/>
    <cellStyle xfId="2" name="常规 3"/>
  </cellStyles>
  <dxfs>
    <dxf/>
    <dxf/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worksheet" Target="worksheets/sheet6.xml" Id="rId7" /><Relationship Type="http://schemas.openxmlformats.org/officeDocument/2006/relationships/worksheet" Target="worksheets/sheet7.xml" Id="rId8" /><Relationship Type="http://schemas.openxmlformats.org/officeDocument/2006/relationships/worksheet" Target="worksheets/sheet8.xml" Id="rId9" /><Relationship Type="http://schemas.openxmlformats.org/officeDocument/2006/relationships/worksheet" Target="worksheets/sheet9.xml" Id="rId10" /><Relationship Type="http://schemas.openxmlformats.org/officeDocument/2006/relationships/worksheet" Target="worksheets/sheet10.xml" Id="rId11" /><Relationship Type="http://schemas.openxmlformats.org/officeDocument/2006/relationships/sharedStrings" Target="sharedStrings.xml" Id="rId12" /><Relationship Type="http://schemas.openxmlformats.org/officeDocument/2006/relationships/styles" Target="styles.xml" Id="rId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xsi="http://www.w3.org/2001/XMLSchema-instance" xmlns:xsd="http://www.w3.org/2001/XMLSchema" xmlns="http://schemas.openxmlformats.org/drawingml/2006/spreadsheetDrawing">
  <twoCellAnchor>
    <from>
      <col>0</col>
      <colOff>19050</colOff>
      <row>0</row>
      <rowOff>57150</rowOff>
    </from>
    <to>
      <col>1</col>
      <colOff>571500</colOff>
      <row>2</row>
      <rowOff>180975</rowOff>
    </to>
    <sp>
      <nvSpPr>
        <cNvPr id="2" name="图片 1"/>
        <cNvSpPr/>
      </nvSpPr>
      <spPr>
        <xfrm xmlns="http://schemas.openxmlformats.org/drawingml/2006/main">
          <off x="19050" y="57150"/>
          <ext cx="962025" cy="638175"/>
        </xfrm>
        <prstGeom xmlns="http://schemas.openxmlformats.org/drawingml/2006/main" prst="rect">
          <avLst/>
        </prstGeom>
        <blipFill xmlns="http://schemas.openxmlformats.org/drawingml/2006/main">
          <blip xmlns:d6p1="http://schemas.openxmlformats.org/officeDocument/2006/relationships" d6p1:embed="rId1"/>
          <stretch>
            <fillRect/>
          </stretch>
        </blipFill>
      </spPr>
      <txBody>
        <bodyPr xmlns="http://schemas.openxmlformats.org/drawingml/2006/main" vertOverflow="clip" horzOverflow="clip" vert="horz" wrap="square" rtlCol="0" anchor="ctr" upright="1"/>
        <lstStyle xmlns="http://schemas.openxmlformats.org/drawingml/2006/main"/>
        <p xmlns="http://schemas.openxmlformats.org/drawingml/2006/main">
          <pPr algn="ctr"/>
          <endParaRPr lang="en-US" sz="825">
            <solidFill>
              <srgbClr val="000000"/>
            </solidFill>
            <latin typeface="Microsoft Sans Serif"/>
          </endParaRPr>
        </p>
      </txBody>
    </sp>
    <clientData fLocksWithSheet="0"/>
  </twoCellAnchor>
  <twoCellAnchor>
    <from>
      <col>0</col>
      <colOff>38100</colOff>
      <row>0</row>
      <rowOff>57150</rowOff>
    </from>
    <to>
      <col>1</col>
      <colOff>571500</colOff>
      <row>2</row>
      <rowOff>180975</rowOff>
    </to>
    <sp>
      <nvSpPr>
        <cNvPr id="3" name="图片 2"/>
        <cNvSpPr/>
      </nvSpPr>
      <spPr>
        <xfrm xmlns="http://schemas.openxmlformats.org/drawingml/2006/main">
          <off x="38100" y="57150"/>
          <ext cx="942975" cy="638175"/>
        </xfrm>
        <prstGeom xmlns="http://schemas.openxmlformats.org/drawingml/2006/main" prst="rect">
          <avLst/>
        </prstGeom>
        <blipFill xmlns="http://schemas.openxmlformats.org/drawingml/2006/main">
          <blip xmlns:d6p1="http://schemas.openxmlformats.org/officeDocument/2006/relationships" d6p1:embed="rId2"/>
          <stretch>
            <fillRect/>
          </stretch>
        </blipFill>
      </spPr>
      <txBody>
        <bodyPr xmlns="http://schemas.openxmlformats.org/drawingml/2006/main" vertOverflow="clip" horzOverflow="clip" vert="horz" wrap="square" rtlCol="0" anchor="ctr" upright="1"/>
        <lstStyle xmlns="http://schemas.openxmlformats.org/drawingml/2006/main"/>
        <p xmlns="http://schemas.openxmlformats.org/drawingml/2006/main">
          <pPr algn="ctr"/>
          <endParaRPr lang="en-US" sz="825">
            <solidFill>
              <srgbClr val="000000"/>
            </solidFill>
            <latin typeface="Microsoft Sans Serif"/>
          </endParaRPr>
        </p>
      </txBody>
    </sp>
    <clientData fLocksWithSheet="0"/>
  </twoCellAnchor>
</wsDr>
</file>

<file path=xl/theme/theme1.xml><?xml version="1.0" encoding="utf-8"?>
<a:theme xmlns:a="http://schemas.openxmlformats.org/drawingml/2006/main" xmlns:gc="http://schemas.grapecity.com/office/spreadsheet/2018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Q111"/>
  <sheetViews>
    <sheetView topLeftCell="A57" workbookViewId="0" zoomScale="70" showGridLines="0" zoomScaleNormal="70" zoomScalePageLayoutView="80">
      <pane topLeftCell="A1"/>
      <selection activeCellId="0" activeCell="A1" sqref="A1"/>
    </sheetView>
  </sheetViews>
  <sheetFormatPr defaultColWidth="9" defaultRowHeight="12" customHeight="1"/>
  <cols>
    <col min="1" max="1" width="5.38" customWidth="1" style="7"/>
    <col min="2" max="2" width="8.75" customWidth="1" style="7"/>
    <col min="3" max="3" width="8.13" customWidth="1" style="7"/>
    <col min="4" max="5" width="8.5" customWidth="1" style="7"/>
    <col min="6" max="6" width="3.38" customWidth="1" style="7"/>
    <col min="7" max="7" width="3.5" customWidth="1" style="7"/>
    <col min="8" max="8" width="7.5" customWidth="1" style="7"/>
    <col min="9" max="9" width="2.75" customWidth="1" style="7"/>
    <col min="10" max="10" width="6.75" customWidth="1" style="7"/>
    <col min="11" max="11" width="7.5" customWidth="1" style="7"/>
    <col min="12" max="12" width="7.75" customWidth="1" style="7"/>
    <col min="13" max="13" width="8.13" customWidth="1" style="7"/>
    <col min="14" max="14" width="4.75" customWidth="1" style="7"/>
    <col min="15" max="15" width="4.63" customWidth="1" style="59"/>
    <col min="16" max="16" width="5.63" customWidth="1" style="7"/>
    <col min="17" max="17" width="20.5" customWidth="1" style="59"/>
    <col min="18" max="16384" width="9" style="7"/>
  </cols>
  <sheetData>
    <row r="1" ht="20.25" customHeight="1">
      <c r="A1" s="170"/>
      <c s="118"/>
      <c s="206" t="s">
        <v>0</v>
      </c>
      <c s="103"/>
      <c s="103"/>
      <c s="103"/>
      <c s="103"/>
      <c s="103"/>
      <c s="103"/>
      <c s="103"/>
      <c s="199"/>
      <c s="209" t="s">
        <v>1</v>
      </c>
      <c s="87"/>
      <c s="245"/>
      <c s="138"/>
      <c r="Q1" s="7"/>
    </row>
    <row r="2" ht="20.25" customHeight="1">
      <c r="A2" s="211"/>
      <c s="110"/>
      <c s="221" t="s">
        <v>2</v>
      </c>
      <c s="145"/>
      <c s="145"/>
      <c s="145"/>
      <c s="145"/>
      <c s="145"/>
      <c s="145"/>
      <c s="145"/>
      <c s="93"/>
      <c s="209" t="s">
        <v>3</v>
      </c>
      <c s="87"/>
      <c s="245"/>
      <c s="138"/>
      <c r="Q2" s="7"/>
    </row>
    <row r="3" ht="20.25" customHeight="1">
      <c r="A3" s="92"/>
      <c s="64"/>
      <c s="200"/>
      <c s="240"/>
      <c s="240"/>
      <c s="240"/>
      <c s="240"/>
      <c s="240"/>
      <c s="240"/>
      <c s="240"/>
      <c s="86"/>
      <c s="182" t="s">
        <v>4</v>
      </c>
      <c s="128"/>
      <c s="90"/>
      <c s="204"/>
      <c r="Q3" s="7"/>
    </row>
    <row r="4" ht="18" customHeight="1">
      <c r="A4" s="253" t="s">
        <v>5</v>
      </c>
      <c s="82"/>
      <c s="68"/>
      <c s="253" t="s">
        <v>6</v>
      </c>
      <c s="68"/>
      <c s="253" t="s">
        <v>7</v>
      </c>
      <c s="82"/>
      <c s="82"/>
      <c s="82"/>
      <c s="82"/>
      <c s="68"/>
      <c s="253" t="s">
        <v>8</v>
      </c>
      <c s="68"/>
      <c s="253" t="s">
        <v>9</v>
      </c>
      <c s="68"/>
      <c s="59"/>
    </row>
    <row r="5" ht="18" customHeight="1">
      <c r="A5" s="253" t="str">
        <f>IFERROR(VLOOKUP(MID(D5,3,5),'对应信息'!A:B,2,0),"")</f>
        <v/>
      </c>
      <c s="82"/>
      <c s="68"/>
      <c s="253"/>
      <c s="68"/>
      <c s="253"/>
      <c s="82"/>
      <c s="82"/>
      <c s="82"/>
      <c s="82"/>
      <c s="68"/>
      <c s="253"/>
      <c s="68"/>
      <c s="253"/>
      <c s="68"/>
      <c s="59"/>
    </row>
    <row r="6" ht="18" customHeight="1">
      <c r="A6" s="253" t="s">
        <v>245</v>
      </c>
      <c s="68"/>
      <c s="253"/>
      <c s="68"/>
      <c s="253" t="s">
        <v>246</v>
      </c>
      <c s="82"/>
      <c s="68"/>
      <c s="195"/>
      <c s="197"/>
      <c s="197"/>
      <c s="133"/>
      <c s="253" t="s">
        <v>10</v>
      </c>
      <c s="68"/>
      <c s="253"/>
      <c s="68"/>
      <c s="59"/>
    </row>
    <row r="7" ht="19.5" customHeight="1">
      <c r="A7" s="220" t="s">
        <v>11</v>
      </c>
      <c s="253" t="s">
        <v>12</v>
      </c>
      <c s="82"/>
      <c s="68"/>
      <c s="253" t="s">
        <v>13</v>
      </c>
      <c s="82"/>
      <c s="82"/>
      <c s="82"/>
      <c s="82"/>
      <c s="82"/>
      <c s="82"/>
      <c s="82"/>
      <c s="82"/>
      <c s="82"/>
      <c s="68"/>
      <c s="59"/>
    </row>
    <row r="8" ht="19.5" customHeight="1">
      <c r="A8" s="253">
        <v>1</v>
      </c>
      <c s="253" t="s">
        <v>239</v>
      </c>
      <c s="253" t="s">
        <v>247</v>
      </c>
      <c s="73"/>
      <c s="253" t="s">
        <v>14</v>
      </c>
      <c s="82"/>
      <c s="68"/>
      <c s="253" t="s">
        <v>248</v>
      </c>
      <c s="82"/>
      <c s="82"/>
      <c s="82"/>
      <c s="82"/>
      <c s="82"/>
      <c s="82"/>
      <c s="68"/>
      <c s="59"/>
    </row>
    <row r="9" ht="19.5" customHeight="1">
      <c r="A9" s="233"/>
      <c s="233"/>
      <c s="165"/>
      <c s="141"/>
      <c s="253" t="s">
        <v>15</v>
      </c>
      <c s="82"/>
      <c s="68"/>
      <c s="253" t="s">
        <v>16</v>
      </c>
      <c s="82"/>
      <c s="68"/>
      <c s="196" t="s">
        <v>17</v>
      </c>
      <c s="169"/>
      <c s="253" t="s">
        <v>17</v>
      </c>
      <c s="82"/>
      <c s="68"/>
      <c s="59"/>
    </row>
    <row r="10" ht="19.5" customHeight="1">
      <c r="A10" s="233"/>
      <c s="233"/>
      <c s="165"/>
      <c s="141"/>
      <c s="253" t="s">
        <v>236</v>
      </c>
      <c s="82"/>
      <c s="68"/>
      <c s="196" t="e">
        <f ref="H10:H16" t="shared" si="0">#REF!</f>
        <v>#REF!</v>
      </c>
      <c s="99"/>
      <c s="169"/>
      <c s="196" t="e">
        <f ref="K10:K16" t="shared" si="1">#REF!</f>
        <v>#REF!</v>
      </c>
      <c s="169"/>
      <c s="196" t="e">
        <f ref="M10:M16" t="shared" si="2">#REF!</f>
        <v>#REF!</v>
      </c>
      <c s="99"/>
      <c s="169"/>
      <c s="59"/>
    </row>
    <row r="11" ht="19.5" customHeight="1">
      <c r="A11" s="233"/>
      <c s="233"/>
      <c s="165"/>
      <c s="141"/>
      <c s="253" t="s">
        <v>249</v>
      </c>
      <c s="25"/>
      <c s="73"/>
      <c s="251" t="e">
        <f t="shared" si="0"/>
        <v>#REF!</v>
      </c>
      <c s="244"/>
      <c s="171"/>
      <c s="251" t="e">
        <f t="shared" si="1"/>
        <v>#REF!</v>
      </c>
      <c s="171"/>
      <c s="251" t="e">
        <f t="shared" si="2"/>
        <v>#REF!</v>
      </c>
      <c s="244"/>
      <c s="171"/>
      <c s="59"/>
    </row>
    <row r="12" ht="19.5" customHeight="1">
      <c r="A12" s="233"/>
      <c s="233"/>
      <c s="165"/>
      <c s="141"/>
      <c s="165"/>
      <c s="9"/>
      <c s="141"/>
      <c s="251" t="e">
        <f t="shared" si="0"/>
        <v>#REF!</v>
      </c>
      <c s="244"/>
      <c s="171"/>
      <c s="251" t="e">
        <f t="shared" si="1"/>
        <v>#REF!</v>
      </c>
      <c s="171"/>
      <c s="251" t="e">
        <f t="shared" si="2"/>
        <v>#REF!</v>
      </c>
      <c s="244"/>
      <c s="171"/>
      <c s="59"/>
    </row>
    <row r="13" ht="19.5" customHeight="1">
      <c r="A13" s="233"/>
      <c s="233"/>
      <c s="165"/>
      <c s="141"/>
      <c s="77"/>
      <c s="11"/>
      <c s="123"/>
      <c s="251" t="e">
        <f t="shared" si="0"/>
        <v>#REF!</v>
      </c>
      <c s="244"/>
      <c s="171"/>
      <c s="251" t="e">
        <f t="shared" si="1"/>
        <v>#REF!</v>
      </c>
      <c s="171"/>
      <c s="251" t="e">
        <f t="shared" si="2"/>
        <v>#REF!</v>
      </c>
      <c s="244"/>
      <c s="171"/>
      <c s="59"/>
    </row>
    <row r="14" ht="19.5" customHeight="1">
      <c r="A14" s="233"/>
      <c s="233"/>
      <c s="165"/>
      <c s="141"/>
      <c s="253" t="s">
        <v>235</v>
      </c>
      <c s="82"/>
      <c s="68"/>
      <c s="251" t="e">
        <f t="shared" si="0"/>
        <v>#REF!</v>
      </c>
      <c s="244"/>
      <c s="171"/>
      <c s="251" t="e">
        <f t="shared" si="1"/>
        <v>#REF!</v>
      </c>
      <c s="171"/>
      <c s="251" t="e">
        <f t="shared" si="2"/>
        <v>#REF!</v>
      </c>
      <c s="244"/>
      <c s="171"/>
      <c s="59"/>
    </row>
    <row r="15" ht="19.5" customHeight="1">
      <c r="A15" s="233"/>
      <c s="233"/>
      <c s="165"/>
      <c s="141"/>
      <c s="253" t="s">
        <v>234</v>
      </c>
      <c s="82"/>
      <c s="68"/>
      <c s="251" t="e">
        <f t="shared" si="0"/>
        <v>#REF!</v>
      </c>
      <c s="244"/>
      <c s="171"/>
      <c s="251" t="e">
        <f t="shared" si="1"/>
        <v>#REF!</v>
      </c>
      <c s="171"/>
      <c s="251" t="e">
        <f t="shared" si="2"/>
        <v>#REF!</v>
      </c>
      <c s="244"/>
      <c s="171"/>
      <c s="59"/>
    </row>
    <row r="16" ht="19.5" customHeight="1">
      <c r="A16" s="233"/>
      <c s="243"/>
      <c s="77"/>
      <c s="123"/>
      <c s="253" t="s">
        <v>233</v>
      </c>
      <c s="82"/>
      <c s="68"/>
      <c s="62" t="e">
        <f t="shared" si="0"/>
        <v>#REF!</v>
      </c>
      <c s="174"/>
      <c s="173"/>
      <c s="251" t="e">
        <f t="shared" si="1"/>
        <v>#REF!</v>
      </c>
      <c s="171"/>
      <c s="62" t="e">
        <f t="shared" si="2"/>
        <v>#REF!</v>
      </c>
      <c s="174"/>
      <c s="173"/>
      <c s="59"/>
    </row>
    <row r="17" ht="19.5" customHeight="1">
      <c r="A17" s="233"/>
      <c s="253" t="s">
        <v>238</v>
      </c>
      <c s="253" t="s">
        <v>237</v>
      </c>
      <c s="73"/>
      <c s="253" t="s">
        <v>15</v>
      </c>
      <c s="82"/>
      <c s="68"/>
      <c s="253" t="s">
        <v>197</v>
      </c>
      <c s="82"/>
      <c s="82"/>
      <c s="82"/>
      <c s="82"/>
      <c s="82"/>
      <c s="82"/>
      <c s="68"/>
      <c s="59"/>
      <c s="7"/>
    </row>
    <row r="18" ht="19.5" customHeight="1">
      <c r="A18" s="233"/>
      <c s="233"/>
      <c s="165"/>
      <c s="141"/>
      <c s="253" t="s">
        <v>236</v>
      </c>
      <c s="25"/>
      <c s="73"/>
      <c s="196" t="e">
        <f>#REF!</f>
        <v>#REF!</v>
      </c>
      <c s="94"/>
      <c s="196" t="e">
        <f>#REF!</f>
        <v>#REF!</v>
      </c>
      <c s="196" t="e">
        <f>#REF!</f>
        <v>#REF!</v>
      </c>
      <c s="196" t="e">
        <f>#REF!</f>
        <v>#REF!</v>
      </c>
      <c s="196" t="e">
        <f>#REF!</f>
        <v>#REF!</v>
      </c>
      <c s="196" t="e">
        <f>#REF!</f>
        <v>#REF!</v>
      </c>
      <c s="94"/>
      <c s="59"/>
      <c s="7"/>
    </row>
    <row r="19" hidden="1" ht="19.5" customHeight="1">
      <c r="A19" s="233"/>
      <c s="233"/>
      <c s="165"/>
      <c s="141"/>
      <c s="77"/>
      <c s="11"/>
      <c s="123"/>
      <c s="116"/>
      <c s="97"/>
      <c s="101"/>
      <c s="101"/>
      <c s="101"/>
      <c s="101"/>
      <c s="116"/>
      <c s="97"/>
      <c s="59"/>
      <c s="7"/>
    </row>
    <row r="20" ht="19.5" customHeight="1">
      <c r="A20" s="233"/>
      <c s="233"/>
      <c s="165"/>
      <c s="141"/>
      <c s="253" t="s">
        <v>187</v>
      </c>
      <c s="25"/>
      <c s="73"/>
      <c s="251" t="e">
        <f>#REF!</f>
        <v>#REF!</v>
      </c>
      <c s="176"/>
      <c s="251" t="e">
        <f>#REF!</f>
        <v>#REF!</v>
      </c>
      <c s="251" t="e">
        <f>#REF!</f>
        <v>#REF!</v>
      </c>
      <c s="251" t="e">
        <f>#REF!</f>
        <v>#REF!</v>
      </c>
      <c s="251" t="e">
        <f>#REF!</f>
        <v>#REF!</v>
      </c>
      <c s="251" t="e">
        <f>#REF!</f>
        <v>#REF!</v>
      </c>
      <c s="176"/>
      <c s="59"/>
      <c s="7"/>
    </row>
    <row r="21" hidden="1" ht="19.5" customHeight="1">
      <c r="A21" s="233"/>
      <c s="233"/>
      <c s="165"/>
      <c s="141"/>
      <c s="165"/>
      <c s="9"/>
      <c s="141"/>
      <c s="177"/>
      <c s="248"/>
      <c s="216"/>
      <c s="216"/>
      <c s="216"/>
      <c s="216"/>
      <c s="177"/>
      <c s="248"/>
      <c s="59"/>
      <c s="7"/>
    </row>
    <row r="22" ht="19.5" customHeight="1">
      <c r="A22" s="233"/>
      <c s="233"/>
      <c s="165"/>
      <c s="141"/>
      <c s="165"/>
      <c s="9"/>
      <c s="141"/>
      <c s="251" t="e">
        <f>#REF!</f>
        <v>#REF!</v>
      </c>
      <c s="176"/>
      <c s="251" t="e">
        <f>#REF!</f>
        <v>#REF!</v>
      </c>
      <c s="251" t="e">
        <f>#REF!</f>
        <v>#REF!</v>
      </c>
      <c s="251" t="e">
        <f>#REF!</f>
        <v>#REF!</v>
      </c>
      <c s="251" t="e">
        <f>#REF!</f>
        <v>#REF!</v>
      </c>
      <c s="251" t="e">
        <f>#REF!</f>
        <v>#REF!</v>
      </c>
      <c s="176"/>
      <c s="59"/>
      <c s="7"/>
    </row>
    <row r="23" hidden="1" ht="19.5" customHeight="1">
      <c r="A23" s="233"/>
      <c s="233"/>
      <c s="165"/>
      <c s="141"/>
      <c s="165"/>
      <c s="9"/>
      <c s="141"/>
      <c s="177"/>
      <c s="248"/>
      <c s="216"/>
      <c s="216"/>
      <c s="216"/>
      <c s="216"/>
      <c s="177"/>
      <c s="248"/>
      <c s="59"/>
      <c s="7"/>
    </row>
    <row r="24" ht="19.5" customHeight="1">
      <c r="A24" s="233"/>
      <c s="233"/>
      <c s="165"/>
      <c s="141"/>
      <c s="165"/>
      <c s="9"/>
      <c s="141"/>
      <c s="251" t="e">
        <f>#REF!</f>
        <v>#REF!</v>
      </c>
      <c s="176"/>
      <c s="251" t="e">
        <f>#REF!</f>
        <v>#REF!</v>
      </c>
      <c s="251" t="e">
        <f>#REF!</f>
        <v>#REF!</v>
      </c>
      <c s="251" t="e">
        <f>#REF!</f>
        <v>#REF!</v>
      </c>
      <c s="251" t="e">
        <f>#REF!</f>
        <v>#REF!</v>
      </c>
      <c s="251" t="e">
        <f>#REF!</f>
        <v>#REF!</v>
      </c>
      <c s="176"/>
      <c s="59"/>
      <c s="7"/>
    </row>
    <row r="25" hidden="1" ht="19.5" customHeight="1">
      <c r="A25" s="233"/>
      <c s="233"/>
      <c s="165"/>
      <c s="141"/>
      <c s="77"/>
      <c s="11"/>
      <c s="123"/>
      <c s="177"/>
      <c s="248"/>
      <c s="216"/>
      <c s="216"/>
      <c s="216"/>
      <c s="216"/>
      <c s="177"/>
      <c s="248"/>
      <c s="59"/>
      <c s="7"/>
    </row>
    <row r="26" ht="19.5" customHeight="1">
      <c r="A26" s="233"/>
      <c s="233"/>
      <c s="165"/>
      <c s="141"/>
      <c s="253" t="s">
        <v>235</v>
      </c>
      <c s="25"/>
      <c s="73"/>
      <c s="251" t="e">
        <f>#REF!</f>
        <v>#REF!</v>
      </c>
      <c s="176"/>
      <c s="251" t="e">
        <f>#REF!</f>
        <v>#REF!</v>
      </c>
      <c s="251" t="e">
        <f>#REF!</f>
        <v>#REF!</v>
      </c>
      <c s="251" t="e">
        <f>#REF!</f>
        <v>#REF!</v>
      </c>
      <c s="251" t="e">
        <f>#REF!</f>
        <v>#REF!</v>
      </c>
      <c s="251" t="e">
        <f>#REF!</f>
        <v>#REF!</v>
      </c>
      <c s="176"/>
      <c s="59"/>
      <c s="7"/>
    </row>
    <row r="27" hidden="1" ht="19.5" customHeight="1">
      <c r="A27" s="233"/>
      <c s="233"/>
      <c s="165"/>
      <c s="141"/>
      <c s="77"/>
      <c s="11"/>
      <c s="123"/>
      <c s="177"/>
      <c s="248"/>
      <c s="216"/>
      <c s="216"/>
      <c s="216"/>
      <c s="216"/>
      <c s="177"/>
      <c s="248"/>
      <c s="59"/>
      <c s="7"/>
    </row>
    <row r="28" ht="19.5" customHeight="1">
      <c r="A28" s="233"/>
      <c s="233"/>
      <c s="165"/>
      <c s="141"/>
      <c s="253" t="s">
        <v>234</v>
      </c>
      <c s="25"/>
      <c s="73"/>
      <c s="251" t="e">
        <f>#REF!</f>
        <v>#REF!</v>
      </c>
      <c s="176"/>
      <c s="251" t="e">
        <f>#REF!</f>
        <v>#REF!</v>
      </c>
      <c s="251" t="e">
        <f>#REF!</f>
        <v>#REF!</v>
      </c>
      <c s="251" t="e">
        <f>#REF!</f>
        <v>#REF!</v>
      </c>
      <c s="251" t="e">
        <f>#REF!</f>
        <v>#REF!</v>
      </c>
      <c s="251" t="e">
        <f>#REF!</f>
        <v>#REF!</v>
      </c>
      <c s="176"/>
      <c s="59"/>
      <c s="7"/>
    </row>
    <row r="29" hidden="1" ht="19.5" customHeight="1">
      <c r="A29" s="233"/>
      <c s="233"/>
      <c s="165"/>
      <c s="141"/>
      <c s="77"/>
      <c s="11"/>
      <c s="123"/>
      <c s="177"/>
      <c s="248"/>
      <c s="216"/>
      <c s="216"/>
      <c s="216"/>
      <c s="216"/>
      <c s="177"/>
      <c s="248"/>
      <c s="59"/>
      <c s="7"/>
    </row>
    <row r="30" ht="19.5" customHeight="1">
      <c r="A30" s="233"/>
      <c s="233"/>
      <c s="165"/>
      <c s="141"/>
      <c s="253" t="s">
        <v>233</v>
      </c>
      <c s="25"/>
      <c s="73"/>
      <c s="62" t="e">
        <f>#REF!</f>
        <v>#REF!</v>
      </c>
      <c s="153"/>
      <c s="62" t="e">
        <f>#REF!</f>
        <v>#REF!</v>
      </c>
      <c s="62" t="e">
        <f>#REF!</f>
        <v>#REF!</v>
      </c>
      <c s="62" t="e">
        <f>#REF!</f>
        <v>#REF!</v>
      </c>
      <c s="62" t="e">
        <f>#REF!</f>
        <v>#REF!</v>
      </c>
      <c s="62" t="e">
        <f>#REF!</f>
        <v>#REF!</v>
      </c>
      <c s="153"/>
      <c s="59"/>
      <c s="7"/>
    </row>
    <row r="31" hidden="1" ht="19.5" customHeight="1">
      <c r="A31" s="243"/>
      <c s="243"/>
      <c s="77"/>
      <c s="123"/>
      <c s="77"/>
      <c s="11"/>
      <c s="123"/>
      <c s="223"/>
      <c s="148"/>
      <c s="210"/>
      <c s="210"/>
      <c s="210"/>
      <c s="210"/>
      <c s="223"/>
      <c s="148"/>
      <c s="59"/>
      <c s="7"/>
    </row>
    <row r="32" ht="19.5" customHeight="1">
      <c r="A32" s="253">
        <v>2</v>
      </c>
      <c s="253" t="s">
        <v>232</v>
      </c>
      <c s="253" t="s">
        <v>274</v>
      </c>
      <c s="73"/>
      <c s="253" t="s">
        <v>15</v>
      </c>
      <c s="25"/>
      <c s="73"/>
      <c s="253" t="s">
        <v>250</v>
      </c>
      <c s="25"/>
      <c s="25"/>
      <c s="25"/>
      <c s="25"/>
      <c s="25"/>
      <c s="25"/>
      <c s="73"/>
      <c s="59"/>
      <c s="7"/>
    </row>
    <row r="33" ht="19.5" customHeight="1">
      <c r="A33" s="233"/>
      <c s="233"/>
      <c s="165"/>
      <c s="141"/>
      <c s="77"/>
      <c s="11"/>
      <c s="123"/>
      <c s="77"/>
      <c s="11"/>
      <c s="11"/>
      <c s="11"/>
      <c s="11"/>
      <c s="11"/>
      <c s="11"/>
      <c s="123"/>
      <c s="59"/>
      <c s="7"/>
    </row>
    <row r="34" ht="19.5" customHeight="1">
      <c r="A34" s="233"/>
      <c s="233"/>
      <c s="165"/>
      <c s="141"/>
      <c s="253" t="s">
        <v>18</v>
      </c>
      <c s="68"/>
      <c s="253" t="s">
        <v>19</v>
      </c>
      <c s="68"/>
      <c s="253" t="e">
        <f ref="I34:I55" t="shared" si="3">#REF!</f>
        <v>#REF!</v>
      </c>
      <c s="82"/>
      <c s="68"/>
      <c s="253" t="e">
        <f ref="L34:L55" t="shared" si="4">#REF!</f>
        <v>#REF!</v>
      </c>
      <c s="68"/>
      <c s="253" t="e">
        <f ref="N34:N55" t="shared" si="5">#REF!</f>
        <v>#REF!</v>
      </c>
      <c s="68"/>
      <c s="59"/>
      <c s="7"/>
    </row>
    <row r="35" ht="19.5" customHeight="1">
      <c r="A35" s="233"/>
      <c s="233"/>
      <c s="165"/>
      <c s="141"/>
      <c s="253" t="s">
        <v>83</v>
      </c>
      <c s="73"/>
      <c s="253" t="s">
        <v>251</v>
      </c>
      <c s="68"/>
      <c s="196" t="e">
        <f t="shared" si="3"/>
        <v>#REF!</v>
      </c>
      <c s="99"/>
      <c s="169"/>
      <c s="196" t="e">
        <f t="shared" si="4"/>
        <v>#REF!</v>
      </c>
      <c s="169"/>
      <c s="196" t="e">
        <f t="shared" si="5"/>
        <v>#REF!</v>
      </c>
      <c s="169"/>
      <c s="59"/>
      <c s="7"/>
    </row>
    <row r="36" ht="19.5" customHeight="1">
      <c r="A36" s="233"/>
      <c s="233"/>
      <c s="165"/>
      <c s="141"/>
      <c s="165"/>
      <c s="141"/>
      <c s="253" t="s">
        <v>252</v>
      </c>
      <c s="73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37" ht="19.5" customHeight="1">
      <c r="A37" s="233"/>
      <c s="233"/>
      <c s="165"/>
      <c s="141"/>
      <c s="165"/>
      <c s="141"/>
      <c s="165"/>
      <c s="141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38" ht="19.5" customHeight="1">
      <c r="A38" s="233"/>
      <c s="233"/>
      <c s="165"/>
      <c s="141"/>
      <c s="165"/>
      <c s="141"/>
      <c s="77"/>
      <c s="123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39" ht="19.5" customHeight="1">
      <c r="A39" s="233"/>
      <c s="233"/>
      <c s="165"/>
      <c s="141"/>
      <c s="165"/>
      <c s="141"/>
      <c s="253" t="s">
        <v>253</v>
      </c>
      <c s="68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40" ht="19.5" customHeight="1">
      <c r="A40" s="233"/>
      <c s="233"/>
      <c s="165"/>
      <c s="141"/>
      <c s="165"/>
      <c s="141"/>
      <c s="253" t="s">
        <v>254</v>
      </c>
      <c s="68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41" ht="19.5" customHeight="1">
      <c r="A41" s="233"/>
      <c s="233"/>
      <c s="165"/>
      <c s="141"/>
      <c s="77"/>
      <c s="123"/>
      <c s="253" t="s">
        <v>255</v>
      </c>
      <c s="68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42" ht="19.5" customHeight="1">
      <c r="A42" s="233"/>
      <c s="233"/>
      <c s="165"/>
      <c s="141"/>
      <c s="253" t="s">
        <v>87</v>
      </c>
      <c s="73"/>
      <c s="253" t="s">
        <v>251</v>
      </c>
      <c s="68"/>
      <c s="196" t="e">
        <f t="shared" si="3"/>
        <v>#REF!</v>
      </c>
      <c s="99"/>
      <c s="169"/>
      <c s="196" t="e">
        <f t="shared" si="4"/>
        <v>#REF!</v>
      </c>
      <c s="169"/>
      <c s="196" t="e">
        <f t="shared" si="5"/>
        <v>#REF!</v>
      </c>
      <c s="169"/>
      <c s="59"/>
      <c s="7"/>
    </row>
    <row r="43" ht="19.5" customHeight="1">
      <c r="A43" s="233"/>
      <c s="233"/>
      <c s="165"/>
      <c s="141"/>
      <c s="165"/>
      <c s="141"/>
      <c s="253" t="s">
        <v>252</v>
      </c>
      <c s="73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44" ht="19.5" customHeight="1">
      <c r="A44" s="233"/>
      <c s="233"/>
      <c s="165"/>
      <c s="141"/>
      <c s="165"/>
      <c s="141"/>
      <c s="165"/>
      <c s="141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45" ht="19.5" customHeight="1">
      <c r="A45" s="233"/>
      <c s="233"/>
      <c s="165"/>
      <c s="141"/>
      <c s="165"/>
      <c s="141"/>
      <c s="77"/>
      <c s="123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46" ht="19.5" customHeight="1">
      <c r="A46" s="233"/>
      <c s="233"/>
      <c s="165"/>
      <c s="141"/>
      <c s="165"/>
      <c s="141"/>
      <c s="253" t="s">
        <v>253</v>
      </c>
      <c s="68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47" ht="19.5" customHeight="1">
      <c r="A47" s="233"/>
      <c s="233"/>
      <c s="165"/>
      <c s="141"/>
      <c s="165"/>
      <c s="141"/>
      <c s="253" t="s">
        <v>254</v>
      </c>
      <c s="68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48" ht="19.5" customHeight="1">
      <c r="A48" s="243"/>
      <c s="243"/>
      <c s="77"/>
      <c s="123"/>
      <c s="77"/>
      <c s="123"/>
      <c s="253" t="s">
        <v>255</v>
      </c>
      <c s="68"/>
      <c s="196" t="e">
        <f t="shared" si="3"/>
        <v>#REF!</v>
      </c>
      <c s="99"/>
      <c s="169"/>
      <c s="251" t="e">
        <f t="shared" si="4"/>
        <v>#REF!</v>
      </c>
      <c s="171"/>
      <c s="196" t="e">
        <f t="shared" si="5"/>
        <v>#REF!</v>
      </c>
      <c s="169"/>
      <c s="59"/>
      <c s="7"/>
    </row>
    <row r="49" ht="19.5" customHeight="1">
      <c r="A49" s="253">
        <v>2</v>
      </c>
      <c s="253" t="s">
        <v>232</v>
      </c>
      <c s="253" t="s">
        <v>275</v>
      </c>
      <c s="73"/>
      <c s="253" t="s">
        <v>90</v>
      </c>
      <c s="73"/>
      <c s="253" t="s">
        <v>251</v>
      </c>
      <c s="68"/>
      <c s="196" t="e">
        <f t="shared" si="3"/>
        <v>#REF!</v>
      </c>
      <c s="99"/>
      <c s="169"/>
      <c s="196" t="e">
        <f t="shared" si="4"/>
        <v>#REF!</v>
      </c>
      <c s="169"/>
      <c s="196" t="e">
        <f t="shared" si="5"/>
        <v>#REF!</v>
      </c>
      <c s="169"/>
      <c s="59"/>
      <c s="7"/>
    </row>
    <row r="50" ht="19.5" customHeight="1">
      <c r="A50" s="233"/>
      <c s="233"/>
      <c s="165"/>
      <c s="141"/>
      <c s="165"/>
      <c s="141"/>
      <c s="253" t="s">
        <v>252</v>
      </c>
      <c s="73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51" ht="19.5" customHeight="1">
      <c r="A51" s="233"/>
      <c s="233"/>
      <c s="165"/>
      <c s="141"/>
      <c s="165"/>
      <c s="141"/>
      <c s="165"/>
      <c s="141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52" ht="19.5" customHeight="1">
      <c r="A52" s="233"/>
      <c s="233"/>
      <c s="165"/>
      <c s="141"/>
      <c s="165"/>
      <c s="141"/>
      <c s="77"/>
      <c s="123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53" ht="19.5" customHeight="1">
      <c r="A53" s="233"/>
      <c s="233"/>
      <c s="165"/>
      <c s="141"/>
      <c s="165"/>
      <c s="141"/>
      <c s="253" t="s">
        <v>253</v>
      </c>
      <c s="68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54" ht="19.5" customHeight="1">
      <c r="A54" s="233"/>
      <c s="233"/>
      <c s="165"/>
      <c s="141"/>
      <c s="165"/>
      <c s="141"/>
      <c s="253" t="s">
        <v>254</v>
      </c>
      <c s="68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55" ht="19.5" customHeight="1">
      <c r="A55" s="243"/>
      <c s="243"/>
      <c s="77"/>
      <c s="123"/>
      <c s="77"/>
      <c s="123"/>
      <c s="253" t="s">
        <v>255</v>
      </c>
      <c s="68"/>
      <c s="251" t="e">
        <f t="shared" si="3"/>
        <v>#REF!</v>
      </c>
      <c s="244"/>
      <c s="171"/>
      <c s="251" t="e">
        <f t="shared" si="4"/>
        <v>#REF!</v>
      </c>
      <c s="171"/>
      <c s="251" t="e">
        <f t="shared" si="5"/>
        <v>#REF!</v>
      </c>
      <c s="171"/>
      <c s="59"/>
      <c s="7"/>
    </row>
    <row r="56" ht="19.5" customHeight="1">
      <c r="A56" s="253">
        <v>3</v>
      </c>
      <c s="253" t="s">
        <v>231</v>
      </c>
      <c s="253" t="s">
        <v>274</v>
      </c>
      <c s="73"/>
      <c s="253" t="s">
        <v>15</v>
      </c>
      <c s="82"/>
      <c s="68"/>
      <c s="253" t="s">
        <v>120</v>
      </c>
      <c s="82"/>
      <c s="82"/>
      <c s="82"/>
      <c s="82"/>
      <c s="82"/>
      <c s="82"/>
      <c s="68"/>
      <c s="59"/>
      <c s="7"/>
    </row>
    <row r="57" ht="19.5" customHeight="1">
      <c r="A57" s="233"/>
      <c s="233"/>
      <c s="165"/>
      <c s="141"/>
      <c s="253" t="s">
        <v>256</v>
      </c>
      <c s="25"/>
      <c s="73"/>
      <c s="253" t="e">
        <f ref="H57:H64" t="shared" si="6">#REF!</f>
        <v>#REF!</v>
      </c>
      <c s="68"/>
      <c s="253" t="e">
        <f ref="J57:J64" t="shared" si="7">#REF!</f>
        <v>#REF!</v>
      </c>
      <c s="68"/>
      <c s="83" t="e">
        <f ref="L57:L64" t="shared" si="8">#REF!</f>
        <v>#REF!</v>
      </c>
      <c s="175"/>
      <c s="83" t="e">
        <f ref="N57:N64" t="shared" si="9">#REF!</f>
        <v>#REF!</v>
      </c>
      <c s="175"/>
      <c s="59"/>
      <c s="7"/>
    </row>
    <row r="58" ht="19.5" customHeight="1">
      <c r="A58" s="233"/>
      <c s="233"/>
      <c s="165"/>
      <c s="141"/>
      <c s="77"/>
      <c s="11"/>
      <c s="123"/>
      <c s="196" t="e">
        <f t="shared" si="6"/>
        <v>#REF!</v>
      </c>
      <c s="169"/>
      <c s="196" t="e">
        <f t="shared" si="7"/>
        <v>#REF!</v>
      </c>
      <c s="169"/>
      <c s="178" t="e">
        <f t="shared" si="8"/>
        <v>#REF!</v>
      </c>
      <c s="183"/>
      <c s="178" t="e">
        <f t="shared" si="9"/>
        <v>#REF!</v>
      </c>
      <c s="183"/>
      <c s="59"/>
      <c s="7"/>
    </row>
    <row r="59" ht="19.5" customHeight="1">
      <c r="A59" s="233"/>
      <c s="233"/>
      <c s="165"/>
      <c s="141"/>
      <c s="253" t="s">
        <v>29</v>
      </c>
      <c s="25"/>
      <c s="73"/>
      <c s="251" t="e">
        <f t="shared" si="6"/>
        <v>#REF!</v>
      </c>
      <c s="171"/>
      <c s="251" t="e">
        <f t="shared" si="7"/>
        <v>#REF!</v>
      </c>
      <c s="171"/>
      <c s="217" t="e">
        <f t="shared" si="8"/>
        <v>#REF!</v>
      </c>
      <c s="214"/>
      <c s="217" t="e">
        <f t="shared" si="9"/>
        <v>#REF!</v>
      </c>
      <c s="214"/>
      <c s="59"/>
      <c s="7"/>
    </row>
    <row r="60" ht="19.5" customHeight="1">
      <c r="A60" s="233"/>
      <c s="233"/>
      <c s="165"/>
      <c s="141"/>
      <c s="165"/>
      <c s="9"/>
      <c s="141"/>
      <c s="251" t="e">
        <f t="shared" si="6"/>
        <v>#REF!</v>
      </c>
      <c s="171"/>
      <c s="251" t="e">
        <f t="shared" si="7"/>
        <v>#REF!</v>
      </c>
      <c s="171"/>
      <c s="217" t="e">
        <f t="shared" si="8"/>
        <v>#REF!</v>
      </c>
      <c s="214"/>
      <c s="217" t="e">
        <f t="shared" si="9"/>
        <v>#REF!</v>
      </c>
      <c s="214"/>
      <c s="59"/>
      <c s="7"/>
    </row>
    <row r="61" ht="19.5" customHeight="1">
      <c r="A61" s="233"/>
      <c s="233"/>
      <c s="165"/>
      <c s="141"/>
      <c s="77"/>
      <c s="11"/>
      <c s="123"/>
      <c s="251" t="e">
        <f t="shared" si="6"/>
        <v>#REF!</v>
      </c>
      <c s="171"/>
      <c s="251" t="e">
        <f t="shared" si="7"/>
        <v>#REF!</v>
      </c>
      <c s="171"/>
      <c s="217" t="e">
        <f t="shared" si="8"/>
        <v>#REF!</v>
      </c>
      <c s="214"/>
      <c s="217" t="e">
        <f t="shared" si="9"/>
        <v>#REF!</v>
      </c>
      <c s="214"/>
      <c s="59"/>
      <c s="7"/>
    </row>
    <row r="62" ht="19.5" customHeight="1">
      <c r="A62" s="233"/>
      <c s="233"/>
      <c s="165"/>
      <c s="141"/>
      <c s="253" t="s">
        <v>253</v>
      </c>
      <c s="82"/>
      <c s="68"/>
      <c s="251" t="e">
        <f t="shared" si="6"/>
        <v>#REF!</v>
      </c>
      <c s="171"/>
      <c s="251" t="e">
        <f t="shared" si="7"/>
        <v>#REF!</v>
      </c>
      <c s="171"/>
      <c s="251" t="e">
        <f t="shared" si="8"/>
        <v>#REF!</v>
      </c>
      <c s="171"/>
      <c s="251" t="e">
        <f t="shared" si="9"/>
        <v>#REF!</v>
      </c>
      <c s="171"/>
      <c s="59"/>
      <c s="7"/>
    </row>
    <row r="63" ht="19.5" customHeight="1">
      <c r="A63" s="233"/>
      <c s="233"/>
      <c s="165"/>
      <c s="141"/>
      <c s="253" t="s">
        <v>254</v>
      </c>
      <c s="82"/>
      <c s="68"/>
      <c s="251" t="e">
        <f t="shared" si="6"/>
        <v>#REF!</v>
      </c>
      <c s="171"/>
      <c s="251" t="e">
        <f t="shared" si="7"/>
        <v>#REF!</v>
      </c>
      <c s="171"/>
      <c s="251" t="e">
        <f t="shared" si="8"/>
        <v>#REF!</v>
      </c>
      <c s="171"/>
      <c s="251" t="e">
        <f t="shared" si="9"/>
        <v>#REF!</v>
      </c>
      <c s="171"/>
      <c s="59"/>
      <c s="7"/>
    </row>
    <row r="64" ht="19.5" customHeight="1">
      <c r="A64" s="243"/>
      <c s="243"/>
      <c s="77"/>
      <c s="123"/>
      <c s="253" t="s">
        <v>255</v>
      </c>
      <c s="82"/>
      <c s="68"/>
      <c s="196" t="e">
        <f t="shared" si="6"/>
        <v>#REF!</v>
      </c>
      <c s="169"/>
      <c s="196" t="e">
        <f t="shared" si="7"/>
        <v>#REF!</v>
      </c>
      <c s="169"/>
      <c s="196" t="e">
        <f t="shared" si="8"/>
        <v>#REF!</v>
      </c>
      <c s="169"/>
      <c s="196" t="e">
        <f t="shared" si="9"/>
        <v>#REF!</v>
      </c>
      <c s="169"/>
      <c s="59"/>
      <c s="7"/>
    </row>
    <row r="65" ht="30" customHeight="1">
      <c r="A65" s="253">
        <v>4</v>
      </c>
      <c s="114" t="s">
        <v>20</v>
      </c>
      <c s="253"/>
      <c s="73"/>
      <c s="114" t="s">
        <v>21</v>
      </c>
      <c s="53"/>
      <c s="10"/>
      <c s="114"/>
      <c s="10"/>
      <c s="253">
        <v>1</v>
      </c>
      <c s="253">
        <v>2</v>
      </c>
      <c s="253">
        <v>3</v>
      </c>
      <c s="83" t="s">
        <v>13</v>
      </c>
      <c s="181"/>
      <c s="137"/>
      <c s="59"/>
      <c s="7"/>
    </row>
    <row r="66" hidden="1" ht="30" customHeight="1">
      <c r="A66" s="233"/>
      <c s="17"/>
      <c s="77"/>
      <c s="123"/>
      <c s="14"/>
      <c s="60"/>
      <c s="124"/>
      <c s="14"/>
      <c s="124"/>
      <c s="243"/>
      <c s="243"/>
      <c s="243"/>
      <c s="186"/>
      <c s="96"/>
      <c s="164"/>
      <c s="59"/>
      <c s="7"/>
    </row>
    <row r="67" ht="30" customHeight="1">
      <c r="A67" s="233"/>
      <c s="17"/>
      <c s="152" t="s">
        <v>22</v>
      </c>
      <c s="253" t="s">
        <v>257</v>
      </c>
      <c s="114" t="s">
        <v>23</v>
      </c>
      <c s="53"/>
      <c s="10"/>
      <c s="253" t="s">
        <v>278</v>
      </c>
      <c s="73"/>
      <c s="120" t="e">
        <f>#REF!</f>
        <v>#REF!</v>
      </c>
      <c s="255" t="e">
        <f>#REF!</f>
        <v>#REF!</v>
      </c>
      <c s="255" t="e">
        <f>#REF!</f>
        <v>#REF!</v>
      </c>
      <c s="83" t="e">
        <f>#REF!</f>
        <v>#REF!</v>
      </c>
      <c s="181"/>
      <c s="137"/>
      <c s="59"/>
      <c s="7"/>
    </row>
    <row r="68" hidden="1" ht="30" customHeight="1">
      <c r="A68" s="233"/>
      <c s="17"/>
      <c s="2"/>
      <c s="243"/>
      <c s="14"/>
      <c s="60"/>
      <c s="124"/>
      <c s="165"/>
      <c s="141"/>
      <c s="122"/>
      <c s="107"/>
      <c s="107"/>
      <c s="186"/>
      <c s="96"/>
      <c s="164"/>
      <c s="59"/>
      <c s="7"/>
    </row>
    <row r="69" ht="30" customHeight="1">
      <c r="A69" s="233"/>
      <c s="17"/>
      <c s="152" t="s">
        <v>24</v>
      </c>
      <c s="253" t="s">
        <v>35</v>
      </c>
      <c s="114" t="s">
        <v>25</v>
      </c>
      <c s="53"/>
      <c s="10"/>
      <c s="165"/>
      <c s="141"/>
      <c s="120" t="e">
        <f>#REF!</f>
        <v>#REF!</v>
      </c>
      <c s="255" t="e">
        <f>#REF!</f>
        <v>#REF!</v>
      </c>
      <c s="255" t="e">
        <f>#REF!</f>
        <v>#REF!</v>
      </c>
      <c s="83" t="e">
        <f>#REF!</f>
        <v>#REF!</v>
      </c>
      <c s="181"/>
      <c s="137"/>
      <c s="59"/>
      <c s="7"/>
    </row>
    <row r="70" hidden="1" ht="30" customHeight="1">
      <c r="A70" s="243"/>
      <c s="63"/>
      <c s="2"/>
      <c s="243"/>
      <c s="14"/>
      <c s="60"/>
      <c s="124"/>
      <c s="77"/>
      <c s="123"/>
      <c s="122"/>
      <c s="107"/>
      <c s="107"/>
      <c s="186"/>
      <c s="96"/>
      <c s="164"/>
      <c s="59"/>
      <c s="7"/>
    </row>
    <row r="71" ht="30" customHeight="1">
      <c r="A71" s="253">
        <v>5</v>
      </c>
      <c s="114" t="s">
        <v>26</v>
      </c>
      <c s="253" t="s">
        <v>316</v>
      </c>
      <c s="25"/>
      <c s="25"/>
      <c s="25"/>
      <c s="73"/>
      <c s="253" t="s">
        <v>27</v>
      </c>
      <c s="25"/>
      <c s="25"/>
      <c s="25"/>
      <c s="73"/>
      <c s="258" t="e">
        <f>#REF!</f>
        <v>#REF!</v>
      </c>
      <c s="132"/>
      <c s="150"/>
      <c s="59"/>
      <c s="7"/>
    </row>
    <row r="72" hidden="1" ht="30" customHeight="1">
      <c r="A72" s="243"/>
      <c s="63"/>
      <c s="77"/>
      <c s="11"/>
      <c s="11"/>
      <c s="11"/>
      <c s="123"/>
      <c s="77"/>
      <c s="11"/>
      <c s="11"/>
      <c s="11"/>
      <c s="123"/>
      <c s="113"/>
      <c s="149"/>
      <c s="151"/>
      <c s="59"/>
      <c s="7"/>
    </row>
    <row r="73" ht="30" customHeight="1">
      <c r="A73" s="114">
        <v>6</v>
      </c>
      <c s="114" t="s">
        <v>28</v>
      </c>
      <c s="253" t="s">
        <v>258</v>
      </c>
      <c s="25"/>
      <c s="25"/>
      <c s="25"/>
      <c s="73"/>
      <c s="253" t="s">
        <v>29</v>
      </c>
      <c s="25"/>
      <c s="25"/>
      <c s="25"/>
      <c s="73"/>
      <c s="130" t="e">
        <f>#REF!</f>
        <v>#REF!</v>
      </c>
      <c s="85"/>
      <c s="100"/>
      <c s="59"/>
      <c s="7"/>
    </row>
    <row r="74" hidden="1" ht="30" customHeight="1">
      <c r="A74" s="63"/>
      <c s="63"/>
      <c s="77"/>
      <c s="11"/>
      <c s="11"/>
      <c s="11"/>
      <c s="123"/>
      <c s="77"/>
      <c s="11"/>
      <c s="11"/>
      <c s="11"/>
      <c s="123"/>
      <c s="188"/>
      <c s="23"/>
      <c s="22"/>
      <c s="59"/>
      <c s="7"/>
    </row>
    <row r="75" ht="30" customHeight="1">
      <c r="A75" s="114">
        <v>7</v>
      </c>
      <c s="114" t="s">
        <v>30</v>
      </c>
      <c s="253" t="s">
        <v>31</v>
      </c>
      <c s="73"/>
      <c s="114" t="s">
        <v>259</v>
      </c>
      <c s="18"/>
      <c s="16"/>
      <c s="168" t="s">
        <v>127</v>
      </c>
      <c s="139" t="s">
        <v>129</v>
      </c>
      <c s="247"/>
      <c s="168" t="s">
        <v>130</v>
      </c>
      <c s="168" t="s">
        <v>131</v>
      </c>
      <c s="168" t="s">
        <v>132</v>
      </c>
      <c s="114"/>
      <c s="10"/>
      <c s="59"/>
      <c s="7"/>
    </row>
    <row r="76" ht="20.25" customHeight="1">
      <c r="A76" s="17"/>
      <c s="17"/>
      <c s="165"/>
      <c s="141"/>
      <c s="114" t="s">
        <v>249</v>
      </c>
      <c s="18"/>
      <c s="16"/>
      <c s="105" t="e">
        <f ref="H76:H78" t="shared" si="10">#REF!</f>
        <v>#REF!</v>
      </c>
      <c s="257" t="e">
        <f ref="I76:I77" t="shared" si="11">#REF!</f>
        <v>#REF!</v>
      </c>
      <c s="179"/>
      <c s="105" t="e">
        <f ref="K76:K77" t="shared" si="12">#REF!</f>
        <v>#REF!</v>
      </c>
      <c s="105" t="e">
        <f ref="L76:L77" t="shared" si="13">#REF!</f>
        <v>#REF!</v>
      </c>
      <c s="105" t="e">
        <f ref="M76:M77" t="shared" si="14">#REF!</f>
        <v>#REF!</v>
      </c>
      <c s="136"/>
      <c s="159"/>
      <c s="59"/>
      <c s="7"/>
    </row>
    <row r="77" ht="20.25" customHeight="1">
      <c r="A77" s="63"/>
      <c s="63"/>
      <c s="77"/>
      <c s="123"/>
      <c s="253" t="s">
        <v>260</v>
      </c>
      <c s="82"/>
      <c s="68"/>
      <c s="167" t="e">
        <f t="shared" si="10"/>
        <v>#REF!</v>
      </c>
      <c s="256" t="e">
        <f t="shared" si="11"/>
        <v>#REF!</v>
      </c>
      <c s="180"/>
      <c s="167" t="e">
        <f t="shared" si="12"/>
        <v>#REF!</v>
      </c>
      <c s="167" t="e">
        <f t="shared" si="13"/>
        <v>#REF!</v>
      </c>
      <c s="167" t="e">
        <f t="shared" si="14"/>
        <v>#REF!</v>
      </c>
      <c s="14"/>
      <c s="124"/>
      <c s="59"/>
      <c s="7"/>
    </row>
    <row r="78" ht="30" customHeight="1">
      <c r="A78" s="114">
        <v>8</v>
      </c>
      <c s="114" t="s">
        <v>261</v>
      </c>
      <c s="157">
        <v>1</v>
      </c>
      <c s="253" t="s">
        <v>32</v>
      </c>
      <c s="114" t="s">
        <v>29</v>
      </c>
      <c s="53"/>
      <c s="10"/>
      <c s="255" t="e">
        <f t="shared" si="10"/>
        <v>#REF!</v>
      </c>
      <c s="19"/>
      <c s="254">
        <v>0</v>
      </c>
      <c s="253" t="s">
        <v>33</v>
      </c>
      <c s="73"/>
      <c s="253" t="s">
        <v>278</v>
      </c>
      <c s="252" t="e">
        <f>#REF!</f>
        <v>#REF!</v>
      </c>
      <c s="155"/>
      <c s="59"/>
      <c s="7"/>
    </row>
    <row r="79" hidden="1" ht="30" customHeight="1">
      <c r="A79" s="17"/>
      <c s="63"/>
      <c s="58"/>
      <c s="243"/>
      <c s="14"/>
      <c s="60"/>
      <c s="124"/>
      <c s="126"/>
      <c s="4"/>
      <c s="98"/>
      <c s="77"/>
      <c s="123"/>
      <c s="243"/>
      <c s="156"/>
      <c s="154"/>
      <c s="59"/>
      <c s="7"/>
    </row>
    <row r="80" ht="30" customHeight="1">
      <c r="A80" s="17"/>
      <c s="114" t="s">
        <v>262</v>
      </c>
      <c s="157">
        <v>1</v>
      </c>
      <c s="253" t="s">
        <v>32</v>
      </c>
      <c s="114" t="s">
        <v>29</v>
      </c>
      <c s="53"/>
      <c s="10"/>
      <c s="255" t="e">
        <f>#REF!</f>
        <v>#REF!</v>
      </c>
      <c s="19"/>
      <c s="254">
        <v>0</v>
      </c>
      <c s="253" t="s">
        <v>33</v>
      </c>
      <c s="73"/>
      <c s="253" t="s">
        <v>278</v>
      </c>
      <c s="252" t="e">
        <f>#REF!</f>
        <v>#REF!</v>
      </c>
      <c s="155"/>
      <c s="59"/>
      <c s="7"/>
    </row>
    <row r="81" hidden="1" ht="30" customHeight="1">
      <c r="A81" s="17"/>
      <c s="63"/>
      <c s="58"/>
      <c s="243"/>
      <c s="14"/>
      <c s="60"/>
      <c s="124"/>
      <c s="126"/>
      <c s="4"/>
      <c s="98"/>
      <c s="77"/>
      <c s="123"/>
      <c s="243"/>
      <c s="156"/>
      <c s="154"/>
      <c s="59"/>
      <c s="7"/>
    </row>
    <row r="82" ht="45" customHeight="1">
      <c r="A82" s="17"/>
      <c s="114" t="s">
        <v>276</v>
      </c>
      <c s="157">
        <v>1</v>
      </c>
      <c s="253" t="s">
        <v>34</v>
      </c>
      <c s="114" t="s">
        <v>29</v>
      </c>
      <c s="53"/>
      <c s="10"/>
      <c s="251" t="e">
        <f>#REF!</f>
        <v>#REF!</v>
      </c>
      <c s="176"/>
      <c s="254">
        <v>0</v>
      </c>
      <c s="253" t="s">
        <v>35</v>
      </c>
      <c s="73"/>
      <c s="253" t="s">
        <v>278</v>
      </c>
      <c s="252" t="e">
        <f>#REF!</f>
        <v>#REF!</v>
      </c>
      <c s="155"/>
      <c s="59"/>
      <c s="7"/>
    </row>
    <row r="83" hidden="1" ht="45" customHeight="1">
      <c r="A83" s="17"/>
      <c s="63"/>
      <c s="58"/>
      <c s="243"/>
      <c s="14"/>
      <c s="60"/>
      <c s="124"/>
      <c s="177"/>
      <c s="248"/>
      <c s="98"/>
      <c s="77"/>
      <c s="123"/>
      <c s="243"/>
      <c s="156"/>
      <c s="154"/>
      <c s="59"/>
      <c s="7"/>
    </row>
    <row r="84" ht="30" customHeight="1">
      <c r="A84" s="17"/>
      <c s="114" t="s">
        <v>277</v>
      </c>
      <c s="157">
        <v>1</v>
      </c>
      <c s="253" t="s">
        <v>34</v>
      </c>
      <c s="114" t="s">
        <v>29</v>
      </c>
      <c s="53"/>
      <c s="10"/>
      <c s="251" t="e">
        <f>#REF!</f>
        <v>#REF!</v>
      </c>
      <c s="176"/>
      <c s="254">
        <v>0</v>
      </c>
      <c s="253" t="s">
        <v>35</v>
      </c>
      <c s="73"/>
      <c s="253" t="s">
        <v>278</v>
      </c>
      <c s="252" t="e">
        <f>#REF!</f>
        <v>#REF!</v>
      </c>
      <c s="155"/>
      <c s="59"/>
      <c s="7"/>
    </row>
    <row r="85" hidden="1" ht="30" customHeight="1">
      <c r="A85" s="63"/>
      <c s="63"/>
      <c s="58"/>
      <c s="243"/>
      <c s="14"/>
      <c s="60"/>
      <c s="124"/>
      <c s="177"/>
      <c s="248"/>
      <c s="98"/>
      <c s="77"/>
      <c s="123"/>
      <c s="243"/>
      <c s="156"/>
      <c s="154"/>
      <c s="59"/>
      <c s="7"/>
    </row>
    <row r="86" ht="24.75" customHeight="1">
      <c r="A86" s="114">
        <v>9</v>
      </c>
      <c s="114" t="s">
        <v>36</v>
      </c>
      <c s="114" t="s">
        <v>317</v>
      </c>
      <c s="53"/>
      <c s="53"/>
      <c s="53"/>
      <c s="10"/>
      <c s="152" t="s">
        <v>29</v>
      </c>
      <c s="102"/>
      <c s="102"/>
      <c s="102"/>
      <c s="189"/>
      <c s="130" t="e">
        <f>'漂移检验'!#REF!</f>
        <v>#REF!</v>
      </c>
      <c s="85"/>
      <c s="100"/>
      <c s="59"/>
      <c s="7"/>
    </row>
    <row r="87" hidden="1" ht="24.75" customHeight="1">
      <c r="A87" s="63"/>
      <c s="63"/>
      <c s="14"/>
      <c s="60"/>
      <c s="60"/>
      <c s="60"/>
      <c s="124"/>
      <c s="249"/>
      <c s="84"/>
      <c s="84"/>
      <c s="84"/>
      <c s="190"/>
      <c s="188"/>
      <c s="23"/>
      <c s="22"/>
      <c s="59"/>
      <c s="7"/>
    </row>
    <row r="88" ht="21.75" customHeight="1">
      <c r="A88" s="114">
        <v>10</v>
      </c>
      <c s="114" t="s">
        <v>37</v>
      </c>
      <c s="114" t="s">
        <v>263</v>
      </c>
      <c s="253" t="s">
        <v>21</v>
      </c>
      <c s="73"/>
      <c s="114" t="s">
        <v>38</v>
      </c>
      <c s="53"/>
      <c s="53"/>
      <c s="53"/>
      <c s="53"/>
      <c s="10"/>
      <c s="253" t="s">
        <v>244</v>
      </c>
      <c s="253" t="s">
        <v>39</v>
      </c>
      <c s="83" t="s">
        <v>40</v>
      </c>
      <c s="137"/>
      <c s="59"/>
      <c s="7"/>
    </row>
    <row r="89" hidden="1" ht="21.75" customHeight="1">
      <c r="A89" s="17"/>
      <c s="17"/>
      <c s="17"/>
      <c s="77"/>
      <c s="123"/>
      <c s="14"/>
      <c s="60"/>
      <c s="60"/>
      <c s="60"/>
      <c s="60"/>
      <c s="124"/>
      <c s="243"/>
      <c s="243"/>
      <c s="186"/>
      <c s="164"/>
      <c s="59"/>
      <c s="7"/>
    </row>
    <row r="90" ht="21.75" customHeight="1">
      <c r="A90" s="17"/>
      <c s="17"/>
      <c s="17"/>
      <c s="253" t="s">
        <v>41</v>
      </c>
      <c s="73"/>
      <c s="114" t="s">
        <v>264</v>
      </c>
      <c s="53"/>
      <c s="53"/>
      <c s="53"/>
      <c s="53"/>
      <c s="10"/>
      <c s="114"/>
      <c s="114"/>
      <c s="114"/>
      <c s="10"/>
      <c s="59"/>
      <c s="7"/>
    </row>
    <row r="91" hidden="1" ht="21.75" customHeight="1">
      <c r="A91" s="17"/>
      <c s="17"/>
      <c s="17"/>
      <c s="165"/>
      <c s="141"/>
      <c s="14"/>
      <c s="60"/>
      <c s="60"/>
      <c s="60"/>
      <c s="60"/>
      <c s="124"/>
      <c s="63"/>
      <c s="63"/>
      <c s="14"/>
      <c s="124"/>
      <c s="59"/>
      <c s="7"/>
    </row>
    <row r="92" ht="21.75" customHeight="1">
      <c r="A92" s="17"/>
      <c s="17"/>
      <c s="17"/>
      <c s="165"/>
      <c s="141"/>
      <c s="114" t="s">
        <v>265</v>
      </c>
      <c s="53"/>
      <c s="53"/>
      <c s="53"/>
      <c s="53"/>
      <c s="10"/>
      <c s="195"/>
      <c s="195"/>
      <c s="195"/>
      <c s="193"/>
      <c s="59"/>
      <c s="7"/>
    </row>
    <row r="93" hidden="1" ht="21.75" customHeight="1">
      <c r="A93" s="17"/>
      <c s="17"/>
      <c s="17"/>
      <c s="165"/>
      <c s="141"/>
      <c s="14"/>
      <c s="60"/>
      <c s="60"/>
      <c s="60"/>
      <c s="60"/>
      <c s="124"/>
      <c s="246"/>
      <c s="246"/>
      <c s="161"/>
      <c s="194"/>
      <c s="59"/>
      <c s="7"/>
    </row>
    <row r="94" ht="21.75" customHeight="1">
      <c r="A94" s="17"/>
      <c s="17"/>
      <c s="17"/>
      <c s="165"/>
      <c s="141"/>
      <c s="114" t="s">
        <v>266</v>
      </c>
      <c s="53"/>
      <c s="53"/>
      <c s="53"/>
      <c s="53"/>
      <c s="10"/>
      <c s="114"/>
      <c s="114"/>
      <c s="114"/>
      <c s="10"/>
      <c s="59"/>
      <c s="7"/>
    </row>
    <row r="95" hidden="1" ht="21.75" customHeight="1">
      <c r="A95" s="17"/>
      <c s="17"/>
      <c s="17"/>
      <c s="165"/>
      <c s="141"/>
      <c s="14"/>
      <c s="60"/>
      <c s="60"/>
      <c s="60"/>
      <c s="60"/>
      <c s="124"/>
      <c s="63"/>
      <c s="63"/>
      <c s="14"/>
      <c s="124"/>
      <c s="59"/>
      <c s="7"/>
    </row>
    <row r="96" ht="21.75" customHeight="1">
      <c r="A96" s="17"/>
      <c s="17"/>
      <c s="17"/>
      <c s="165"/>
      <c s="141"/>
      <c s="114" t="s">
        <v>267</v>
      </c>
      <c s="53"/>
      <c s="53"/>
      <c s="53"/>
      <c s="53"/>
      <c s="10"/>
      <c s="114"/>
      <c s="114"/>
      <c s="114"/>
      <c s="10"/>
      <c s="59"/>
      <c s="7"/>
    </row>
    <row r="97" hidden="1" ht="21.75" customHeight="1">
      <c r="A97" s="63"/>
      <c s="63"/>
      <c s="63"/>
      <c s="77"/>
      <c s="123"/>
      <c s="14"/>
      <c s="60"/>
      <c s="60"/>
      <c s="60"/>
      <c s="60"/>
      <c s="124"/>
      <c s="63"/>
      <c s="63"/>
      <c s="14"/>
      <c s="124"/>
      <c s="59"/>
      <c s="7"/>
    </row>
    <row r="98" ht="30" customHeight="1">
      <c r="A98" s="114">
        <v>11</v>
      </c>
      <c s="114" t="s">
        <v>42</v>
      </c>
      <c s="114" t="s">
        <v>43</v>
      </c>
      <c s="53"/>
      <c s="10"/>
      <c s="114" t="s">
        <v>44</v>
      </c>
      <c s="53"/>
      <c s="53"/>
      <c s="53"/>
      <c s="53"/>
      <c s="10"/>
      <c s="114" t="s">
        <v>243</v>
      </c>
      <c s="53"/>
      <c s="53"/>
      <c s="10"/>
      <c s="59"/>
      <c s="7"/>
    </row>
    <row r="99" hidden="1" ht="30" customHeight="1">
      <c r="A99" s="63"/>
      <c s="63"/>
      <c s="14"/>
      <c s="60"/>
      <c s="124"/>
      <c s="14"/>
      <c s="60"/>
      <c s="60"/>
      <c s="60"/>
      <c s="60"/>
      <c s="124"/>
      <c s="14"/>
      <c s="60"/>
      <c s="60"/>
      <c s="124"/>
      <c s="59"/>
      <c s="7"/>
    </row>
    <row r="100" ht="30" customHeight="1">
      <c r="A100" s="114">
        <v>12</v>
      </c>
      <c s="114" t="s">
        <v>45</v>
      </c>
      <c s="114" t="s">
        <v>268</v>
      </c>
      <c s="18"/>
      <c s="16"/>
      <c s="114" t="s">
        <v>46</v>
      </c>
      <c s="53"/>
      <c s="53"/>
      <c s="53"/>
      <c s="53"/>
      <c s="10"/>
      <c s="114" t="s">
        <v>269</v>
      </c>
      <c s="16"/>
      <c s="114"/>
      <c s="16"/>
      <c s="59"/>
      <c s="7"/>
    </row>
    <row r="101" ht="30" customHeight="1">
      <c r="A101" s="63"/>
      <c s="63"/>
      <c s="114" t="s">
        <v>270</v>
      </c>
      <c s="18"/>
      <c s="16"/>
      <c s="14"/>
      <c s="60"/>
      <c s="60"/>
      <c s="60"/>
      <c s="60"/>
      <c s="124"/>
      <c s="114" t="s">
        <v>269</v>
      </c>
      <c s="16"/>
      <c s="114"/>
      <c s="16"/>
      <c s="59"/>
      <c s="7"/>
    </row>
    <row r="102" ht="30" customHeight="1">
      <c r="A102" s="114">
        <v>13</v>
      </c>
      <c s="114" t="s">
        <v>47</v>
      </c>
      <c s="114" t="s">
        <v>48</v>
      </c>
      <c s="53"/>
      <c s="10"/>
      <c s="114" t="s">
        <v>49</v>
      </c>
      <c s="53"/>
      <c s="53"/>
      <c s="53"/>
      <c s="53"/>
      <c s="10"/>
      <c s="114" t="s">
        <v>50</v>
      </c>
      <c s="10"/>
      <c s="114"/>
      <c s="10"/>
      <c s="59"/>
      <c s="7"/>
    </row>
    <row r="103" hidden="1" ht="30" customHeight="1">
      <c r="A103" s="63"/>
      <c s="63"/>
      <c s="14"/>
      <c s="60"/>
      <c s="124"/>
      <c s="14"/>
      <c s="60"/>
      <c s="60"/>
      <c s="60"/>
      <c s="60"/>
      <c s="124"/>
      <c s="14"/>
      <c s="124"/>
      <c s="14"/>
      <c s="124"/>
      <c s="59"/>
      <c s="7"/>
    </row>
    <row r="104" ht="30" customHeight="1">
      <c r="A104" s="114">
        <v>14</v>
      </c>
      <c s="114" t="s">
        <v>51</v>
      </c>
      <c s="114" t="s">
        <v>271</v>
      </c>
      <c s="53"/>
      <c s="10"/>
      <c s="114" t="s">
        <v>52</v>
      </c>
      <c s="53"/>
      <c s="53"/>
      <c s="53"/>
      <c s="53"/>
      <c s="10"/>
      <c s="114" t="s">
        <v>272</v>
      </c>
      <c s="10"/>
      <c s="114"/>
      <c s="10"/>
      <c s="59"/>
      <c s="7"/>
    </row>
    <row r="105" hidden="1" ht="30" customHeight="1">
      <c r="A105" s="63"/>
      <c s="63"/>
      <c s="14"/>
      <c s="60"/>
      <c s="124"/>
      <c s="14"/>
      <c s="60"/>
      <c s="60"/>
      <c s="60"/>
      <c s="60"/>
      <c s="124"/>
      <c s="14"/>
      <c s="124"/>
      <c s="14"/>
      <c s="124"/>
      <c s="59"/>
      <c s="7"/>
    </row>
    <row r="106" ht="77.25" customHeight="1">
      <c r="A106" s="114">
        <v>15</v>
      </c>
      <c s="253" t="s">
        <v>53</v>
      </c>
      <c s="114" t="s">
        <v>241</v>
      </c>
      <c s="53"/>
      <c s="53"/>
      <c s="53"/>
      <c s="53"/>
      <c s="53"/>
      <c s="53"/>
      <c s="53"/>
      <c s="53"/>
      <c s="53"/>
      <c s="10"/>
      <c s="20" t="s">
        <v>242</v>
      </c>
      <c s="134"/>
      <c s="59"/>
      <c s="7"/>
    </row>
    <row r="107" ht="30" customHeight="1">
      <c r="A107" s="63"/>
      <c s="243"/>
      <c s="14"/>
      <c s="60"/>
      <c s="60"/>
      <c s="60"/>
      <c s="60"/>
      <c s="60"/>
      <c s="60"/>
      <c s="60"/>
      <c s="60"/>
      <c s="60"/>
      <c s="124"/>
      <c s="192"/>
      <c s="135"/>
      <c s="59"/>
      <c s="7"/>
    </row>
    <row r="108" ht="27.75" customHeight="1">
      <c r="A108" s="114" t="s">
        <v>54</v>
      </c>
      <c s="16"/>
      <c s="114" t="s">
        <v>273</v>
      </c>
      <c s="18"/>
      <c s="18"/>
      <c s="18"/>
      <c s="18"/>
      <c s="18"/>
      <c s="18"/>
      <c s="18"/>
      <c s="18"/>
      <c s="18"/>
      <c s="18"/>
      <c s="18"/>
      <c s="16"/>
      <c s="59"/>
      <c s="7"/>
    </row>
    <row r="109" ht="14.25" customHeight="1">
      <c r="A109" s="253" t="s">
        <v>55</v>
      </c>
      <c s="73"/>
      <c s="163" t="s">
        <v>318</v>
      </c>
      <c s="198"/>
      <c s="198"/>
      <c s="198"/>
      <c s="198"/>
      <c s="198"/>
      <c s="198"/>
      <c s="198"/>
      <c s="198"/>
      <c s="198"/>
      <c s="198"/>
      <c s="198"/>
      <c s="201"/>
      <c s="59"/>
      <c s="7"/>
    </row>
    <row r="110" ht="14.25" customHeight="1">
      <c r="A110" s="165"/>
      <c s="141"/>
      <c s="106"/>
      <c s="162"/>
      <c s="162"/>
      <c s="162"/>
      <c s="162"/>
      <c s="162"/>
      <c s="162"/>
      <c s="162"/>
      <c s="162"/>
      <c s="162"/>
      <c s="162"/>
      <c s="162"/>
      <c s="202"/>
      <c s="59"/>
      <c s="7"/>
    </row>
    <row r="111" ht="27" customHeight="1">
      <c r="A111" s="77"/>
      <c s="123"/>
      <c s="117"/>
      <c s="104"/>
      <c s="104"/>
      <c s="104"/>
      <c s="104"/>
      <c s="104"/>
      <c s="104"/>
      <c s="104"/>
      <c s="104"/>
      <c s="104"/>
      <c s="104"/>
      <c s="104"/>
      <c s="203"/>
      <c s="59"/>
      <c s="7"/>
    </row>
  </sheetData>
  <mergeCells>
    <mergeCell ref="H84:I85"/>
    <mergeCell ref="N84:O85"/>
    <mergeCell ref="M84:M85"/>
    <mergeCell ref="K84:L85"/>
    <mergeCell ref="J84:J85"/>
    <mergeCell ref="N82:O83"/>
    <mergeCell ref="M82:M83"/>
    <mergeCell ref="K82:L83"/>
    <mergeCell ref="J82:J83"/>
    <mergeCell ref="H82:I83"/>
    <mergeCell ref="M78:M79"/>
    <mergeCell ref="K78:L79"/>
    <mergeCell ref="H78:I79"/>
    <mergeCell ref="J78:J79"/>
    <mergeCell ref="I77:J77"/>
    <mergeCell ref="E77:G77"/>
    <mergeCell ref="E78:G79"/>
    <mergeCell ref="E80:G81"/>
    <mergeCell ref="E82:G83"/>
    <mergeCell ref="C86:G87"/>
    <mergeCell ref="E84:G85"/>
    <mergeCell ref="N75:O77"/>
    <mergeCell ref="E75:G75"/>
    <mergeCell ref="E76:G76"/>
    <mergeCell ref="I76:J76"/>
    <mergeCell ref="I75:J75"/>
    <mergeCell ref="M73:O74"/>
    <mergeCell ref="M71:O72"/>
    <mergeCell ref="H71:L72"/>
    <mergeCell ref="H73:L74"/>
    <mergeCell ref="H80:I81"/>
    <mergeCell ref="J80:J81"/>
    <mergeCell ref="K80:L81"/>
    <mergeCell ref="N78:O79"/>
    <mergeCell ref="N80:O81"/>
    <mergeCell ref="M80:M81"/>
    <mergeCell ref="C75:D77"/>
    <mergeCell ref="D78:D79"/>
    <mergeCell ref="D80:D81"/>
    <mergeCell ref="C71:G72"/>
    <mergeCell ref="C73:G74"/>
    <mergeCell ref="D82:D83"/>
    <mergeCell ref="C82:C83"/>
    <mergeCell ref="C80:C81"/>
    <mergeCell ref="C78:C79"/>
    <mergeCell ref="B80:B81"/>
    <mergeCell ref="A78:A85"/>
    <mergeCell ref="A86:A87"/>
    <mergeCell ref="A75:A77"/>
    <mergeCell ref="A73:A74"/>
    <mergeCell ref="B73:B74"/>
    <mergeCell ref="B75:B77"/>
    <mergeCell ref="B78:B79"/>
    <mergeCell ref="D84:D85"/>
    <mergeCell ref="C84:C85"/>
    <mergeCell ref="B86:B87"/>
    <mergeCell ref="B84:B85"/>
    <mergeCell ref="B82:B83"/>
    <mergeCell ref="L90:L91"/>
    <mergeCell ref="M90:M91"/>
    <mergeCell ref="N90:O91"/>
    <mergeCell ref="F88:K89"/>
    <mergeCell ref="L88:L89"/>
    <mergeCell ref="M88:M89"/>
    <mergeCell ref="N88:O89"/>
    <mergeCell ref="M86:O87"/>
    <mergeCell ref="H86:L87"/>
    <mergeCell ref="F90:K91"/>
    <mergeCell ref="F92:K93"/>
    <mergeCell ref="F94:K95"/>
    <mergeCell ref="M94:M95"/>
    <mergeCell ref="L94:L95"/>
    <mergeCell ref="M96:M97"/>
    <mergeCell ref="L96:L97"/>
    <mergeCell ref="F96:K97"/>
    <mergeCell ref="B102:B103"/>
    <mergeCell ref="B88:B97"/>
    <mergeCell ref="B98:B99"/>
    <mergeCell ref="B100:B101"/>
    <mergeCell ref="A104:A105"/>
    <mergeCell ref="A102:A103"/>
    <mergeCell ref="A100:A101"/>
    <mergeCell ref="A98:A99"/>
    <mergeCell ref="A88:A97"/>
    <mergeCell ref="D88:E89"/>
    <mergeCell ref="C88:C97"/>
    <mergeCell ref="D90:E97"/>
    <mergeCell ref="C102:E103"/>
    <mergeCell ref="C101:E101"/>
    <mergeCell ref="C100:E100"/>
    <mergeCell ref="C98:E99"/>
    <mergeCell ref="N101:O101"/>
    <mergeCell ref="N102:O103"/>
    <mergeCell ref="N104:O105"/>
    <mergeCell ref="N96:O97"/>
    <mergeCell ref="N100:O100"/>
    <mergeCell ref="N106:O107"/>
    <mergeCell ref="M92:M93"/>
    <mergeCell ref="L92:L93"/>
    <mergeCell ref="N92:O93"/>
    <mergeCell ref="N94:O95"/>
    <mergeCell ref="L104:M105"/>
    <mergeCell ref="L101:M101"/>
    <mergeCell ref="L102:M103"/>
    <mergeCell ref="L98:O99"/>
    <mergeCell ref="L100:M100"/>
    <mergeCell ref="F98:K99"/>
    <mergeCell ref="B104:B105"/>
    <mergeCell ref="C104:E105"/>
    <mergeCell ref="F100:K101"/>
    <mergeCell ref="F102:K103"/>
    <mergeCell ref="F104:K105"/>
    <mergeCell ref="C106:M107"/>
    <mergeCell ref="C108:O108"/>
    <mergeCell ref="C109:O111"/>
    <mergeCell ref="A106:A107"/>
    <mergeCell ref="A109:B111"/>
    <mergeCell ref="A108:B108"/>
    <mergeCell ref="B106:B107"/>
    <mergeCell ref="H17:O17"/>
    <mergeCell ref="E17:G17"/>
    <mergeCell ref="E14:G14"/>
    <mergeCell ref="E15:G15"/>
    <mergeCell ref="E16:G16"/>
    <mergeCell ref="H15:J15"/>
    <mergeCell ref="H14:J14"/>
    <mergeCell ref="H13:J13"/>
    <mergeCell ref="E9:G9"/>
    <mergeCell ref="H12:J12"/>
    <mergeCell ref="H11:J11"/>
    <mergeCell ref="E10:G10"/>
    <mergeCell ref="E11:G13"/>
    <mergeCell ref="B8:B16"/>
    <mergeCell ref="C8:D16"/>
    <mergeCell ref="H16:J16"/>
    <mergeCell ref="K16:L16"/>
    <mergeCell ref="K15:L15"/>
    <mergeCell ref="K10:L10"/>
    <mergeCell ref="K13:L13"/>
    <mergeCell ref="K11:L11"/>
    <mergeCell ref="K12:L12"/>
    <mergeCell ref="K14:L14"/>
    <mergeCell ref="H9:J9"/>
    <mergeCell ref="K9:L9"/>
    <mergeCell ref="H8:O8"/>
    <mergeCell ref="H10:J10"/>
    <mergeCell ref="M16:O16"/>
    <mergeCell ref="M15:O15"/>
    <mergeCell ref="M14:O14"/>
    <mergeCell ref="M9:O9"/>
    <mergeCell ref="M12:O12"/>
    <mergeCell ref="M10:O10"/>
    <mergeCell ref="M11:O11"/>
    <mergeCell ref="M13:O13"/>
    <mergeCell ref="A5:C5"/>
    <mergeCell ref="D5:E5"/>
    <mergeCell ref="F5:K5"/>
    <mergeCell ref="E6:G6"/>
    <mergeCell ref="H6:K6"/>
    <mergeCell ref="C6:D6"/>
    <mergeCell ref="A6:B6"/>
    <mergeCell ref="N5:O5"/>
    <mergeCell ref="L5:M5"/>
    <mergeCell ref="N6:O6"/>
    <mergeCell ref="L6:M6"/>
    <mergeCell ref="B7:D7"/>
    <mergeCell ref="E8:G8"/>
    <mergeCell ref="E7:O7"/>
    <mergeCell ref="A1:B3"/>
    <mergeCell ref="A4:C4"/>
    <mergeCell ref="L3:M3"/>
    <mergeCell ref="L2:M2"/>
    <mergeCell ref="N1:O1"/>
    <mergeCell ref="N2:O2"/>
    <mergeCell ref="N3:O3"/>
    <mergeCell ref="N4:O4"/>
    <mergeCell ref="D4:E4"/>
    <mergeCell ref="F4:K4"/>
    <mergeCell ref="L4:M4"/>
    <mergeCell ref="L1:M1"/>
    <mergeCell ref="C1:K1"/>
    <mergeCell ref="C2:K3"/>
    <mergeCell ref="E49:F55"/>
    <mergeCell ref="A49:A55"/>
    <mergeCell ref="B49:B55"/>
    <mergeCell ref="C49:D55"/>
    <mergeCell ref="E59:G61"/>
    <mergeCell ref="E57:G58"/>
    <mergeCell ref="E56:G56"/>
    <mergeCell ref="G50:H52"/>
    <mergeCell ref="G53:H53"/>
    <mergeCell ref="G54:H54"/>
    <mergeCell ref="G55:H55"/>
    <mergeCell ref="E42:F48"/>
    <mergeCell ref="G42:H42"/>
    <mergeCell ref="G49:H49"/>
    <mergeCell ref="G48:H48"/>
    <mergeCell ref="G47:H47"/>
    <mergeCell ref="G46:H46"/>
    <mergeCell ref="G43:H45"/>
    <mergeCell ref="C67:C68"/>
    <mergeCell ref="D67:D68"/>
    <mergeCell ref="C69:C70"/>
    <mergeCell ref="D69:D70"/>
    <mergeCell ref="E69:G70"/>
    <mergeCell ref="E67:G68"/>
    <mergeCell ref="E65:G66"/>
    <mergeCell ref="E62:G62"/>
    <mergeCell ref="E63:G63"/>
    <mergeCell ref="E64:G64"/>
    <mergeCell ref="C65:D66"/>
    <mergeCell ref="C56:D64"/>
    <mergeCell ref="B56:B64"/>
    <mergeCell ref="B65:B70"/>
    <mergeCell ref="B71:B72"/>
    <mergeCell ref="A56:A64"/>
    <mergeCell ref="A65:A70"/>
    <mergeCell ref="A71:A72"/>
    <mergeCell ref="E18:G19"/>
    <mergeCell ref="B17:B31"/>
    <mergeCell ref="A8:A31"/>
    <mergeCell ref="C17:D31"/>
    <mergeCell ref="E20:G25"/>
    <mergeCell ref="G34:H34"/>
    <mergeCell ref="G35:H35"/>
    <mergeCell ref="G36:H38"/>
    <mergeCell ref="G41:H41"/>
    <mergeCell ref="G40:H40"/>
    <mergeCell ref="G39:H39"/>
    <mergeCell ref="E26:G27"/>
    <mergeCell ref="E28:G29"/>
    <mergeCell ref="E32:G33"/>
    <mergeCell ref="E30:G31"/>
    <mergeCell ref="C32:D48"/>
    <mergeCell ref="B32:B48"/>
    <mergeCell ref="A32:A48"/>
    <mergeCell ref="E35:F41"/>
    <mergeCell ref="E34:F34"/>
    <mergeCell ref="I34:K34"/>
    <mergeCell ref="I35:K35"/>
    <mergeCell ref="I36:K36"/>
    <mergeCell ref="L34:M34"/>
    <mergeCell ref="L35:M35"/>
    <mergeCell ref="L36:M36"/>
    <mergeCell ref="N36:O36"/>
    <mergeCell ref="N35:O35"/>
    <mergeCell ref="N34:O34"/>
    <mergeCell ref="H26:I27"/>
    <mergeCell ref="H28:I29"/>
    <mergeCell ref="J24:J25"/>
    <mergeCell ref="J26:J27"/>
    <mergeCell ref="J28:J29"/>
    <mergeCell ref="K30:K31"/>
    <mergeCell ref="K28:K29"/>
    <mergeCell ref="K24:K25"/>
    <mergeCell ref="M26:M27"/>
    <mergeCell ref="L26:L27"/>
    <mergeCell ref="K26:K27"/>
    <mergeCell ref="H22:I23"/>
    <mergeCell ref="J22:J23"/>
    <mergeCell ref="K22:K23"/>
    <mergeCell ref="M24:M25"/>
    <mergeCell ref="L24:L25"/>
    <mergeCell ref="H24:I25"/>
    <mergeCell ref="H30:I31"/>
    <mergeCell ref="H32:O33"/>
    <mergeCell ref="J30:J31"/>
    <mergeCell ref="L30:L31"/>
    <mergeCell ref="N30:O31"/>
    <mergeCell ref="M30:M31"/>
    <mergeCell ref="N26:O27"/>
    <mergeCell ref="M28:M29"/>
    <mergeCell ref="N28:O29"/>
    <mergeCell ref="L28:L29"/>
    <mergeCell ref="N24:O25"/>
    <mergeCell ref="N22:O23"/>
    <mergeCell ref="M22:M23"/>
    <mergeCell ref="L22:L23"/>
    <mergeCell ref="L20:L21"/>
    <mergeCell ref="M20:M21"/>
    <mergeCell ref="N20:O21"/>
    <mergeCell ref="N18:O19"/>
    <mergeCell ref="M18:M19"/>
    <mergeCell ref="L18:L19"/>
    <mergeCell ref="H18:I19"/>
    <mergeCell ref="J18:J19"/>
    <mergeCell ref="K18:K19"/>
    <mergeCell ref="K20:K21"/>
    <mergeCell ref="J20:J21"/>
    <mergeCell ref="H20:I21"/>
    <mergeCell ref="L57:M57"/>
    <mergeCell ref="L58:M58"/>
    <mergeCell ref="L59:M59"/>
    <mergeCell ref="L60:M60"/>
    <mergeCell ref="L55:M55"/>
    <mergeCell ref="L52:M52"/>
    <mergeCell ref="L53:M53"/>
    <mergeCell ref="L54:M54"/>
    <mergeCell ref="N53:O53"/>
    <mergeCell ref="N54:O54"/>
    <mergeCell ref="N55:O55"/>
    <mergeCell ref="N60:O60"/>
    <mergeCell ref="N57:O57"/>
    <mergeCell ref="N58:O58"/>
    <mergeCell ref="N59:O59"/>
    <mergeCell ref="N61:O61"/>
    <mergeCell ref="N64:O64"/>
    <mergeCell ref="N63:O63"/>
    <mergeCell ref="N62:O62"/>
    <mergeCell ref="L41:M41"/>
    <mergeCell ref="L40:M40"/>
    <mergeCell ref="N41:O41"/>
    <mergeCell ref="L37:M37"/>
    <mergeCell ref="L38:M38"/>
    <mergeCell ref="L39:M39"/>
    <mergeCell ref="N37:O37"/>
    <mergeCell ref="N38:O38"/>
    <mergeCell ref="N39:O39"/>
    <mergeCell ref="N40:O40"/>
    <mergeCell ref="N43:O43"/>
    <mergeCell ref="N42:O42"/>
    <mergeCell ref="N44:O44"/>
    <mergeCell ref="N45:O45"/>
    <mergeCell ref="N46:O46"/>
    <mergeCell ref="L42:M42"/>
    <mergeCell ref="L43:M43"/>
    <mergeCell ref="L46:M46"/>
    <mergeCell ref="L45:M45"/>
    <mergeCell ref="L44:M44"/>
    <mergeCell ref="I37:K37"/>
    <mergeCell ref="I38:K38"/>
    <mergeCell ref="I40:K40"/>
    <mergeCell ref="I39:K39"/>
    <mergeCell ref="I41:K41"/>
    <mergeCell ref="I42:K42"/>
    <mergeCell ref="I43:K43"/>
    <mergeCell ref="I46:K46"/>
    <mergeCell ref="I45:K45"/>
    <mergeCell ref="I44:K44"/>
    <mergeCell ref="H61:I61"/>
    <mergeCell ref="H60:I60"/>
    <mergeCell ref="J61:K61"/>
    <mergeCell ref="J62:K62"/>
    <mergeCell ref="J57:K57"/>
    <mergeCell ref="J58:K58"/>
    <mergeCell ref="J59:K59"/>
    <mergeCell ref="J60:K60"/>
    <mergeCell ref="I54:K54"/>
    <mergeCell ref="I53:K53"/>
    <mergeCell ref="I52:K52"/>
    <mergeCell ref="I51:K51"/>
    <mergeCell ref="I48:K48"/>
    <mergeCell ref="I49:K49"/>
    <mergeCell ref="I47:K47"/>
    <mergeCell ref="I50:K50"/>
    <mergeCell ref="H57:I57"/>
    <mergeCell ref="H59:I59"/>
    <mergeCell ref="H58:I58"/>
    <mergeCell ref="H56:O56"/>
    <mergeCell ref="I55:K55"/>
    <mergeCell ref="L51:M51"/>
    <mergeCell ref="L50:M50"/>
    <mergeCell ref="L47:M47"/>
    <mergeCell ref="L48:M48"/>
    <mergeCell ref="L49:M49"/>
    <mergeCell ref="N47:O47"/>
    <mergeCell ref="N48:O48"/>
    <mergeCell ref="N49:O49"/>
    <mergeCell ref="N52:O52"/>
    <mergeCell ref="N51:O51"/>
    <mergeCell ref="N50:O50"/>
    <mergeCell ref="J65:J66"/>
    <mergeCell ref="K65:K66"/>
    <mergeCell ref="M65:O66"/>
    <mergeCell ref="L65:L66"/>
    <mergeCell ref="J67:J68"/>
    <mergeCell ref="K67:K68"/>
    <mergeCell ref="L67:L68"/>
    <mergeCell ref="M67:O68"/>
    <mergeCell ref="M69:O70"/>
    <mergeCell ref="L69:L70"/>
    <mergeCell ref="K69:K70"/>
    <mergeCell ref="J69:J70"/>
    <mergeCell ref="H67:I70"/>
    <mergeCell ref="H65:I66"/>
    <mergeCell ref="H62:I62"/>
    <mergeCell ref="H63:I63"/>
    <mergeCell ref="H64:I64"/>
    <mergeCell ref="J64:K64"/>
    <mergeCell ref="J63:K63"/>
    <mergeCell ref="L64:M64"/>
    <mergeCell ref="L61:M61"/>
    <mergeCell ref="L62:M62"/>
    <mergeCell ref="L63:M63"/>
  </mergeCells>
  <printOptions horizontalCentered="1" verticalCentered="1"/>
  <pageMargins left="0.511811023622047" right="0.511811023622047" top="0.748031496062992" bottom="0.748031496062992" header="0.196850393700787" footer="0.196850393700787"/>
  <pageSetup paperSize="9" firstPageNumber="4294963191" copies="0" scale="95"/>
  <headerFooter/>
  <drawing r:id="rId1"/>
  <extLst/>
</worksheet>
</file>

<file path=xl/worksheets/sheet2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R11"/>
  <sheetViews>
    <sheetView topLeftCell="A1" workbookViewId="0" showGridLines="0">
      <pane topLeftCell="A1"/>
      <selection activeCellId="0" activeCell="A1" sqref="A1"/>
    </sheetView>
  </sheetViews>
  <sheetFormatPr defaultColWidth="8.88" defaultRowHeight="12" customHeight="1"/>
  <cols>
    <col min="1" max="1" width="18.38" customWidth="1" style="6"/>
    <col min="2" max="2" width="19.38" customWidth="1" style="6"/>
    <col min="3" max="3" width="21.5" customWidth="1" style="6"/>
    <col min="4" max="4" width="7.88" customWidth="1" style="6"/>
    <col min="5" max="7" width="14.13" customWidth="1" style="6"/>
    <col min="8" max="12" width="11" customWidth="1" style="6"/>
    <col min="13" max="13" width="16.38" customWidth="1" style="6"/>
    <col min="14" max="14" width="11" customWidth="1" style="6"/>
    <col min="15" max="15" width="20.13" customWidth="1" style="6"/>
    <col min="16" max="16" width="16.38" customWidth="1" style="56"/>
    <col min="17" max="16384" width="8.88" style="6"/>
  </cols>
  <sheetData>
    <row r="1" ht="32.25" customHeight="1" customFormat="1" s="5">
      <c r="A1" s="65" t="s">
        <v>56</v>
      </c>
      <c s="65" t="s">
        <v>57</v>
      </c>
      <c s="65" t="s">
        <v>58</v>
      </c>
      <c s="65"/>
      <c s="225" t="s">
        <v>59</v>
      </c>
      <c s="225" t="s">
        <v>194</v>
      </c>
      <c s="225" t="s">
        <v>194</v>
      </c>
      <c s="225" t="s">
        <v>60</v>
      </c>
      <c s="225" t="s">
        <v>61</v>
      </c>
      <c s="225" t="s">
        <v>61</v>
      </c>
      <c s="225" t="s">
        <v>62</v>
      </c>
      <c s="225" t="s">
        <v>62</v>
      </c>
      <c s="225" t="s">
        <v>63</v>
      </c>
      <c s="225" t="s">
        <v>64</v>
      </c>
      <c s="225" t="s">
        <v>65</v>
      </c>
      <c s="95" t="s">
        <v>66</v>
      </c>
      <c s="225" t="s">
        <v>67</v>
      </c>
      <c s="225" t="s">
        <v>228</v>
      </c>
    </row>
    <row r="2" customHeight="1">
      <c r="A2" s="166" t="s">
        <v>17</v>
      </c>
      <c s="166">
        <v>656.1</v>
      </c>
      <c s="166">
        <v>656.1</v>
      </c>
      <c s="166"/>
      <c s="166" t="s">
        <v>68</v>
      </c>
      <c s="140" t="s">
        <v>195</v>
      </c>
      <c s="140">
        <v>0</v>
      </c>
      <c s="166"/>
      <c s="166" t="s">
        <v>69</v>
      </c>
      <c s="166">
        <v>0</v>
      </c>
      <c s="166" t="s">
        <v>70</v>
      </c>
      <c s="166">
        <v>0</v>
      </c>
      <c s="166"/>
      <c s="166">
        <v>1</v>
      </c>
      <c r="P2" s="91">
        <v>0.2</v>
      </c>
      <c s="91"/>
      <c s="166"/>
    </row>
    <row r="3" customHeight="1">
      <c r="A3" s="166" t="s">
        <v>71</v>
      </c>
      <c s="166">
        <v>253.7</v>
      </c>
      <c s="166">
        <v>253.7</v>
      </c>
      <c s="166"/>
      <c s="166" t="s">
        <v>72</v>
      </c>
      <c s="140" t="s">
        <v>17</v>
      </c>
      <c s="140">
        <v>1</v>
      </c>
      <c s="166" t="s">
        <v>73</v>
      </c>
      <c s="166" t="s">
        <v>74</v>
      </c>
      <c s="166">
        <v>1</v>
      </c>
      <c s="166" t="s">
        <v>75</v>
      </c>
      <c s="166">
        <v>1</v>
      </c>
      <c s="6">
        <v>0.02</v>
      </c>
      <c s="166">
        <v>2</v>
      </c>
      <c s="166">
        <v>1</v>
      </c>
      <c s="91">
        <v>0.5</v>
      </c>
      <c s="166">
        <v>1</v>
      </c>
      <c s="166">
        <v>0.5</v>
      </c>
    </row>
    <row r="4" customHeight="1">
      <c r="A4" s="166" t="s">
        <v>76</v>
      </c>
      <c s="166" t="s">
        <v>77</v>
      </c>
      <c s="166" t="s">
        <v>77</v>
      </c>
      <c s="166"/>
      <c s="166"/>
      <c s="140" t="s">
        <v>196</v>
      </c>
      <c s="140">
        <v>2</v>
      </c>
      <c s="166"/>
      <c s="166" t="s">
        <v>78</v>
      </c>
      <c s="166">
        <v>2</v>
      </c>
      <c s="166" t="s">
        <v>79</v>
      </c>
      <c s="166">
        <v>2</v>
      </c>
      <c s="166">
        <v>0.1</v>
      </c>
      <c s="166">
        <v>3</v>
      </c>
      <c s="166">
        <v>2</v>
      </c>
      <c s="143" t="s">
        <v>227</v>
      </c>
      <c s="166">
        <v>2</v>
      </c>
      <c s="166">
        <v>1</v>
      </c>
    </row>
    <row r="5" customHeight="1">
      <c r="A5" s="166" t="s">
        <v>16</v>
      </c>
      <c s="166" t="s">
        <v>80</v>
      </c>
      <c s="166" t="s">
        <v>80</v>
      </c>
      <c s="166"/>
      <c s="166"/>
      <c s="166"/>
      <c s="166"/>
      <c s="166"/>
      <c s="166" t="s">
        <v>81</v>
      </c>
      <c s="166">
        <v>3</v>
      </c>
      <c s="166" t="s">
        <v>82</v>
      </c>
      <c s="166">
        <v>3</v>
      </c>
      <c s="166">
        <v>0.2</v>
      </c>
      <c s="166">
        <v>4</v>
      </c>
      <c s="166"/>
      <c s="143" t="s">
        <v>226</v>
      </c>
      <c s="166">
        <v>3</v>
      </c>
      <c s="166">
        <v>2</v>
      </c>
    </row>
    <row r="6" customHeight="1">
      <c r="A6" s="166" t="s">
        <v>83</v>
      </c>
      <c s="166" t="s">
        <v>84</v>
      </c>
      <c s="166"/>
      <c s="166"/>
      <c s="166"/>
      <c s="166"/>
      <c s="166"/>
      <c s="166"/>
      <c s="166" t="s">
        <v>85</v>
      </c>
      <c s="166">
        <v>4</v>
      </c>
      <c s="166" t="s">
        <v>86</v>
      </c>
      <c s="166">
        <v>4</v>
      </c>
      <c s="166">
        <v>0.5</v>
      </c>
      <c s="166">
        <v>5</v>
      </c>
      <c s="166"/>
      <c s="143" t="s">
        <v>240</v>
      </c>
      <c s="166">
        <v>4</v>
      </c>
      <c s="166"/>
    </row>
    <row r="7" customHeight="1">
      <c r="A7" s="166" t="s">
        <v>87</v>
      </c>
      <c s="166" t="s">
        <v>88</v>
      </c>
      <c s="166"/>
      <c s="166"/>
      <c s="166"/>
      <c s="166"/>
      <c s="166"/>
      <c s="166"/>
      <c s="166"/>
      <c s="166"/>
      <c s="166" t="s">
        <v>89</v>
      </c>
      <c s="166"/>
      <c s="166">
        <v>1</v>
      </c>
      <c s="166"/>
      <c s="166"/>
      <c s="91"/>
      <c s="166">
        <v>5</v>
      </c>
      <c s="166"/>
    </row>
    <row r="8" customHeight="1">
      <c r="A8" s="166" t="s">
        <v>90</v>
      </c>
      <c s="166" t="s">
        <v>91</v>
      </c>
      <c s="166"/>
      <c s="166"/>
      <c s="166"/>
      <c s="166"/>
      <c s="166"/>
      <c s="166"/>
      <c s="166"/>
      <c s="166"/>
      <c s="166"/>
      <c s="166"/>
      <c s="166">
        <v>2</v>
      </c>
      <c s="166"/>
      <c s="166"/>
      <c s="91"/>
      <c s="166"/>
      <c s="166"/>
    </row>
    <row r="9" customHeight="1">
      <c r="A9" s="108" t="s">
        <v>92</v>
      </c>
      <c s="241">
        <v>350313257235</v>
      </c>
      <c s="166" t="s">
        <v>93</v>
      </c>
      <c s="241"/>
      <c s="166"/>
      <c s="166"/>
      <c s="166"/>
      <c s="166"/>
      <c s="166"/>
      <c s="166"/>
      <c s="166"/>
      <c s="166"/>
      <c s="166">
        <v>5</v>
      </c>
      <c s="166"/>
      <c s="166"/>
      <c s="91"/>
      <c s="166"/>
      <c s="166"/>
    </row>
    <row r="10" customHeight="1">
      <c r="A10" s="166" t="s">
        <v>94</v>
      </c>
      <c s="166">
        <v>220</v>
      </c>
      <c s="166"/>
      <c s="166"/>
      <c s="166"/>
      <c s="166"/>
      <c s="166"/>
      <c s="166"/>
      <c s="166"/>
      <c s="166"/>
      <c s="166"/>
      <c s="166"/>
      <c s="166"/>
      <c s="166"/>
      <c s="166"/>
      <c s="91"/>
      <c s="166"/>
      <c s="166"/>
    </row>
    <row r="11" customHeight="1">
      <c r="A11" s="166" t="s">
        <v>95</v>
      </c>
      <c s="241">
        <v>340360</v>
      </c>
      <c s="166"/>
      <c s="166"/>
      <c s="166"/>
      <c s="166"/>
      <c s="166"/>
      <c s="166"/>
      <c s="166"/>
      <c s="166"/>
      <c s="166"/>
      <c s="166"/>
      <c s="166"/>
      <c s="166"/>
      <c s="166"/>
      <c s="91"/>
      <c s="166"/>
      <c s="166"/>
    </row>
  </sheetData>
  <printOptions/>
  <pageMargins left="0.7" right="0.7" top="0.75" bottom="0.75" header="0.3" footer="0.3"/>
  <pageSetup firstPageNumber="4294963191" copies="0"/>
  <headerFooter/>
  <extLst/>
</worksheet>
</file>

<file path=xl/worksheets/sheet3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Q42"/>
  <sheetViews>
    <sheetView workbookViewId="0" zoomScale="85" showGridLines="0" zoomScaleNormal="85">
      <pane topLeftCell="A2" activePane="bottomLeft" state="frozen" ySplit="1"/>
      <selection activeCellId="0" pane="bottomLeft" activeCell="L50" sqref="L50"/>
    </sheetView>
  </sheetViews>
  <sheetFormatPr defaultColWidth="9" defaultRowHeight="12" customHeight="1"/>
  <cols>
    <col min="1" max="1" width="10" customWidth="1" style="3"/>
    <col min="2" max="2" width="10.25" customWidth="1" style="3"/>
    <col min="3" max="3" width="7.88" customWidth="1" style="3"/>
    <col min="4" max="4" width="15.38" customWidth="1" style="33"/>
    <col min="5" max="8" width="9" style="125"/>
    <col min="9" max="9" width="17.25" customWidth="1" style="125"/>
    <col min="10" max="10" width="9" style="125"/>
    <col min="11" max="11" width="10" customWidth="1" style="125"/>
    <col min="12" max="13" width="9" style="125"/>
    <col min="14" max="14" width="10" customWidth="1" style="3"/>
    <col min="15" max="15" width="5.75" customWidth="1" style="125"/>
    <col min="16" max="16" width="36.63" customWidth="1" style="125"/>
    <col min="17" max="17" width="11.63" customWidth="1" style="125"/>
    <col min="18" max="16384" width="9" style="125"/>
  </cols>
  <sheetData>
    <row r="1" customHeight="1">
      <c r="A1" s="227" t="s">
        <v>205</v>
      </c>
      <c s="227" t="s">
        <v>204</v>
      </c>
      <c s="227" t="s">
        <v>58</v>
      </c>
      <c s="160" t="s">
        <v>187</v>
      </c>
      <c s="160" t="s">
        <v>206</v>
      </c>
      <c s="160" t="s">
        <v>224</v>
      </c>
      <c s="160" t="s">
        <v>212</v>
      </c>
      <c s="226" t="s">
        <v>7</v>
      </c>
      <c s="147" t="s">
        <v>8</v>
      </c>
      <c s="226" t="s">
        <v>9</v>
      </c>
      <c s="226" t="s">
        <v>207</v>
      </c>
      <c s="226" t="s">
        <v>208</v>
      </c>
      <c s="226" t="s">
        <v>209</v>
      </c>
      <c s="227" t="s">
        <v>179</v>
      </c>
      <c s="160" t="s">
        <v>210</v>
      </c>
      <c s="160" t="s">
        <v>280</v>
      </c>
      <c s="7"/>
    </row>
    <row r="2" customHeight="1">
      <c r="A2" s="54">
        <v>1001</v>
      </c>
      <c s="54" t="str">
        <f ca="1" ref="B2:B41" t="shared" si="0">MID(CELL("filename"),FIND("[",CELL("filename"),1)+1,FIND(".",CELL("filename"),1)-FIND("[",CELL("filename"),1)-1)</f>
        <v>Model-VariableSlit</v>
      </c>
      <c s="55"/>
      <c s="111" t="e">
        <f ref="D2:D25" t="shared" si="1">#REF!&amp;";"&amp;#REF!&amp;";"&amp;#REF!</f>
        <v>#REF!</v>
      </c>
      <c s="111" t="e">
        <f ref="E2:E23" t="shared" si="2">#REF!</f>
        <v>#REF!</v>
      </c>
      <c s="111" t="e">
        <f ref="F2:F23" t="shared" si="3">#REF!</f>
        <v>#REF!</v>
      </c>
      <c s="111" t="e">
        <f ref="G2:G23" t="shared" si="4">#REF!</f>
        <v>#REF!</v>
      </c>
      <c s="111">
        <f>Report!$F$5</f>
        <v>0</v>
      </c>
      <c s="231">
        <f ca="1" ref="I2:I41" t="shared" si="5">NOW()</f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ref="N2:N40" t="shared" si="6">#REF!</f>
        <v>#REF!</v>
      </c>
      <c s="111"/>
      <c s="140">
        <v>1001</v>
      </c>
    </row>
    <row r="3" customHeight="1">
      <c r="A3" s="55">
        <v>1002</v>
      </c>
      <c s="54" t="str">
        <f ca="1" t="shared" si="0"/>
        <v>Model-VariableSlit</v>
      </c>
      <c s="55"/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140">
        <v>1002</v>
      </c>
    </row>
    <row r="4" customHeight="1">
      <c r="A4" s="55">
        <v>1003</v>
      </c>
      <c s="54" t="str">
        <f ca="1" t="shared" si="0"/>
        <v>Model-VariableSlit</v>
      </c>
      <c s="55"/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140">
        <v>1003</v>
      </c>
    </row>
    <row r="5" customHeight="1">
      <c r="A5" s="55">
        <v>1008</v>
      </c>
      <c s="54" t="str">
        <f ca="1" t="shared" si="0"/>
        <v>Model-VariableSlit</v>
      </c>
      <c s="55"/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140">
        <v>1004</v>
      </c>
    </row>
    <row r="6" customHeight="1">
      <c r="A6" s="55">
        <v>1009</v>
      </c>
      <c s="54" t="str">
        <f ca="1" t="shared" si="0"/>
        <v>Model-VariableSlit</v>
      </c>
      <c s="55"/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140">
        <v>1004</v>
      </c>
    </row>
    <row r="7" customHeight="1">
      <c r="A7" s="55">
        <v>1010</v>
      </c>
      <c s="54" t="str">
        <f ca="1" t="shared" si="0"/>
        <v>Model-VariableSlit</v>
      </c>
      <c s="55"/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140">
        <v>1004</v>
      </c>
    </row>
    <row r="8" customHeight="1">
      <c r="A8" s="55">
        <v>1011</v>
      </c>
      <c s="54" t="str">
        <f ca="1" t="shared" si="0"/>
        <v>Model-VariableSlit</v>
      </c>
      <c s="55"/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140">
        <v>1004</v>
      </c>
    </row>
    <row r="9" customHeight="1">
      <c r="A9" s="55">
        <v>1012</v>
      </c>
      <c s="54" t="str">
        <f ca="1" t="shared" si="0"/>
        <v>Model-VariableSlit</v>
      </c>
      <c s="55"/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140">
        <v>1004</v>
      </c>
    </row>
    <row r="10" customHeight="1">
      <c r="A10" s="55">
        <v>1013</v>
      </c>
      <c s="54" t="str">
        <f ca="1" t="shared" si="0"/>
        <v>Model-VariableSlit</v>
      </c>
      <c s="55"/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140">
        <v>1004</v>
      </c>
    </row>
    <row r="11" customHeight="1">
      <c r="A11" s="55">
        <v>2001</v>
      </c>
      <c s="54" t="str">
        <f ca="1" t="shared" si="0"/>
        <v>Model-VariableSlit</v>
      </c>
      <c s="55" t="e">
        <f ref="C11:C25" t="shared" si="7">#REF!</f>
        <v>#REF!</v>
      </c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2001</v>
      </c>
    </row>
    <row r="12" customHeight="1">
      <c r="A12" s="55">
        <v>2002</v>
      </c>
      <c s="54" t="str">
        <f ca="1" t="shared" si="0"/>
        <v>Model-VariableSlit</v>
      </c>
      <c s="55" t="e">
        <f t="shared" si="7"/>
        <v>#REF!</v>
      </c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2001</v>
      </c>
    </row>
    <row r="13" customHeight="1">
      <c r="A13" s="55">
        <v>2003</v>
      </c>
      <c s="54" t="str">
        <f ca="1" t="shared" si="0"/>
        <v>Model-VariableSlit</v>
      </c>
      <c s="55" t="e">
        <f t="shared" si="7"/>
        <v>#REF!</v>
      </c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2001</v>
      </c>
    </row>
    <row r="14" customHeight="1">
      <c r="A14" s="55">
        <v>2004</v>
      </c>
      <c s="54" t="str">
        <f ca="1" t="shared" si="0"/>
        <v>Model-VariableSlit</v>
      </c>
      <c s="55" t="e">
        <f t="shared" si="7"/>
        <v>#REF!</v>
      </c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2001</v>
      </c>
    </row>
    <row r="15" customHeight="1">
      <c r="A15" s="55">
        <v>2005</v>
      </c>
      <c s="54" t="str">
        <f ca="1" t="shared" si="0"/>
        <v>Model-VariableSlit</v>
      </c>
      <c s="55" t="e">
        <f t="shared" si="7"/>
        <v>#REF!</v>
      </c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2002</v>
      </c>
    </row>
    <row r="16" customHeight="1">
      <c r="A16" s="55">
        <v>2006</v>
      </c>
      <c s="54" t="str">
        <f ca="1" t="shared" si="0"/>
        <v>Model-VariableSlit</v>
      </c>
      <c s="55" t="e">
        <f t="shared" si="7"/>
        <v>#REF!</v>
      </c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2002</v>
      </c>
    </row>
    <row r="17" customHeight="1">
      <c r="A17" s="55">
        <v>2007</v>
      </c>
      <c s="54" t="str">
        <f ca="1" t="shared" si="0"/>
        <v>Model-VariableSlit</v>
      </c>
      <c s="55" t="e">
        <f t="shared" si="7"/>
        <v>#REF!</v>
      </c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2002</v>
      </c>
    </row>
    <row r="18" customHeight="1">
      <c r="A18" s="55">
        <v>2008</v>
      </c>
      <c s="54" t="str">
        <f ca="1" t="shared" si="0"/>
        <v>Model-VariableSlit</v>
      </c>
      <c s="55" t="e">
        <f t="shared" si="7"/>
        <v>#REF!</v>
      </c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230">
        <v>2003</v>
      </c>
    </row>
    <row r="19" customHeight="1">
      <c r="A19" s="55">
        <v>2009</v>
      </c>
      <c s="54" t="str">
        <f ca="1" t="shared" si="0"/>
        <v>Model-VariableSlit</v>
      </c>
      <c s="55" t="e">
        <f t="shared" si="7"/>
        <v>#REF!</v>
      </c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230">
        <v>2003</v>
      </c>
    </row>
    <row r="20" customHeight="1">
      <c r="A20" s="55">
        <v>2010</v>
      </c>
      <c s="54" t="str">
        <f ca="1" t="shared" si="0"/>
        <v>Model-VariableSlit</v>
      </c>
      <c s="55" t="e">
        <f t="shared" si="7"/>
        <v>#REF!</v>
      </c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230">
        <v>2003</v>
      </c>
    </row>
    <row r="21" customHeight="1">
      <c r="A21" s="55">
        <v>2011</v>
      </c>
      <c s="54" t="str">
        <f ca="1" t="shared" si="0"/>
        <v>Model-VariableSlit</v>
      </c>
      <c s="55" t="e">
        <f t="shared" si="7"/>
        <v>#REF!</v>
      </c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2004</v>
      </c>
    </row>
    <row r="22" customHeight="1">
      <c r="A22" s="55">
        <v>2012</v>
      </c>
      <c s="54" t="str">
        <f ca="1" t="shared" si="0"/>
        <v>Model-VariableSlit</v>
      </c>
      <c s="55" t="e">
        <f t="shared" si="7"/>
        <v>#REF!</v>
      </c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2004</v>
      </c>
    </row>
    <row r="23" customHeight="1">
      <c r="A23" s="55">
        <v>2013</v>
      </c>
      <c s="54" t="str">
        <f ca="1" t="shared" si="0"/>
        <v>Model-VariableSlit</v>
      </c>
      <c s="55" t="e">
        <f t="shared" si="7"/>
        <v>#REF!</v>
      </c>
      <c s="111" t="e">
        <f t="shared" si="1"/>
        <v>#REF!</v>
      </c>
      <c s="111" t="e">
        <f t="shared" si="2"/>
        <v>#REF!</v>
      </c>
      <c s="111" t="e">
        <f t="shared" si="3"/>
        <v>#REF!</v>
      </c>
      <c s="111" t="e">
        <f t="shared" si="4"/>
        <v>#REF!</v>
      </c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2004</v>
      </c>
    </row>
    <row r="24" customHeight="1">
      <c r="A24" s="55">
        <v>3001</v>
      </c>
      <c s="54" t="str">
        <f ca="1" t="shared" si="0"/>
        <v>Model-VariableSlit</v>
      </c>
      <c s="55" t="e">
        <f t="shared" si="7"/>
        <v>#REF!</v>
      </c>
      <c s="242" t="e">
        <f t="shared" si="1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3001</v>
      </c>
    </row>
    <row r="25" customHeight="1">
      <c r="A25" s="55">
        <v>3002</v>
      </c>
      <c s="54" t="str">
        <f ca="1" t="shared" si="0"/>
        <v>Model-VariableSlit</v>
      </c>
      <c s="55" t="e">
        <f t="shared" si="7"/>
        <v>#REF!</v>
      </c>
      <c s="242" t="e">
        <f t="shared" si="1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3002</v>
      </c>
    </row>
    <row r="26" customHeight="1">
      <c r="A26" s="55">
        <v>4001</v>
      </c>
      <c s="54" t="str">
        <f ca="1" t="shared" si="0"/>
        <v>Model-VariableSlit</v>
      </c>
      <c s="55"/>
      <c s="111" t="e">
        <f ref="D26:D40" t="shared" si="8">#REF!</f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4001</v>
      </c>
    </row>
    <row r="27" customHeight="1">
      <c r="A27" s="55">
        <v>5001</v>
      </c>
      <c s="54" t="str">
        <f ca="1" t="shared" si="0"/>
        <v>Model-VariableSlit</v>
      </c>
      <c s="55"/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5001</v>
      </c>
    </row>
    <row r="28" customHeight="1">
      <c r="A28" s="55">
        <v>6001</v>
      </c>
      <c s="54" t="str">
        <f ca="1" t="shared" si="0"/>
        <v>Model-VariableSlit</v>
      </c>
      <c s="55" t="e">
        <f ref="C28:C40" t="shared" si="9">#REF!</f>
        <v>#REF!</v>
      </c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6001</v>
      </c>
    </row>
    <row r="29" customHeight="1">
      <c r="A29" s="55">
        <v>6002</v>
      </c>
      <c s="54" t="str">
        <f ca="1" t="shared" si="0"/>
        <v>Model-VariableSlit</v>
      </c>
      <c s="55" t="e">
        <f t="shared" si="9"/>
        <v>#REF!</v>
      </c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144">
        <v>6002</v>
      </c>
    </row>
    <row r="30" customHeight="1">
      <c r="A30" s="55">
        <v>6003</v>
      </c>
      <c s="54" t="str">
        <f ca="1" t="shared" si="0"/>
        <v>Model-VariableSlit</v>
      </c>
      <c s="55" t="e">
        <f t="shared" si="9"/>
        <v>#REF!</v>
      </c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6003</v>
      </c>
    </row>
    <row r="31" customHeight="1">
      <c r="A31" s="55">
        <v>6004</v>
      </c>
      <c s="54" t="str">
        <f ca="1" t="shared" si="0"/>
        <v>Model-VariableSlit</v>
      </c>
      <c s="55" t="e">
        <f t="shared" si="9"/>
        <v>#REF!</v>
      </c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144">
        <v>6004</v>
      </c>
    </row>
    <row r="32" customHeight="1">
      <c r="A32" s="55">
        <v>6005</v>
      </c>
      <c s="54" t="str">
        <f ca="1" t="shared" si="0"/>
        <v>Model-VariableSlit</v>
      </c>
      <c s="55" t="e">
        <f t="shared" si="9"/>
        <v>#REF!</v>
      </c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6005</v>
      </c>
    </row>
    <row r="33" customHeight="1">
      <c r="A33" s="55">
        <v>7001</v>
      </c>
      <c s="54" t="str">
        <f ca="1" t="shared" si="0"/>
        <v>Model-VariableSlit</v>
      </c>
      <c s="55" t="e">
        <f t="shared" si="9"/>
        <v>#REF!</v>
      </c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7001</v>
      </c>
    </row>
    <row r="34" customHeight="1">
      <c r="A34" s="55">
        <v>7002</v>
      </c>
      <c s="54" t="str">
        <f ca="1" t="shared" si="0"/>
        <v>Model-VariableSlit</v>
      </c>
      <c s="55" t="e">
        <f t="shared" si="9"/>
        <v>#REF!</v>
      </c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7002</v>
      </c>
    </row>
    <row r="35" customHeight="1">
      <c r="A35" s="55">
        <v>7003</v>
      </c>
      <c s="54" t="str">
        <f ca="1" t="shared" si="0"/>
        <v>Model-VariableSlit</v>
      </c>
      <c s="55" t="e">
        <f t="shared" si="9"/>
        <v>#REF!</v>
      </c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7003</v>
      </c>
    </row>
    <row r="36" ht="27.75">
      <c r="A36" s="55">
        <v>7004</v>
      </c>
      <c s="54" t="str">
        <f ca="1" t="shared" si="0"/>
        <v>Model-VariableSlit</v>
      </c>
      <c s="55" t="e">
        <f t="shared" si="9"/>
        <v>#REF!</v>
      </c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7004</v>
      </c>
    </row>
    <row r="37" ht="27.75">
      <c r="A37" s="55">
        <v>8001</v>
      </c>
      <c s="54" t="str">
        <f ca="1" t="shared" si="0"/>
        <v>Model-VariableSlit</v>
      </c>
      <c s="55" t="e">
        <f t="shared" si="9"/>
        <v>#REF!</v>
      </c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8001</v>
      </c>
    </row>
    <row r="38" ht="27.75">
      <c r="A38" s="55">
        <v>8002</v>
      </c>
      <c s="54" t="str">
        <f ca="1" t="shared" si="0"/>
        <v>Model-VariableSlit</v>
      </c>
      <c s="55" t="e">
        <f t="shared" si="9"/>
        <v>#REF!</v>
      </c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8002</v>
      </c>
    </row>
    <row r="39" ht="27.75">
      <c r="A39" s="55">
        <v>8003</v>
      </c>
      <c s="54" t="str">
        <f ca="1" t="shared" si="0"/>
        <v>Model-VariableSlit</v>
      </c>
      <c s="55" t="e">
        <f t="shared" si="9"/>
        <v>#REF!</v>
      </c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8003</v>
      </c>
    </row>
    <row r="40" ht="27.75">
      <c r="A40" s="166">
        <v>8004</v>
      </c>
      <c s="54" t="str">
        <f ca="1" t="shared" si="0"/>
        <v>Model-VariableSlit</v>
      </c>
      <c s="55" t="e">
        <f t="shared" si="9"/>
        <v>#REF!</v>
      </c>
      <c s="111" t="e">
        <f t="shared" si="8"/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 t="shared" si="6"/>
        <v>#REF!</v>
      </c>
      <c s="111"/>
      <c s="55">
        <v>8004</v>
      </c>
    </row>
    <row r="41" ht="27.75">
      <c r="A41" s="166">
        <v>9001</v>
      </c>
      <c s="54" t="str">
        <f ca="1" t="shared" si="0"/>
        <v>Model-VariableSlit</v>
      </c>
      <c s="55" t="e">
        <f>'漂移检验'!#REF!</f>
        <v>#REF!</v>
      </c>
      <c s="111" t="e">
        <f>'漂移检验'!#REF!</f>
        <v>#REF!</v>
      </c>
      <c s="111"/>
      <c s="111"/>
      <c s="111"/>
      <c s="111">
        <f>Report!$F$5</f>
        <v>0</v>
      </c>
      <c s="231">
        <f ca="1" t="shared" si="5"/>
        <v>45008.657213182865</v>
      </c>
      <c s="111">
        <f>Report!$N$5</f>
        <v>0</v>
      </c>
      <c s="111"/>
      <c s="111">
        <f>Report!$C$6</f>
        <v>0</v>
      </c>
      <c s="111">
        <f>Report!$H$6</f>
        <v>0</v>
      </c>
      <c s="55" t="e">
        <f>'漂移检验'!#REF!</f>
        <v>#REF!</v>
      </c>
      <c s="111"/>
      <c s="55">
        <v>9001</v>
      </c>
    </row>
    <row r="42" customHeight="1">
      <c r="H42" s="33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4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S42"/>
  <sheetViews>
    <sheetView topLeftCell="A1" workbookViewId="0" showGridLines="0">
      <pane topLeftCell="A1"/>
      <selection activeCellId="0" activeCell="A1" sqref="A1"/>
    </sheetView>
  </sheetViews>
  <sheetFormatPr defaultColWidth="9" defaultRowHeight="12" customHeight="1"/>
  <cols>
    <col min="1" max="1" width="9" style="7"/>
    <col min="2" max="2" width="17.25" customWidth="1" style="7"/>
    <col min="3" max="3" width="29.25" customWidth="1" style="7"/>
    <col min="4" max="4" width="12.38" customWidth="1" style="7"/>
    <col min="5" max="5" width="22.63" customWidth="1" style="28"/>
    <col min="6" max="6" width="9" style="7"/>
    <col min="7" max="7" width="16.88" customWidth="1" style="7"/>
    <col min="8" max="8" width="29.25" customWidth="1" style="7"/>
    <col min="9" max="9" width="12.38" customWidth="1" style="7"/>
    <col min="10" max="10" width="3.75" customWidth="1" style="7"/>
    <col min="11" max="11" width="17.25" customWidth="1" style="7"/>
    <col min="12" max="12" width="16.88" customWidth="1" style="7"/>
    <col min="13" max="13" width="12.38" customWidth="1" style="27"/>
    <col min="14" max="14" width="5.75" customWidth="1" style="7"/>
    <col min="15" max="15" width="11.63" customWidth="1" style="7"/>
    <col min="16" max="16" width="5.75" customWidth="1" style="7"/>
    <col min="17" max="17" width="20.38" customWidth="1" style="7"/>
    <col min="18" max="18" width="14.88" customWidth="1" style="7"/>
    <col min="19" max="20" width="13.88" customWidth="1" style="7"/>
    <col min="21" max="21" width="19" customWidth="1" style="7"/>
    <col min="22" max="22" width="7.5" customWidth="1" style="7"/>
    <col min="23" max="23" width="19.38" customWidth="1" style="7"/>
    <col min="24" max="25" width="13.88" customWidth="1" style="7"/>
    <col min="26" max="26" width="14.88" customWidth="1" style="7"/>
    <col min="27" max="16384" width="9" style="7"/>
  </cols>
  <sheetData>
    <row r="1" customHeight="1">
      <c r="A1" s="185" t="s">
        <v>12</v>
      </c>
      <c s="131"/>
      <c s="131"/>
      <c s="131"/>
      <c s="131"/>
      <c s="131"/>
      <c s="131"/>
      <c s="109"/>
      <c r="M1" s="7"/>
      <c r="O1" s="28"/>
    </row>
    <row r="2" customHeight="1">
      <c r="A2" s="50" t="s">
        <v>5</v>
      </c>
      <c s="50" t="s">
        <v>213</v>
      </c>
      <c s="50" t="s">
        <v>214</v>
      </c>
      <c s="50" t="s">
        <v>215</v>
      </c>
      <c s="50" t="s">
        <v>216</v>
      </c>
      <c s="50" t="s">
        <v>57</v>
      </c>
      <c s="50" t="s">
        <v>217</v>
      </c>
      <c s="50" t="s">
        <v>178</v>
      </c>
      <c r="M2" s="7"/>
      <c r="O2" s="28"/>
    </row>
    <row r="3" customHeight="1">
      <c r="A3" s="57" t="s">
        <v>211</v>
      </c>
      <c s="57">
        <v>1E+3</v>
      </c>
      <c s="57" t="s">
        <v>111</v>
      </c>
      <c s="57">
        <v>1001</v>
      </c>
      <c s="127" t="s">
        <v>17</v>
      </c>
      <c s="37" t="s">
        <v>116</v>
      </c>
      <c s="51">
        <v>0.1</v>
      </c>
      <c s="46">
        <v>0.1</v>
      </c>
      <c r="M3" s="7"/>
      <c r="O3" s="28"/>
    </row>
    <row r="4" customHeight="1">
      <c r="A4" s="57" t="s">
        <v>211</v>
      </c>
      <c s="57">
        <v>1E+3</v>
      </c>
      <c s="57" t="s">
        <v>111</v>
      </c>
      <c s="57">
        <v>1002</v>
      </c>
      <c s="127" t="s">
        <v>17</v>
      </c>
      <c s="57">
        <v>486</v>
      </c>
      <c s="51">
        <v>0.1</v>
      </c>
      <c s="46">
        <v>0.1</v>
      </c>
      <c r="M4" s="7"/>
      <c r="O4" s="28"/>
    </row>
    <row r="5" customHeight="1">
      <c r="A5" s="57" t="s">
        <v>211</v>
      </c>
      <c s="57">
        <v>1E+3</v>
      </c>
      <c s="57" t="s">
        <v>111</v>
      </c>
      <c s="57">
        <v>1003</v>
      </c>
      <c s="127" t="s">
        <v>16</v>
      </c>
      <c s="37" t="s">
        <v>112</v>
      </c>
      <c s="51">
        <v>0.3</v>
      </c>
      <c s="46">
        <v>0.1</v>
      </c>
      <c r="J5" s="33"/>
      <c s="33"/>
      <c s="33"/>
      <c s="33"/>
      <c r="S5" s="47"/>
    </row>
    <row r="6" customHeight="1">
      <c r="A6" s="57" t="s">
        <v>211</v>
      </c>
      <c s="57">
        <v>1E+3</v>
      </c>
      <c s="57" t="s">
        <v>111</v>
      </c>
      <c s="57">
        <v>1008</v>
      </c>
      <c s="127" t="s">
        <v>197</v>
      </c>
      <c s="37" t="s">
        <v>218</v>
      </c>
      <c s="51">
        <v>0.3</v>
      </c>
      <c s="46">
        <v>0.1</v>
      </c>
      <c s="8"/>
      <c s="48"/>
      <c s="48"/>
      <c r="M6" s="7"/>
    </row>
    <row r="7" customHeight="1">
      <c r="A7" s="57" t="s">
        <v>211</v>
      </c>
      <c s="57">
        <v>1E+3</v>
      </c>
      <c s="57" t="s">
        <v>111</v>
      </c>
      <c s="57">
        <v>1009</v>
      </c>
      <c s="127" t="s">
        <v>197</v>
      </c>
      <c s="37" t="s">
        <v>219</v>
      </c>
      <c s="51">
        <v>0.3</v>
      </c>
      <c s="46">
        <v>0.1</v>
      </c>
      <c r="J7" s="48"/>
      <c s="48"/>
      <c r="M7" s="7"/>
    </row>
    <row r="8" customHeight="1">
      <c r="A8" s="57" t="s">
        <v>211</v>
      </c>
      <c s="57">
        <v>1E+3</v>
      </c>
      <c s="57" t="s">
        <v>111</v>
      </c>
      <c s="57">
        <v>1010</v>
      </c>
      <c s="127" t="s">
        <v>197</v>
      </c>
      <c s="37" t="s">
        <v>220</v>
      </c>
      <c s="51">
        <v>0.3</v>
      </c>
      <c s="46">
        <v>0.1</v>
      </c>
      <c r="J8" s="48"/>
      <c s="48"/>
      <c r="M8" s="7"/>
    </row>
    <row r="9" customHeight="1">
      <c r="A9" s="57" t="s">
        <v>211</v>
      </c>
      <c s="57">
        <v>1E+3</v>
      </c>
      <c s="57" t="s">
        <v>111</v>
      </c>
      <c s="57">
        <v>1011</v>
      </c>
      <c s="127" t="s">
        <v>197</v>
      </c>
      <c s="37" t="s">
        <v>221</v>
      </c>
      <c s="51">
        <v>0.3</v>
      </c>
      <c s="46">
        <v>0.1</v>
      </c>
      <c r="J9" s="48"/>
      <c s="48"/>
      <c r="M9" s="7"/>
    </row>
    <row r="10" customHeight="1">
      <c r="A10" s="57" t="s">
        <v>211</v>
      </c>
      <c s="57">
        <v>1E+3</v>
      </c>
      <c s="57" t="s">
        <v>111</v>
      </c>
      <c s="57">
        <v>1012</v>
      </c>
      <c s="127" t="s">
        <v>197</v>
      </c>
      <c s="37" t="s">
        <v>222</v>
      </c>
      <c s="51">
        <v>0.3</v>
      </c>
      <c s="46">
        <v>0.1</v>
      </c>
      <c r="J10" s="48"/>
      <c s="48"/>
      <c r="M10" s="7"/>
    </row>
    <row r="11" customHeight="1">
      <c r="A11" s="57" t="s">
        <v>211</v>
      </c>
      <c s="57">
        <v>1E+3</v>
      </c>
      <c s="57" t="s">
        <v>111</v>
      </c>
      <c s="57">
        <v>1013</v>
      </c>
      <c s="127" t="s">
        <v>197</v>
      </c>
      <c s="37" t="s">
        <v>223</v>
      </c>
      <c s="51">
        <v>0.3</v>
      </c>
      <c s="46">
        <v>0.1</v>
      </c>
      <c r="J11" s="48"/>
      <c s="48"/>
      <c r="M11" s="7"/>
    </row>
    <row r="12" ht="14.25" customHeight="1">
      <c r="A12" s="57" t="s">
        <v>211</v>
      </c>
      <c s="57">
        <v>2E+3</v>
      </c>
      <c s="57" t="s">
        <v>117</v>
      </c>
      <c s="57">
        <v>2001</v>
      </c>
      <c s="127" t="s">
        <v>120</v>
      </c>
      <c s="228" t="s">
        <v>183</v>
      </c>
      <c s="57">
        <v>0.3</v>
      </c>
      <c s="57">
        <v>0.1</v>
      </c>
      <c r="J12" s="48"/>
      <c s="8"/>
      <c r="M12" s="7"/>
    </row>
    <row r="13" ht="28.5">
      <c r="A13" s="57" t="s">
        <v>211</v>
      </c>
      <c s="57">
        <v>2E+3</v>
      </c>
      <c s="57" t="s">
        <v>117</v>
      </c>
      <c s="57">
        <v>2002</v>
      </c>
      <c s="127" t="s">
        <v>120</v>
      </c>
      <c s="228" t="s">
        <v>184</v>
      </c>
      <c s="57">
        <v>0.3</v>
      </c>
      <c s="57">
        <v>0.1</v>
      </c>
      <c r="J13" s="48"/>
      <c s="8"/>
      <c r="M13" s="7"/>
    </row>
    <row r="14" ht="28.5">
      <c r="A14" s="57" t="s">
        <v>211</v>
      </c>
      <c s="57">
        <v>2E+3</v>
      </c>
      <c s="57" t="s">
        <v>117</v>
      </c>
      <c s="57">
        <v>2003</v>
      </c>
      <c s="127" t="s">
        <v>120</v>
      </c>
      <c s="228" t="s">
        <v>185</v>
      </c>
      <c s="57">
        <v>0.3</v>
      </c>
      <c s="57">
        <v>0.1</v>
      </c>
      <c r="J14" s="48"/>
      <c s="8"/>
      <c r="M14" s="7"/>
    </row>
    <row r="15" ht="28.5">
      <c r="A15" s="57" t="s">
        <v>211</v>
      </c>
      <c s="57">
        <v>2E+3</v>
      </c>
      <c s="57" t="s">
        <v>117</v>
      </c>
      <c s="57">
        <v>2004</v>
      </c>
      <c s="127" t="s">
        <v>120</v>
      </c>
      <c s="228" t="s">
        <v>186</v>
      </c>
      <c s="57">
        <v>0.3</v>
      </c>
      <c s="57">
        <v>0.1</v>
      </c>
      <c r="J15" s="48"/>
      <c s="8"/>
      <c r="M15" s="7"/>
    </row>
    <row r="16" customHeight="1">
      <c r="A16" s="57" t="s">
        <v>211</v>
      </c>
      <c s="57">
        <v>2E+3</v>
      </c>
      <c s="57" t="s">
        <v>117</v>
      </c>
      <c s="57">
        <v>2005</v>
      </c>
      <c s="228" t="s">
        <v>83</v>
      </c>
      <c s="228" t="s">
        <v>180</v>
      </c>
      <c s="57">
        <v>0.3</v>
      </c>
      <c s="57">
        <v>0.1</v>
      </c>
      <c r="M16" s="7"/>
    </row>
    <row r="17" customHeight="1">
      <c r="A17" s="57" t="s">
        <v>211</v>
      </c>
      <c s="57">
        <v>2E+3</v>
      </c>
      <c s="57" t="s">
        <v>117</v>
      </c>
      <c s="57">
        <v>2006</v>
      </c>
      <c s="228" t="s">
        <v>83</v>
      </c>
      <c s="228" t="s">
        <v>181</v>
      </c>
      <c s="57">
        <v>0.3</v>
      </c>
      <c s="57">
        <v>0.1</v>
      </c>
      <c r="M17" s="7"/>
    </row>
    <row r="18" customHeight="1">
      <c r="A18" s="57" t="s">
        <v>211</v>
      </c>
      <c s="57">
        <v>2E+3</v>
      </c>
      <c s="57" t="s">
        <v>117</v>
      </c>
      <c s="57">
        <v>2007</v>
      </c>
      <c s="228" t="s">
        <v>83</v>
      </c>
      <c s="228" t="s">
        <v>182</v>
      </c>
      <c s="57">
        <v>0.3</v>
      </c>
      <c s="57">
        <v>0.1</v>
      </c>
      <c r="M18" s="7"/>
    </row>
    <row r="19" customHeight="1">
      <c r="A19" s="57" t="s">
        <v>211</v>
      </c>
      <c s="57">
        <v>2E+3</v>
      </c>
      <c s="57" t="s">
        <v>117</v>
      </c>
      <c s="57">
        <v>2008</v>
      </c>
      <c s="228" t="s">
        <v>87</v>
      </c>
      <c s="228" t="s">
        <v>180</v>
      </c>
      <c s="57">
        <v>0.3</v>
      </c>
      <c s="57">
        <v>0.1</v>
      </c>
      <c r="M19" s="7"/>
    </row>
    <row r="20" customHeight="1">
      <c r="A20" s="57" t="s">
        <v>211</v>
      </c>
      <c s="57">
        <v>2E+3</v>
      </c>
      <c s="57" t="s">
        <v>117</v>
      </c>
      <c s="57">
        <v>2009</v>
      </c>
      <c s="228" t="s">
        <v>87</v>
      </c>
      <c s="228" t="s">
        <v>181</v>
      </c>
      <c s="57">
        <v>0.3</v>
      </c>
      <c s="57">
        <v>0.1</v>
      </c>
      <c r="M20" s="7"/>
    </row>
    <row r="21" customHeight="1">
      <c r="A21" s="57" t="s">
        <v>211</v>
      </c>
      <c s="57">
        <v>2E+3</v>
      </c>
      <c s="57" t="s">
        <v>117</v>
      </c>
      <c s="57">
        <v>2010</v>
      </c>
      <c s="228" t="s">
        <v>87</v>
      </c>
      <c s="228" t="s">
        <v>182</v>
      </c>
      <c s="57">
        <v>0.3</v>
      </c>
      <c s="57">
        <v>0.1</v>
      </c>
      <c r="M21" s="7"/>
    </row>
    <row r="22" customHeight="1">
      <c r="A22" s="57" t="s">
        <v>211</v>
      </c>
      <c s="57">
        <v>2E+3</v>
      </c>
      <c s="57" t="s">
        <v>117</v>
      </c>
      <c s="57">
        <v>2011</v>
      </c>
      <c s="228" t="s">
        <v>90</v>
      </c>
      <c s="228" t="s">
        <v>180</v>
      </c>
      <c s="57">
        <v>0.3</v>
      </c>
      <c s="57">
        <v>0.1</v>
      </c>
      <c r="M22" s="7"/>
    </row>
    <row r="23" customHeight="1">
      <c r="A23" s="57" t="s">
        <v>211</v>
      </c>
      <c s="57">
        <v>2E+3</v>
      </c>
      <c s="57" t="s">
        <v>117</v>
      </c>
      <c s="57">
        <v>2012</v>
      </c>
      <c s="228" t="s">
        <v>90</v>
      </c>
      <c s="228" t="s">
        <v>181</v>
      </c>
      <c s="57">
        <v>0.3</v>
      </c>
      <c s="57">
        <v>0.1</v>
      </c>
      <c r="M23" s="7"/>
    </row>
    <row r="24" customHeight="1">
      <c r="A24" s="57" t="s">
        <v>211</v>
      </c>
      <c s="57">
        <v>2E+3</v>
      </c>
      <c s="57" t="s">
        <v>117</v>
      </c>
      <c s="57">
        <v>2013</v>
      </c>
      <c s="228" t="s">
        <v>90</v>
      </c>
      <c s="228" t="s">
        <v>182</v>
      </c>
      <c s="57">
        <v>0.3</v>
      </c>
      <c s="57">
        <v>0.1</v>
      </c>
      <c r="M24" s="7"/>
    </row>
    <row r="25" customHeight="1">
      <c r="A25" s="57" t="s">
        <v>211</v>
      </c>
      <c s="57">
        <v>3E+3</v>
      </c>
      <c s="57" t="s">
        <v>121</v>
      </c>
      <c s="57">
        <v>3001</v>
      </c>
      <c s="34" t="s">
        <v>23</v>
      </c>
      <c s="30" t="s">
        <v>22</v>
      </c>
      <c s="49">
        <v>0.01</v>
      </c>
      <c s="57"/>
      <c r="M25" s="7"/>
    </row>
    <row r="26" customHeight="1">
      <c r="A26" s="57" t="s">
        <v>211</v>
      </c>
      <c s="57">
        <v>3E+3</v>
      </c>
      <c s="57" t="s">
        <v>121</v>
      </c>
      <c s="57">
        <v>3002</v>
      </c>
      <c s="34" t="s">
        <v>25</v>
      </c>
      <c s="30" t="s">
        <v>24</v>
      </c>
      <c s="49">
        <v>0.02</v>
      </c>
      <c s="57"/>
      <c r="M26" s="7"/>
    </row>
    <row r="27" customHeight="1">
      <c r="A27" s="57" t="s">
        <v>211</v>
      </c>
      <c s="57">
        <v>4E+3</v>
      </c>
      <c s="57" t="s">
        <v>123</v>
      </c>
      <c s="57">
        <v>4001</v>
      </c>
      <c s="34" t="s">
        <v>26</v>
      </c>
      <c s="57"/>
      <c s="42">
        <v>0.0005</v>
      </c>
      <c s="57"/>
      <c r="M27" s="7"/>
    </row>
    <row r="28" customHeight="1">
      <c r="A28" s="57" t="s">
        <v>211</v>
      </c>
      <c s="57">
        <v>5E+3</v>
      </c>
      <c s="57" t="s">
        <v>125</v>
      </c>
      <c s="57">
        <v>5001</v>
      </c>
      <c s="34" t="s">
        <v>28</v>
      </c>
      <c s="57"/>
      <c s="38">
        <v>0.1</v>
      </c>
      <c s="57"/>
      <c r="M28" s="7"/>
    </row>
    <row r="29" customHeight="1">
      <c r="A29" s="57" t="s">
        <v>211</v>
      </c>
      <c s="57">
        <v>6E+3</v>
      </c>
      <c s="57" t="s">
        <v>126</v>
      </c>
      <c s="57">
        <v>6001</v>
      </c>
      <c s="34" t="s">
        <v>127</v>
      </c>
      <c s="34">
        <v>656.1</v>
      </c>
      <c s="39">
        <v>20</v>
      </c>
      <c s="57"/>
      <c r="M29" s="7"/>
    </row>
    <row r="30" customHeight="1">
      <c r="A30" s="57" t="s">
        <v>211</v>
      </c>
      <c s="57">
        <v>6E+3</v>
      </c>
      <c s="57" t="s">
        <v>126</v>
      </c>
      <c s="57">
        <v>6002</v>
      </c>
      <c s="34" t="s">
        <v>129</v>
      </c>
      <c s="34">
        <v>656.1</v>
      </c>
      <c s="39">
        <v>20</v>
      </c>
      <c s="57"/>
      <c r="M30" s="7"/>
    </row>
    <row r="31" customHeight="1">
      <c r="A31" s="57" t="s">
        <v>211</v>
      </c>
      <c s="57">
        <v>6E+3</v>
      </c>
      <c s="57" t="s">
        <v>126</v>
      </c>
      <c s="57">
        <v>6003</v>
      </c>
      <c s="34" t="s">
        <v>130</v>
      </c>
      <c s="34">
        <v>656.1</v>
      </c>
      <c s="39">
        <v>20</v>
      </c>
      <c s="57"/>
      <c r="M31" s="7"/>
    </row>
    <row r="32" customHeight="1">
      <c r="A32" s="57" t="s">
        <v>211</v>
      </c>
      <c s="57">
        <v>6E+3</v>
      </c>
      <c s="57" t="s">
        <v>126</v>
      </c>
      <c s="57">
        <v>6004</v>
      </c>
      <c s="34" t="s">
        <v>131</v>
      </c>
      <c s="34">
        <v>656.1</v>
      </c>
      <c s="39">
        <v>20</v>
      </c>
      <c s="57"/>
      <c r="M32" s="7"/>
    </row>
    <row r="33" customHeight="1">
      <c r="A33" s="57" t="s">
        <v>211</v>
      </c>
      <c s="57">
        <v>6E+3</v>
      </c>
      <c s="57" t="s">
        <v>126</v>
      </c>
      <c s="57">
        <v>6005</v>
      </c>
      <c s="34" t="s">
        <v>132</v>
      </c>
      <c s="34">
        <v>656.1</v>
      </c>
      <c s="39">
        <v>20</v>
      </c>
      <c s="57"/>
      <c r="M33" s="7"/>
    </row>
    <row r="34" customHeight="1">
      <c r="A34" s="57" t="s">
        <v>211</v>
      </c>
      <c s="57">
        <v>7E+3</v>
      </c>
      <c s="57" t="s">
        <v>133</v>
      </c>
      <c s="57">
        <v>7001</v>
      </c>
      <c s="57" t="s">
        <v>134</v>
      </c>
      <c s="229">
        <v>500</v>
      </c>
      <c s="40">
        <v>0.05</v>
      </c>
      <c s="57"/>
      <c r="M34" s="7"/>
    </row>
    <row r="35" customHeight="1">
      <c r="A35" s="57" t="s">
        <v>211</v>
      </c>
      <c s="57">
        <v>7E+3</v>
      </c>
      <c s="57" t="s">
        <v>133</v>
      </c>
      <c s="57">
        <v>7002</v>
      </c>
      <c s="57" t="s">
        <v>135</v>
      </c>
      <c s="229">
        <v>500</v>
      </c>
      <c s="36">
        <v>0.005</v>
      </c>
      <c s="57"/>
      <c r="M35" s="7"/>
    </row>
    <row r="36" customHeight="1">
      <c r="A36" s="57" t="s">
        <v>211</v>
      </c>
      <c s="57">
        <v>7E+3</v>
      </c>
      <c s="57" t="s">
        <v>133</v>
      </c>
      <c s="57">
        <v>7003</v>
      </c>
      <c s="57" t="s">
        <v>136</v>
      </c>
      <c s="229">
        <v>250</v>
      </c>
      <c s="40">
        <v>0.05</v>
      </c>
      <c s="57"/>
      <c r="M36" s="7"/>
    </row>
    <row r="37" customHeight="1">
      <c r="A37" s="57" t="s">
        <v>211</v>
      </c>
      <c s="57">
        <v>7E+3</v>
      </c>
      <c s="57" t="s">
        <v>133</v>
      </c>
      <c s="57">
        <v>7004</v>
      </c>
      <c s="57" t="s">
        <v>137</v>
      </c>
      <c s="229">
        <v>250</v>
      </c>
      <c s="36">
        <v>0.005</v>
      </c>
      <c s="57"/>
      <c r="M37" s="7"/>
    </row>
    <row r="38" customHeight="1">
      <c r="A38" s="57" t="s">
        <v>211</v>
      </c>
      <c s="57">
        <v>8E+3</v>
      </c>
      <c s="57" t="s">
        <v>138</v>
      </c>
      <c s="57">
        <v>8001</v>
      </c>
      <c s="57" t="s">
        <v>139</v>
      </c>
      <c s="229">
        <v>1090</v>
      </c>
      <c s="31">
        <v>0.1</v>
      </c>
      <c s="57"/>
      <c r="M38" s="7"/>
    </row>
    <row r="39" customHeight="1">
      <c r="A39" s="57" t="s">
        <v>211</v>
      </c>
      <c s="57">
        <v>8E+3</v>
      </c>
      <c s="57" t="s">
        <v>138</v>
      </c>
      <c s="57">
        <v>8002</v>
      </c>
      <c s="57" t="s">
        <v>140</v>
      </c>
      <c s="229">
        <v>1090</v>
      </c>
      <c s="40">
        <v>0.02</v>
      </c>
      <c s="57"/>
      <c r="M39" s="7"/>
    </row>
    <row r="40" customHeight="1">
      <c r="A40" s="57" t="s">
        <v>211</v>
      </c>
      <c s="57">
        <v>8E+3</v>
      </c>
      <c s="57" t="s">
        <v>138</v>
      </c>
      <c s="57">
        <v>8003</v>
      </c>
      <c s="57" t="s">
        <v>141</v>
      </c>
      <c s="229">
        <v>200</v>
      </c>
      <c s="31">
        <v>0.1</v>
      </c>
      <c s="57"/>
      <c r="M40" s="7"/>
    </row>
    <row r="41" customHeight="1">
      <c r="A41" s="57" t="s">
        <v>211</v>
      </c>
      <c s="52">
        <v>8E+3</v>
      </c>
      <c s="52" t="s">
        <v>138</v>
      </c>
      <c s="52">
        <v>8004</v>
      </c>
      <c s="52" t="s">
        <v>142</v>
      </c>
      <c s="229">
        <v>200</v>
      </c>
      <c s="40">
        <v>0.02</v>
      </c>
      <c s="52"/>
      <c r="M41" s="7"/>
    </row>
    <row r="42" customHeight="1">
      <c r="A42" s="57" t="s">
        <v>211</v>
      </c>
      <c s="52">
        <v>9E+3</v>
      </c>
      <c s="52" t="s">
        <v>143</v>
      </c>
      <c s="52">
        <v>9001</v>
      </c>
      <c s="34" t="s">
        <v>143</v>
      </c>
      <c s="52" t="s">
        <v>188</v>
      </c>
      <c s="41">
        <v>0.1</v>
      </c>
      <c s="52"/>
      <c r="M42" s="7"/>
    </row>
  </sheetData>
  <mergeCells>
    <mergeCell ref="A1:H1"/>
  </mergeCells>
  <printOptions/>
  <pageMargins left="0.7" right="0.7" top="0.75" bottom="0.75" header="0.3" footer="0.3"/>
  <pageSetup paperSize="9" firstPageNumber="4294963191" copies="0"/>
  <headerFooter/>
  <extLst/>
</worksheet>
</file>

<file path=xl/worksheets/sheet5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1"/>
  <sheetViews>
    <sheetView topLeftCell="A1" workbookViewId="0">
      <pane topLeftCell="A1"/>
      <selection activeCellId="0" activeCell="A1" sqref="A1"/>
    </sheetView>
  </sheetViews>
  <sheetFormatPr defaultColWidth="9" defaultRowHeight="12" customHeight="1"/>
  <cols>
    <col min="1" max="1" width="10.13" customWidth="1" style="6"/>
    <col min="2" max="2" width="12.5" customWidth="1" style="6"/>
    <col min="3" max="3" width="9" style="125"/>
    <col min="4" max="4" width="29.25" customWidth="1" style="125"/>
    <col min="5" max="5" width="12.38" customWidth="1" style="125"/>
    <col min="6" max="6" width="9" customWidth="1" style="125"/>
    <col min="7" max="16384" width="9" style="125"/>
  </cols>
  <sheetData>
    <row r="1" customHeight="1">
      <c r="A1" s="65" t="s">
        <v>6</v>
      </c>
      <c s="65" t="s">
        <v>5</v>
      </c>
      <c r="D1" s="45" t="s">
        <v>214</v>
      </c>
      <c s="45" t="s">
        <v>213</v>
      </c>
    </row>
    <row r="2" customHeight="1">
      <c r="A2" s="140" t="s">
        <v>199</v>
      </c>
      <c s="140" t="s">
        <v>202</v>
      </c>
      <c r="D2" s="57" t="s">
        <v>111</v>
      </c>
      <c s="57">
        <v>1E+3</v>
      </c>
    </row>
    <row r="3" customHeight="1">
      <c r="A3" s="140" t="s">
        <v>200</v>
      </c>
      <c s="140" t="s">
        <v>311</v>
      </c>
      <c r="D3" s="57" t="s">
        <v>117</v>
      </c>
      <c s="57">
        <v>2E+3</v>
      </c>
    </row>
    <row r="4" customHeight="1">
      <c r="A4" s="140" t="s">
        <v>201</v>
      </c>
      <c s="140" t="s">
        <v>312</v>
      </c>
      <c r="D4" s="57" t="s">
        <v>121</v>
      </c>
      <c s="57">
        <v>3E+3</v>
      </c>
    </row>
    <row r="5" customHeight="1">
      <c r="A5" s="140" t="s">
        <v>306</v>
      </c>
      <c s="140" t="s">
        <v>313</v>
      </c>
      <c r="D5" s="57" t="s">
        <v>123</v>
      </c>
      <c s="57">
        <v>4E+3</v>
      </c>
    </row>
    <row r="6" customHeight="1">
      <c r="A6" s="140" t="s">
        <v>307</v>
      </c>
      <c s="140" t="s">
        <v>314</v>
      </c>
      <c r="D6" s="57" t="s">
        <v>125</v>
      </c>
      <c s="57">
        <v>5E+3</v>
      </c>
    </row>
    <row r="7" customHeight="1">
      <c r="A7" s="140" t="s">
        <v>308</v>
      </c>
      <c s="140" t="s">
        <v>203</v>
      </c>
      <c r="D7" s="57" t="s">
        <v>126</v>
      </c>
      <c s="57">
        <v>6E+3</v>
      </c>
    </row>
    <row r="8" customHeight="1">
      <c r="A8" s="140" t="s">
        <v>309</v>
      </c>
      <c s="140" t="s">
        <v>211</v>
      </c>
      <c r="D8" s="57" t="s">
        <v>133</v>
      </c>
      <c s="57">
        <v>7E+3</v>
      </c>
    </row>
    <row r="9" customHeight="1">
      <c r="A9" s="44" t="s">
        <v>310</v>
      </c>
      <c s="44" t="s">
        <v>315</v>
      </c>
      <c r="D9" s="52" t="s">
        <v>138</v>
      </c>
      <c s="52">
        <v>8E+3</v>
      </c>
    </row>
    <row r="10" customHeight="1">
      <c r="A10" s="166"/>
      <c s="166"/>
      <c r="D10" s="52" t="s">
        <v>143</v>
      </c>
      <c s="52">
        <v>9E+3</v>
      </c>
    </row>
    <row r="11" customHeight="1">
      <c r="A11" s="166"/>
      <c s="166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6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8"/>
  <sheetViews>
    <sheetView topLeftCell="A1" workbookViewId="0">
      <pane topLeftCell="A1"/>
      <selection activeCellId="0" activeCell="A1" sqref="A1"/>
    </sheetView>
  </sheetViews>
  <sheetFormatPr defaultColWidth="9" defaultRowHeight="12" customHeight="1"/>
  <cols>
    <col min="1" max="1" width="23.75" customWidth="1" style="125"/>
    <col min="2" max="2" width="49" customWidth="1" style="125"/>
    <col min="3" max="3" width="12" customWidth="1" style="125"/>
    <col min="4" max="16384" width="9" style="125"/>
  </cols>
  <sheetData>
    <row r="1" customHeight="1">
      <c r="A1" s="69" t="s">
        <v>288</v>
      </c>
      <c s="69" t="s">
        <v>289</v>
      </c>
      <c s="69" t="s">
        <v>290</v>
      </c>
      <c s="69" t="s">
        <v>301</v>
      </c>
      <c s="69" t="s">
        <v>302</v>
      </c>
    </row>
    <row r="2" customHeight="1">
      <c r="A2" s="35" t="str">
        <f ca="1" ref="A2:A18" t="shared" si="0">MID(CELL("filename"),FIND("[",CELL("filename"),1)+1,FIND(".",CELL("filename"),1)-FIND("[",CELL("filename"),1)-1)</f>
        <v>Model-VariableSlit</v>
      </c>
      <c s="32" t="s">
        <v>291</v>
      </c>
      <c s="67"/>
      <c s="35"/>
      <c s="35"/>
    </row>
    <row r="3" customHeight="1">
      <c r="A3" s="35" t="str">
        <f ca="1" t="shared" si="0"/>
        <v>Model-VariableSlit</v>
      </c>
      <c s="146" t="s">
        <v>281</v>
      </c>
      <c s="67"/>
      <c s="35"/>
      <c s="35"/>
    </row>
    <row r="4" customHeight="1">
      <c r="A4" s="35" t="str">
        <f ca="1" t="shared" si="0"/>
        <v>Model-VariableSlit</v>
      </c>
      <c s="146" t="s">
        <v>282</v>
      </c>
      <c s="67"/>
      <c s="35"/>
      <c s="35"/>
    </row>
    <row r="5" customHeight="1">
      <c r="A5" s="35" t="str">
        <f ca="1" t="shared" si="0"/>
        <v>Model-VariableSlit</v>
      </c>
      <c s="146" t="s">
        <v>283</v>
      </c>
      <c s="67"/>
      <c s="35"/>
      <c s="35"/>
    </row>
    <row r="6" customHeight="1">
      <c r="A6" s="35" t="str">
        <f ca="1" t="shared" si="0"/>
        <v>Model-VariableSlit</v>
      </c>
      <c s="146" t="s">
        <v>284</v>
      </c>
      <c s="67"/>
      <c s="35"/>
      <c s="35"/>
    </row>
    <row r="7" customHeight="1">
      <c r="A7" s="35" t="str">
        <f ca="1" t="shared" si="0"/>
        <v>Model-VariableSlit</v>
      </c>
      <c s="146" t="s">
        <v>285</v>
      </c>
      <c s="67"/>
      <c s="35"/>
      <c s="35"/>
    </row>
    <row r="8" customHeight="1">
      <c r="A8" s="35" t="str">
        <f ca="1" t="shared" si="0"/>
        <v>Model-VariableSlit</v>
      </c>
      <c s="146" t="s">
        <v>286</v>
      </c>
      <c s="67"/>
      <c s="35"/>
      <c s="35"/>
    </row>
    <row r="9" customHeight="1">
      <c r="A9" s="35" t="str">
        <f ca="1" t="shared" si="0"/>
        <v>Model-VariableSlit</v>
      </c>
      <c s="146" t="s">
        <v>287</v>
      </c>
      <c s="67"/>
      <c s="35"/>
      <c s="35"/>
    </row>
    <row r="10" customHeight="1">
      <c r="A10" s="35" t="str">
        <f ca="1" t="shared" si="0"/>
        <v>Model-VariableSlit</v>
      </c>
      <c s="32" t="s">
        <v>292</v>
      </c>
      <c s="67"/>
      <c s="35">
        <v>1001</v>
      </c>
      <c s="35">
        <v>1001</v>
      </c>
    </row>
    <row r="11" customHeight="1">
      <c r="A11" s="35" t="str">
        <f ca="1" t="shared" si="0"/>
        <v>Model-VariableSlit</v>
      </c>
      <c s="32" t="s">
        <v>293</v>
      </c>
      <c s="67"/>
      <c s="35">
        <v>1002</v>
      </c>
      <c s="35">
        <v>1002</v>
      </c>
    </row>
    <row r="12" customHeight="1">
      <c r="A12" s="35" t="str">
        <f ca="1" t="shared" si="0"/>
        <v>Model-VariableSlit</v>
      </c>
      <c s="32" t="s">
        <v>294</v>
      </c>
      <c s="67"/>
      <c s="35">
        <v>2001</v>
      </c>
      <c s="35">
        <v>2001</v>
      </c>
    </row>
    <row r="13" customHeight="1">
      <c r="A13" s="35" t="str">
        <f ca="1" t="shared" si="0"/>
        <v>Model-VariableSlit</v>
      </c>
      <c s="32" t="s">
        <v>295</v>
      </c>
      <c s="67"/>
      <c s="35">
        <v>2002</v>
      </c>
      <c s="35">
        <v>2001</v>
      </c>
    </row>
    <row r="14" customHeight="1">
      <c r="A14" s="35" t="str">
        <f ca="1" t="shared" si="0"/>
        <v>Model-VariableSlit</v>
      </c>
      <c s="32" t="s">
        <v>296</v>
      </c>
      <c s="67"/>
      <c s="35">
        <v>2003</v>
      </c>
      <c s="35">
        <v>2001</v>
      </c>
    </row>
    <row r="15" customHeight="1">
      <c r="A15" s="35" t="str">
        <f ca="1" t="shared" si="0"/>
        <v>Model-VariableSlit</v>
      </c>
      <c s="32" t="s">
        <v>297</v>
      </c>
      <c s="67"/>
      <c s="35">
        <v>2004</v>
      </c>
      <c s="35">
        <v>2001</v>
      </c>
    </row>
    <row r="16" customHeight="1">
      <c r="A16" s="35" t="str">
        <f ca="1" t="shared" si="0"/>
        <v>Model-VariableSlit</v>
      </c>
      <c s="32" t="s">
        <v>298</v>
      </c>
      <c s="67"/>
      <c s="35">
        <v>3001</v>
      </c>
      <c s="35">
        <v>3001</v>
      </c>
    </row>
    <row r="17" customHeight="1">
      <c r="A17" s="35" t="str">
        <f ca="1" t="shared" si="0"/>
        <v>Model-VariableSlit</v>
      </c>
      <c s="32" t="s">
        <v>299</v>
      </c>
      <c s="67"/>
      <c s="35">
        <v>3002</v>
      </c>
      <c s="35">
        <v>3002</v>
      </c>
    </row>
    <row r="18" customHeight="1">
      <c r="A18" s="35" t="str">
        <f ca="1" t="shared" si="0"/>
        <v>Model-VariableSlit</v>
      </c>
      <c s="29" t="s">
        <v>300</v>
      </c>
      <c s="67"/>
      <c s="35">
        <v>4001</v>
      </c>
      <c s="35">
        <v>4001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7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AB8"/>
  <sheetViews>
    <sheetView topLeftCell="A1" workbookViewId="0" zoomScale="70" showGridLines="0" zoomScaleNormal="70">
      <pane topLeftCell="A1"/>
      <selection activeCellId="0" activeCell="A1" sqref="A1"/>
    </sheetView>
  </sheetViews>
  <sheetFormatPr defaultColWidth="8.88" defaultRowHeight="12" customHeight="1"/>
  <cols>
    <col min="1" max="1" width="29.25" customWidth="1" style="78"/>
    <col min="2" max="2" width="18.38" customWidth="1" style="74"/>
    <col min="3" max="3" width="21.5" customWidth="1" style="74"/>
    <col min="4" max="4" width="40" customWidth="1" style="74"/>
    <col min="5" max="5" width="46.5" customWidth="1" style="74"/>
    <col min="6" max="6" width="8.88" style="74"/>
    <col min="7" max="7" width="10.5" customWidth="1" style="74"/>
    <col min="8" max="8" width="20.13" customWidth="1" style="74"/>
    <col min="9" max="9" width="79.5" customWidth="1" hidden="1" style="74"/>
    <col min="10" max="10" width="15.38" customWidth="1" style="74"/>
    <col min="11" max="11" width="11.5" customWidth="1" style="74"/>
    <col min="12" max="12" width="9.63" customWidth="1" style="74"/>
    <col min="13" max="13" width="8.5" customWidth="1" style="74"/>
    <col min="14" max="14" width="9.88" customWidth="1" style="74"/>
    <col min="15" max="15" width="10" customWidth="1" style="74"/>
    <col min="16" max="16" width="9.63" customWidth="1" style="74"/>
    <col min="17" max="17" width="8.5" customWidth="1" style="74"/>
    <col min="18" max="18" width="9.13" customWidth="1" style="74"/>
    <col min="19" max="19" width="9.5" customWidth="1" style="74"/>
    <col min="20" max="21" width="9.63" customWidth="1" style="74"/>
    <col min="22" max="22" width="18" customWidth="1" style="74"/>
    <col min="23" max="23" width="12.38" customWidth="1" style="74"/>
    <col min="24" max="24" width="18.5" customWidth="1" style="74"/>
    <col min="25" max="25" width="19.38" customWidth="1" style="74"/>
    <col min="26" max="26" width="15.13" customWidth="1" hidden="1" style="5"/>
    <col min="27" max="27" width="11.63" customWidth="1" style="5"/>
    <col min="28" max="28" width="26.25" customWidth="1" style="81"/>
    <col min="29" max="16384" width="8.88" style="74"/>
  </cols>
  <sheetData>
    <row r="1" ht="40.5" customFormat="1" s="72">
      <c r="A1" s="232" t="s">
        <v>96</v>
      </c>
      <c s="232" t="s">
        <v>97</v>
      </c>
      <c s="232" t="s">
        <v>225</v>
      </c>
      <c s="232" t="s">
        <v>98</v>
      </c>
      <c s="232" t="s">
        <v>99</v>
      </c>
      <c s="232" t="s">
        <v>64</v>
      </c>
      <c s="232" t="s">
        <v>100</v>
      </c>
      <c s="232" t="s">
        <v>57</v>
      </c>
      <c s="65" t="s">
        <v>101</v>
      </c>
      <c s="232" t="s">
        <v>101</v>
      </c>
      <c s="207" t="s">
        <v>194</v>
      </c>
      <c s="207" t="s">
        <v>102</v>
      </c>
      <c s="207" t="s">
        <v>62</v>
      </c>
      <c s="207" t="s">
        <v>103</v>
      </c>
      <c s="207" t="s">
        <v>104</v>
      </c>
      <c s="207" t="s">
        <v>105</v>
      </c>
      <c s="207" t="s">
        <v>67</v>
      </c>
      <c s="207" t="s">
        <v>30</v>
      </c>
      <c s="207" t="s">
        <v>106</v>
      </c>
      <c s="207" t="s">
        <v>107</v>
      </c>
      <c s="207" t="s">
        <v>228</v>
      </c>
      <c s="232" t="s">
        <v>59</v>
      </c>
      <c s="232" t="s">
        <v>108</v>
      </c>
      <c s="232" t="s">
        <v>109</v>
      </c>
      <c s="232" t="s">
        <v>110</v>
      </c>
      <c s="232" t="s">
        <v>213</v>
      </c>
      <c s="232" t="s">
        <v>215</v>
      </c>
      <c s="75" t="s">
        <v>58</v>
      </c>
    </row>
    <row r="2" ht="43.5">
      <c r="A2" s="26" t="s">
        <v>143</v>
      </c>
      <c s="220" t="s">
        <v>143</v>
      </c>
      <c s="26" t="s">
        <v>144</v>
      </c>
      <c s="26" t="str">
        <f>IF(L2="","",'字段对应'!$B$10&amp;"="&amp;VLOOKUP(L2,'基础信息'!$I$2:$J$6,2,0)&amp;";")&amp;IF(M2="","",'字段对应'!$B$11&amp;"="&amp;VLOOKUP(M2,'基础信息'!$K$2:$L$6,2,0)&amp;";")&amp;IF(N2="","",'字段对应'!$C$2&amp;"="&amp;N2&amp;","&amp;O2&amp;","&amp;P2&amp;";")&amp;IF(Q2="","",'字段对应'!$B$13&amp;"="&amp;Q2&amp;";")&amp;IF(R2="","",'字段对应'!$B$14&amp;"="&amp;R2&amp;";")&amp;IF(U2="","",'字段对应'!$B$22&amp;"="&amp;U2&amp;";")&amp;IF(K2="","",'字段对应'!$B$21&amp;"="&amp;VLOOKUP(K2,'基础信息'!$F$2:$G$4,2,0))</f>
        <v>PhotoMode=1;ScanSpeed=3;Slit1=2.0;ResponseTime=0.5;</v>
      </c>
      <c s="26" t="str">
        <f>IF(W2="","",'检测项信息'!W2&amp;":"&amp;'字段对应'!$B$16&amp;"|")&amp;IF(X2="","",X2&amp;":"&amp;IF(V2="是",'字段对应'!$C$17,'字段对应'!$B$17&amp;";"&amp;IF(H2="","",'字段对应'!$B$15&amp;"="&amp;'检测项信息'!H2))&amp;"|")&amp;IF(Y2="",":",Y2&amp;":")&amp;IF(V2="是",'字段对应'!$C$18,'字段对应'!$B$18&amp;";"&amp;IF(H2="","",'字段对应'!$B$15&amp;"="&amp;'检测项信息'!H2)&amp;IF(AND(T2="",S2=""),"",";"&amp;'字段对应'!$B$20&amp;"="&amp;T2&amp;";"&amp;'字段对应'!$B$19&amp;"="&amp;S2))</f>
        <v>黑挡块:Dark|空气:Zero;Wl=500|空气:Measure;Wl=500;totalcount=10;timeinterval=1</v>
      </c>
      <c s="26">
        <v>1</v>
      </c>
      <c s="26"/>
      <c s="26">
        <v>500</v>
      </c>
      <c s="26" t="str">
        <f>VLOOKUP(J2,'字段对应'!$D$2:$E$8,2,0)</f>
        <v>Validation.ViewModel.DataStructure.FindMaxOffsetUVTestTool</v>
      </c>
      <c s="26" t="s">
        <v>192</v>
      </c>
      <c s="66"/>
      <c s="66" t="s">
        <v>74</v>
      </c>
      <c s="66" t="s">
        <v>82</v>
      </c>
      <c s="66"/>
      <c s="66"/>
      <c s="66"/>
      <c s="66"/>
      <c s="66" t="s">
        <v>226</v>
      </c>
      <c s="66">
        <v>1</v>
      </c>
      <c s="224">
        <v>10</v>
      </c>
      <c s="66">
        <v>0.5</v>
      </c>
      <c s="26" t="s">
        <v>72</v>
      </c>
      <c s="26" t="s">
        <v>114</v>
      </c>
      <c s="26" t="s">
        <v>115</v>
      </c>
      <c s="26" t="s">
        <v>115</v>
      </c>
      <c s="26">
        <f>VLOOKUP(A2,'对应信息'!$D$2:$E$10,2,0)</f>
        <v>9E+3</v>
      </c>
      <c s="21">
        <f>IF(Z1=Z2,AA1+1,Z2+1)</f>
        <v>9001</v>
      </c>
      <c s="70"/>
    </row>
    <row r="8" customHeight="1">
      <c r="E8" s="76"/>
    </row>
  </sheetData>
  <dataValidations>
    <dataValidation type="list" allowBlank="1" showInputMessage="1" showErrorMessage="1" sqref="M1:M1048550">
      <formula1>'基础信息'!$K$2:$K$6</formula1>
    </dataValidation>
    <dataValidation type="list" allowBlank="1" showInputMessage="1" showErrorMessage="1" sqref="J1:J1048550">
      <formula1>'字段对应'!$D$2:$D$8</formula1>
    </dataValidation>
    <dataValidation type="list" allowBlank="1" showInputMessage="1" showErrorMessage="1" sqref="L1:L1048550">
      <formula1>'基础信息'!$I$2:$I$6</formula1>
    </dataValidation>
    <dataValidation type="list" allowBlank="1" showInputMessage="1" showErrorMessage="1" sqref="Q1:Q1048550">
      <formula1>'基础信息'!$Q$2:$Q$7</formula1>
    </dataValidation>
    <dataValidation type="list" allowBlank="1" showInputMessage="1" showErrorMessage="1" sqref="R1:R1048550">
      <formula1>'基础信息'!$P$2:$P$6</formula1>
    </dataValidation>
    <dataValidation type="list" allowBlank="1" showInputMessage="1" showErrorMessage="1" sqref="V1:V1048550">
      <formula1>'基础信息'!$E$2:$E$3</formula1>
    </dataValidation>
    <dataValidation type="list" allowBlank="1" showInputMessage="1" showErrorMessage="1" sqref="K1:K1048550">
      <formula1>'基础信息'!$F$2:$F$4</formula1>
    </dataValidation>
    <dataValidation type="list" allowBlank="1" showInputMessage="1" showErrorMessage="1" sqref="U1:U1048550">
      <formula1>'基础信息'!$R$2:$R$5</formula1>
    </dataValidation>
    <dataValidation type="list" allowBlank="1" showInputMessage="1" showErrorMessage="1" sqref="P1:P1048550">
      <formula1>'基础信息'!$M$2:$M$9</formula1>
    </dataValidation>
  </dataValidations>
  <printOptions/>
  <pageMargins left="0.7" right="0.7" top="0.75" bottom="0.75" header="0.3" footer="0.3"/>
  <pageSetup paperSize="9" firstPageNumber="4294963191" copies="0"/>
  <headerFooter/>
  <extLst/>
</worksheet>
</file>

<file path=xl/worksheets/sheet8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3"/>
  <sheetViews>
    <sheetView topLeftCell="A1" workbookViewId="0" showGridLines="0">
      <pane topLeftCell="A1"/>
      <selection activeCellId="0" activeCell="A1" sqref="A1"/>
    </sheetView>
  </sheetViews>
  <sheetFormatPr defaultColWidth="9" defaultRowHeight="12" customHeight="1"/>
  <cols>
    <col min="1" max="1" width="35.38" customWidth="1" style="125"/>
    <col min="2" max="2" width="27.5" customWidth="1" style="125"/>
    <col min="3" max="3" width="15.75" customWidth="1" style="125"/>
    <col min="4" max="4" width="20.25" customWidth="1" style="125"/>
    <col min="5" max="16384" width="9" style="125"/>
  </cols>
  <sheetData>
    <row r="1" customHeight="1">
      <c r="A1" s="79" t="s">
        <v>198</v>
      </c>
      <c s="79" t="s">
        <v>15</v>
      </c>
      <c s="79" t="s">
        <v>57</v>
      </c>
      <c s="235" t="s">
        <v>256</v>
      </c>
    </row>
    <row r="3" customHeight="1">
      <c r="A3" s="43" t="s">
        <v>279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9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22"/>
  <sheetViews>
    <sheetView topLeftCell="A1" workbookViewId="0">
      <pane topLeftCell="A1"/>
      <selection activeCellId="0" activeCell="A1" sqref="A1"/>
    </sheetView>
  </sheetViews>
  <sheetFormatPr defaultColWidth="9" defaultRowHeight="12" customHeight="1"/>
  <cols>
    <col min="1" max="2" width="16.13" customWidth="1" style="125"/>
    <col min="3" max="3" width="9" style="125"/>
    <col min="4" max="4" width="13.88" customWidth="1" style="125"/>
    <col min="5" max="5" width="69.88" customWidth="1" style="125"/>
    <col min="6" max="16384" width="9" style="125"/>
  </cols>
  <sheetData>
    <row r="1" customHeight="1">
      <c r="A1" s="45" t="s">
        <v>146</v>
      </c>
      <c s="45" t="s">
        <v>147</v>
      </c>
      <c r="D1" s="45" t="s">
        <v>148</v>
      </c>
      <c s="45" t="s">
        <v>149</v>
      </c>
    </row>
    <row r="2" customHeight="1">
      <c r="A2" s="55" t="s">
        <v>103</v>
      </c>
      <c s="55" t="s">
        <v>150</v>
      </c>
      <c s="55" t="s">
        <v>193</v>
      </c>
      <c s="166" t="s">
        <v>113</v>
      </c>
      <c s="55" t="s">
        <v>151</v>
      </c>
    </row>
    <row r="3" customHeight="1">
      <c r="A3" s="55" t="s">
        <v>104</v>
      </c>
      <c s="55" t="s">
        <v>152</v>
      </c>
      <c r="D3" s="55" t="s">
        <v>119</v>
      </c>
      <c s="55" t="s">
        <v>153</v>
      </c>
    </row>
    <row r="4" customHeight="1">
      <c r="A4" s="55" t="s">
        <v>64</v>
      </c>
      <c s="55" t="s">
        <v>154</v>
      </c>
      <c r="D4" s="166" t="s">
        <v>122</v>
      </c>
      <c s="55" t="s">
        <v>155</v>
      </c>
    </row>
    <row r="5" customHeight="1">
      <c r="A5" s="55" t="s">
        <v>100</v>
      </c>
      <c s="55" t="s">
        <v>156</v>
      </c>
      <c r="D5" s="166" t="s">
        <v>192</v>
      </c>
      <c s="55" t="s">
        <v>157</v>
      </c>
    </row>
    <row r="6" customHeight="1">
      <c r="A6" s="55" t="s">
        <v>98</v>
      </c>
      <c s="55" t="s">
        <v>158</v>
      </c>
      <c r="D6" s="166" t="s">
        <v>128</v>
      </c>
      <c s="55" t="s">
        <v>159</v>
      </c>
    </row>
    <row r="7" customHeight="1">
      <c r="A7" s="55" t="s">
        <v>99</v>
      </c>
      <c s="55" t="s">
        <v>160</v>
      </c>
      <c r="D7" s="140" t="s">
        <v>124</v>
      </c>
      <c s="55" t="s">
        <v>161</v>
      </c>
    </row>
    <row r="8" customHeight="1">
      <c r="A8" s="55" t="s">
        <v>162</v>
      </c>
      <c s="55" t="s">
        <v>163</v>
      </c>
      <c r="D8" s="166" t="s">
        <v>145</v>
      </c>
      <c s="55" t="s">
        <v>164</v>
      </c>
    </row>
    <row r="9" customHeight="1">
      <c r="A9" s="55" t="s">
        <v>97</v>
      </c>
      <c s="55" t="s">
        <v>165</v>
      </c>
    </row>
    <row r="10" customHeight="1">
      <c r="A10" s="55" t="s">
        <v>102</v>
      </c>
      <c s="55" t="s">
        <v>166</v>
      </c>
    </row>
    <row r="11" customHeight="1">
      <c r="A11" s="55" t="s">
        <v>62</v>
      </c>
      <c s="55" t="s">
        <v>303</v>
      </c>
    </row>
    <row r="12" customHeight="1">
      <c r="A12" s="55" t="s">
        <v>105</v>
      </c>
      <c s="55" t="s">
        <v>167</v>
      </c>
    </row>
    <row r="13" customHeight="1">
      <c r="A13" s="55" t="s">
        <v>67</v>
      </c>
      <c s="55" t="s">
        <v>304</v>
      </c>
    </row>
    <row r="14" customHeight="1">
      <c r="A14" s="55" t="s">
        <v>30</v>
      </c>
      <c s="55" t="s">
        <v>168</v>
      </c>
    </row>
    <row r="15" customHeight="1">
      <c r="A15" s="55" t="s">
        <v>57</v>
      </c>
      <c s="55" t="s">
        <v>169</v>
      </c>
    </row>
    <row r="16" customHeight="1">
      <c r="A16" s="55" t="s">
        <v>170</v>
      </c>
      <c s="55" t="s">
        <v>171</v>
      </c>
    </row>
    <row r="17" customHeight="1">
      <c r="A17" s="55" t="s">
        <v>172</v>
      </c>
      <c s="55" t="s">
        <v>173</v>
      </c>
      <c s="55" t="s">
        <v>174</v>
      </c>
    </row>
    <row r="18" customHeight="1">
      <c r="A18" s="55" t="s">
        <v>175</v>
      </c>
      <c s="55" t="s">
        <v>176</v>
      </c>
      <c s="55" t="s">
        <v>177</v>
      </c>
    </row>
    <row r="19" customHeight="1">
      <c r="A19" s="55" t="s">
        <v>106</v>
      </c>
      <c s="230" t="s">
        <v>190</v>
      </c>
    </row>
    <row r="20" customHeight="1">
      <c r="A20" s="55" t="s">
        <v>107</v>
      </c>
      <c s="55" t="s">
        <v>189</v>
      </c>
      <c r="D20" s="55"/>
    </row>
    <row r="21" customHeight="1">
      <c r="A21" s="55" t="s">
        <v>194</v>
      </c>
      <c s="230" t="s">
        <v>305</v>
      </c>
    </row>
    <row r="22" customHeight="1">
      <c r="A22" s="55" t="s">
        <v>228</v>
      </c>
      <c s="230" t="s">
        <v>229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10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2"/>
  <sheetViews>
    <sheetView topLeftCell="A1" tabSelected="1" workbookViewId="0" showGridLines="0">
      <pane topLeftCell="A1"/>
      <selection activeCellId="0" activeCell="A1" sqref="A1"/>
    </sheetView>
  </sheetViews>
  <sheetFormatPr defaultColWidth="9" defaultRowHeight="12" customHeight="1"/>
  <cols>
    <col min="1" max="2" width="10.5" customWidth="1" style="125"/>
    <col min="3" max="3" width="16.63" customWidth="1" style="24"/>
    <col min="4" max="4" width="16.63" customWidth="1" style="239"/>
    <col min="5" max="5" width="10.75" customWidth="1" style="125"/>
    <col min="6" max="16384" width="9" style="125"/>
  </cols>
  <sheetData>
    <row r="1" ht="30" customHeight="1">
      <c r="A1" s="79" t="s">
        <v>97</v>
      </c>
      <c s="79" t="s">
        <v>191</v>
      </c>
      <c s="158" t="s">
        <v>29</v>
      </c>
      <c s="238" t="s">
        <v>230</v>
      </c>
      <c s="79" t="s">
        <v>179</v>
      </c>
    </row>
    <row r="2" customHeight="1">
      <c r="A2" s="21" t="s">
        <v>143</v>
      </c>
      <c s="21">
        <v>500</v>
      </c>
      <c s="21"/>
      <c s="234">
        <v>0.05</v>
      </c>
      <c s="80" t="str">
        <f>IF(C2="","不合格",IF(C2&lt;=D2,"合格","不合格"))</f>
        <v>不合格</v>
      </c>
    </row>
  </sheetData>
  <sheetProtection sheet="1" autoFilter="0" deleteColumns="0" deleteRows="0" formatCells="0" formatColumns="0" formatRows="0" insertColumns="0" insertHyperlinks="0" insertRows="0" pivotTables="0" sort="0"/>
  <printOptions/>
  <pageMargins left="0.7" right="0.7" top="0.75" bottom="0.75" header="0.3" footer="0.3"/>
  <pageSetup firstPageNumber="4294963191" copies="0"/>
  <headerFooter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99153</dc:creator>
  <cp:lastModifiedBy>Zhang Xuemin</cp:lastModifiedBy>
  <cp:revision>0</cp:revision>
  <dcterms:created xsi:type="dcterms:W3CDTF">2006-09-16T08:00:00+08:00</dcterms:created>
  <dcterms:modified xsi:type="dcterms:W3CDTF">2023-03-21T05:21:25+08:00</dcterms:modified>
</cp:coreProperties>
</file>