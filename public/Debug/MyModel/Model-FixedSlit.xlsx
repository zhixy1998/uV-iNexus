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eg" ContentType="image/jpeg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:gc="http://schemas.grapecity.com/office/spreadsheet/2018/main" xmlns="http://schemas.openxmlformats.org/spreadsheetml/2006/main" mc:Ignorable="x15">
  <fileVersion appName="xl" lastEdited="3" lowestEdited="5" rupBuild="9302"/>
  <workbookPr/>
  <bookViews>
    <workbookView xWindow="0" yWindow="0" windowWidth="28800" windowHeight="11010" tabRatio="865" activeTab="5"/>
  </bookViews>
  <sheets>
    <sheet name="Report" sheetId="21" r:id="rId2"/>
    <sheet name="基础信息" sheetId="13" r:id="rId3"/>
    <sheet name="测量结果表" sheetId="20" r:id="rId4"/>
    <sheet name="管理表" sheetId="19" r:id="rId5"/>
    <sheet name="对应信息" sheetId="17" state="hidden" r:id="rId6"/>
    <sheet name="检测项信息" sheetId="14" r:id="rId7"/>
    <sheet name="仪器状态" sheetId="22" r:id="rId8"/>
    <sheet name="样品池准确度与重复性校验" sheetId="23" state="hidden" r:id="rId9"/>
    <sheet name="标准值" sheetId="16" r:id="rId10"/>
    <sheet name="字段对应" sheetId="15" state="hidden" r:id="rId11"/>
    <sheet name="能量扫描" sheetId="7" r:id="rId12"/>
    <sheet name="样品池重复性" sheetId="6" r:id="rId13"/>
    <sheet name="波长拟合" sheetId="3" r:id="rId14"/>
  </sheets>
  <externalReferences>
    <externalReference r:id="rId15"/>
  </externalReferences>
  <definedNames>
    <definedName name="OLE_LINK10" localSheetId="0">Report!#REF!</definedName>
  </definedNames>
  <calcPr calcId="189999"/>
  <extLst>
    <ext xmlns:x14="http://schemas.microsoft.com/office/spreadsheetml/2009/9/main" uri="{508A625A-C496-44e7-AB3D-5DD9D212655C}">
      <gcWorkbook aFmt="0" aCreateHyperlink="0" excelShortcuts="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<sst xmlns="http://schemas.openxmlformats.org/spreadsheetml/2006/main" uniqueCount="343">
  <si>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</si>
  <si>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</si>
  <si>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</si>
  <si>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</si>
  <si>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</si>
  <si>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</si>
  <si>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</si>
  <si>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</si>
  <si>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</si>
  <si>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</si>
  <si>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</si>
  <si>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</si>
  <si>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</si>
  <si>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UVWin版本号</t>
  </si>
  <si>
    <t>UVTouch版本号</t>
  </si>
  <si>
    <t>检验软件版本号</t>
  </si>
  <si>
    <t>序号</t>
  </si>
  <si>
    <t>检验项目</t>
  </si>
  <si>
    <t>结果</t>
  </si>
  <si>
    <t>波长示值误差与重复性</t>
  </si>
  <si>
    <t xml:space="preserve">
波长示值误差
氘灯：
±0.1nm
镨钕：
±0.3nm
波长重复性
≤0.1nm 
</t>
  </si>
  <si>
    <t>波长段</t>
  </si>
  <si>
    <t>B段</t>
  </si>
  <si>
    <t>检测工具</t>
  </si>
  <si>
    <t>镨钕滤光片</t>
  </si>
  <si>
    <t>氘灯</t>
  </si>
  <si>
    <t>标准值(nm)</t>
  </si>
  <si>
    <t>测量值（nm）</t>
  </si>
  <si>
    <t>平均值(nm)</t>
  </si>
  <si>
    <t>误差值(nm)</t>
  </si>
  <si>
    <t>重复性(nm)</t>
  </si>
  <si>
    <t xml:space="preserve">波长示值误差与重复性
</t>
  </si>
  <si>
    <t xml:space="preserve">
波长示值误差
钬溶液：
±0.3nm
波长重复性
≤0.1nm </t>
  </si>
  <si>
    <t>钬溶液</t>
  </si>
  <si>
    <t>透射比示值误差与重复性
(可见区）</t>
  </si>
  <si>
    <t xml:space="preserve">透射比示值误差
±0.3%
透射比重复性
≤0.1%
</t>
  </si>
  <si>
    <t>10%中性滤光片、20%中性滤光片、30%中性滤光片
（以标定的标准值为准）</t>
  </si>
  <si>
    <t>型号</t>
  </si>
  <si>
    <t>测量点</t>
  </si>
  <si>
    <t>10%中性滤光片</t>
  </si>
  <si>
    <t>标准值(%)</t>
  </si>
  <si>
    <t>测量值(%)</t>
  </si>
  <si>
    <t>平均值(%)</t>
  </si>
  <si>
    <t>误差值(%)</t>
  </si>
  <si>
    <t>重复性(%)</t>
  </si>
  <si>
    <t>20%中性滤光片</t>
  </si>
  <si>
    <t>透射比示值误差
±0.3%
透射比重复性
≤0.1%</t>
  </si>
  <si>
    <t>30%中性滤光片</t>
  </si>
  <si>
    <t xml:space="preserve">透射比示值误差与
重复性
（紫外区）
</t>
  </si>
  <si>
    <t>紫外分光光度计标准物质GBW(E)130066</t>
  </si>
  <si>
    <t>标准值（%）</t>
  </si>
  <si>
    <t>测量值（%）</t>
  </si>
  <si>
    <t>杂散光</t>
  </si>
  <si>
    <t>检验工具</t>
  </si>
  <si>
    <t>220nm</t>
  </si>
  <si>
    <t>&lt;0.01%</t>
  </si>
  <si>
    <t>碘化钠标准溶液</t>
  </si>
  <si>
    <t>测量值
（%）</t>
  </si>
  <si>
    <t>360nm</t>
  </si>
  <si>
    <t>≤0.02%</t>
  </si>
  <si>
    <t>亚硝酸钠标准溶液</t>
  </si>
  <si>
    <t>基线平直度</t>
  </si>
  <si>
    <t>≤±0.0005（2.0nm光谱带宽）</t>
  </si>
  <si>
    <t>测量值（Abs）</t>
  </si>
  <si>
    <t>基线暗噪声</t>
  </si>
  <si>
    <t>≤±0.1%</t>
  </si>
  <si>
    <t>光谱带宽</t>
  </si>
  <si>
    <t>不超过标称光谱带宽的±20%</t>
  </si>
  <si>
    <t>光谱带宽（nm）</t>
  </si>
  <si>
    <t>氘灯2.0</t>
  </si>
  <si>
    <t>测量值(nm)</t>
  </si>
  <si>
    <t>偏差（%）</t>
  </si>
  <si>
    <t>噪声500nm</t>
  </si>
  <si>
    <t>≤0.05%</t>
  </si>
  <si>
    <t>≤0.005%</t>
  </si>
  <si>
    <t>噪声250nm</t>
  </si>
  <si>
    <t>边缘噪声
1090 nm</t>
  </si>
  <si>
    <t>≤0.1%</t>
  </si>
  <si>
    <t>边缘噪声200nm</t>
  </si>
  <si>
    <t>漂移</t>
  </si>
  <si>
    <t>500nm ≤0.1%/h</t>
  </si>
  <si>
    <t>电源电压的适应性</t>
  </si>
  <si>
    <t>±0.2%</t>
  </si>
  <si>
    <t>电压</t>
  </si>
  <si>
    <t>198V</t>
  </si>
  <si>
    <t>220V</t>
  </si>
  <si>
    <t>242V</t>
  </si>
  <si>
    <t>调压器，数字万用表</t>
  </si>
  <si>
    <t>500nm测量值（%）</t>
  </si>
  <si>
    <t>500nm处的透射比变化（%）</t>
  </si>
  <si>
    <t>250nm测量值（%）</t>
  </si>
  <si>
    <t>250nm处的透射比变化（%）</t>
  </si>
  <si>
    <t>介电强度</t>
  </si>
  <si>
    <t>无击穿和飞弧现象</t>
  </si>
  <si>
    <t>检验工具：耐压测试仪</t>
  </si>
  <si>
    <t xml:space="preserve">  有 □        无 □</t>
  </si>
  <si>
    <t>接触电流</t>
  </si>
  <si>
    <t>正常条件≤0.5mA</t>
  </si>
  <si>
    <t>检验工具：泄漏电流测试仪</t>
  </si>
  <si>
    <t>测量值（mA）</t>
  </si>
  <si>
    <t>单一故障≤3.5mA</t>
  </si>
  <si>
    <t>保护接地</t>
  </si>
  <si>
    <t>≤0.1Ω</t>
  </si>
  <si>
    <t>检验工具：程控接地电阻测试仪</t>
  </si>
  <si>
    <t>测量值（Ω）</t>
  </si>
  <si>
    <t>绝缘电阻</t>
  </si>
  <si>
    <t>≥20MΩ</t>
  </si>
  <si>
    <t>检验工具：绝缘电阻测试仪</t>
  </si>
  <si>
    <t>测量值（MΩ）</t>
  </si>
  <si>
    <t>样品池准确度于重复性校验</t>
  </si>
  <si>
    <t>准确度：100%±0.1%
重复性：&lt;0.1%</t>
  </si>
  <si>
    <t>1号池测量值(%)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</si>
  <si>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</si>
  <si>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</si>
  <si>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</si>
  <si>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</si>
  <si>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</si>
  <si>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</si>
  <si>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</si>
  <si>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</si>
  <si>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</si>
  <si>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标准值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</si>
  <si>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</si>
  <si>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</si>
  <si>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</si>
  <si>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</si>
  <si>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</si>
  <si>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</si>
  <si>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</si>
  <si>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</si>
  <si>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</si>
  <si>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</si>
  <si>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响应时间</t>
  </si>
  <si>
    <t>是</t>
  </si>
  <si>
    <t>钨灯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</si>
  <si>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</si>
  <si>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</si>
  <si>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</si>
  <si>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</si>
  <si>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</si>
  <si>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</si>
  <si>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</si>
  <si>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</si>
  <si>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</si>
  <si>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汞灯</t>
  </si>
  <si>
    <t>Es</t>
  </si>
  <si>
    <t>中速</t>
  </si>
  <si>
    <t>1.0</t>
  </si>
  <si>
    <t>739.2,,807.4</t>
  </si>
  <si>
    <t>Er</t>
  </si>
  <si>
    <t>快速</t>
  </si>
  <si>
    <t>2.0</t>
  </si>
  <si>
    <t>635.0,546.0,440.0</t>
  </si>
  <si>
    <t>R%</t>
  </si>
  <si>
    <t>极快</t>
  </si>
  <si>
    <t>5.0</t>
  </si>
  <si>
    <t>635.0,546.0,440.1</t>
  </si>
  <si>
    <t xml:space="preserve"> 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</si>
  <si>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</si>
  <si>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</si>
  <si>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</si>
  <si>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</si>
  <si>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</si>
  <si>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</si>
  <si>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</si>
  <si>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</si>
  <si>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</si>
  <si>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</si>
  <si>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</si>
  <si>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</si>
  <si>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</si>
  <si>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</si>
  <si>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</si>
  <si>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</si>
  <si>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</si>
  <si>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</si>
  <si>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</si>
  <si>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</si>
  <si>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</si>
  <si>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</si>
  <si>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</si>
  <si>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波长示值误差与重复性校验</t>
  </si>
  <si>
    <t>656.1</t>
  </si>
  <si>
    <t>807.4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</si>
  <si>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</si>
  <si>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</si>
  <si>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</si>
  <si>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</si>
  <si>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</si>
  <si>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</si>
  <si>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</si>
  <si>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</si>
  <si>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</si>
  <si>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</si>
  <si>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</si>
  <si>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</si>
  <si>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</si>
  <si>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</si>
  <si>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</si>
  <si>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</si>
  <si>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</si>
  <si>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光谱带宽与仪器最小光谱带宽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</si>
  <si>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</si>
  <si>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</si>
  <si>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</si>
  <si>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</si>
  <si>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</si>
  <si>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</si>
  <si>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</si>
  <si>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</si>
  <si>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</si>
  <si>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</si>
  <si>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</si>
  <si>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</si>
  <si>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U1601</t>
  </si>
  <si>
    <t>T600B</t>
  </si>
  <si>
    <t>U1602</t>
  </si>
  <si>
    <t>T600A</t>
  </si>
  <si>
    <t>U1603</t>
  </si>
  <si>
    <t>T600S</t>
  </si>
  <si>
    <t>U1604</t>
  </si>
  <si>
    <t>T600AS</t>
  </si>
  <si>
    <t>U1701</t>
  </si>
  <si>
    <t>T700B</t>
  </si>
  <si>
    <t>U1702</t>
  </si>
  <si>
    <t>T700A</t>
  </si>
  <si>
    <t>U1703</t>
  </si>
  <si>
    <t>U1704</t>
  </si>
  <si>
    <t>T700AS</t>
  </si>
  <si>
    <t>检测类别</t>
  </si>
  <si>
    <t>项目名称</t>
  </si>
  <si>
    <t>提示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</si>
  <si>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</si>
  <si>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</si>
  <si>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</si>
  <si>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</si>
  <si>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</si>
  <si>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</si>
  <si>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</si>
  <si>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</si>
  <si>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时间间隔</t>
  </si>
  <si>
    <t>扫描个数</t>
  </si>
  <si>
    <t>暗电流物质</t>
  </si>
  <si>
    <t>校零物质</t>
  </si>
  <si>
    <t>测量物质</t>
  </si>
  <si>
    <t>波长拟合</t>
  </si>
  <si>
    <t>486.0,656.1</t>
  </si>
  <si>
    <t>寻峰</t>
  </si>
  <si>
    <t>空气</t>
  </si>
  <si>
    <t>296.7,404.7,435.8,546.1</t>
  </si>
  <si>
    <t>黑挡块</t>
  </si>
  <si>
    <t>640.7,361.0,241.0</t>
  </si>
  <si>
    <t>样品池重复性</t>
  </si>
  <si>
    <t>样品池重复性检测</t>
  </si>
  <si>
    <t>最大最小值差</t>
  </si>
  <si>
    <t>能量扫描</t>
  </si>
  <si>
    <t>氘灯486.0</t>
  </si>
  <si>
    <t>求最大偏移量</t>
  </si>
  <si>
    <t>氘灯656.1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</si>
  <si>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</si>
  <si>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</si>
  <si>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</si>
  <si>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</si>
  <si>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</si>
  <si>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</si>
  <si>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</si>
  <si>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</si>
  <si>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</si>
  <si>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</si>
  <si>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</si>
  <si>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</si>
  <si>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</si>
  <si>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</si>
  <si>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</si>
  <si>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</si>
  <si>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</si>
  <si>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</si>
  <si>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</si>
  <si>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</si>
  <si>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</si>
  <si>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</si>
  <si>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测试项</t>
  </si>
  <si>
    <t>640.7</t>
  </si>
  <si>
    <t>536.8</t>
  </si>
  <si>
    <t>416.5</t>
  </si>
  <si>
    <t>361.0</t>
  </si>
  <si>
    <t>287.4</t>
  </si>
  <si>
    <t>241.0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</si>
  <si>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</si>
  <si>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</si>
  <si>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</si>
  <si>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</si>
  <si>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</si>
  <si>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</si>
  <si>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</si>
  <si>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</si>
  <si>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</si>
  <si>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求平均</t>
  </si>
  <si>
    <t>Validation.ViewModel.DataStructure.WlPointsAndAverageUVTestTool</t>
  </si>
  <si>
    <t>RepeatTimes</t>
  </si>
  <si>
    <t>多次测量</t>
  </si>
  <si>
    <t>Validation.ViewModel.DataStructure.WlPointsUVTestTool</t>
  </si>
  <si>
    <t>RepeatInterval</t>
  </si>
  <si>
    <t>Validation.ViewModel.DataStructure.FindMaxOffsetUVTestTool</t>
  </si>
  <si>
    <t>MethodStr</t>
  </si>
  <si>
    <t>求半峰宽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</si>
  <si>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</si>
  <si>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</si>
  <si>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</si>
  <si>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</si>
  <si>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</si>
  <si>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</si>
  <si>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</si>
  <si>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</si>
  <si>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</si>
  <si>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</si>
  <si>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</si>
  <si>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</si>
  <si>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</si>
  <si>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</si>
  <si>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</si>
  <si>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</si>
  <si>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</si>
  <si>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</si>
  <si>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</si>
  <si>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</si>
  <si>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</si>
  <si>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</si>
  <si>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</si>
  <si>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</si>
  <si>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</si>
  <si>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</si>
  <si>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特征值（nm）</t>
  </si>
  <si>
    <t>486</t>
  </si>
  <si>
    <t>1号</t>
  </si>
  <si>
    <t>2号</t>
  </si>
  <si>
    <t>3号</t>
  </si>
  <si>
    <t>4号</t>
  </si>
  <si>
    <t>5号</t>
  </si>
  <si>
    <t>模式</t>
  </si>
  <si>
    <t>光源</t>
  </si>
  <si>
    <t>Model-FixedSlit</t>
  </si>
  <si>
    <t>2.1.24.415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</si>
</sst>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>
    <numFmt numFmtId="176" formatCode="General"/>
    <numFmt numFmtId="185" formatCode="0%"/>
    <numFmt numFmtId="213" formatCode="_ * #,##0_ ;_ * \-#,##0_ ;_ * &quot;-&quot;_ ;_ @_ "/>
    <numFmt numFmtId="214" formatCode="_ &quot;￥&quot;* #,##0_ ;_ &quot;￥&quot;* \-#,##0_ ;_ &quot;￥&quot;* &quot;-&quot;_ ;_ @_ "/>
    <numFmt numFmtId="215" formatCode="_ * #,##0.00_ ;_ * \-#,##0.00_ ;_ * &quot;-&quot;??_ ;_ @_ "/>
    <numFmt numFmtId="216" formatCode="_ &quot;￥&quot;* #,##0.00_ ;_ &quot;￥&quot;* \-#,##0.00_ ;_ &quot;￥&quot;* &quot;-&quot;??_ ;_ @_ "/>
    <numFmt numFmtId="229" formatCode="0.00_);[Red]\(0.00\)"/>
    <numFmt numFmtId="230" formatCode="0.0_);[Red]\(0.0\)"/>
    <numFmt numFmtId="232" formatCode="0.00_);[Red]\(0.00\)"/>
    <numFmt numFmtId="234" formatCode="0.00 "/>
    <numFmt numFmtId="235" formatCode="0.00_);[Red]\(0.00\)"/>
    <numFmt numFmtId="238" formatCode="0.00 "/>
    <numFmt numFmtId="241" formatCode="0.00000 "/>
    <numFmt numFmtId="242" formatCode="0.00000 "/>
    <numFmt numFmtId="244" formatCode="0.00000 "/>
    <numFmt numFmtId="247" formatCode="0.00 "/>
    <numFmt numFmtId="248" formatCode="0.0_);[Red]\(0.0\)"/>
    <numFmt numFmtId="254" formatCode="0.00_);[Red]\(0.00\)"/>
    <numFmt numFmtId="281" formatCode="#,##0.00"/>
    <numFmt numFmtId="301" formatCode="#,##0"/>
    <numFmt numFmtId="304" formatCode="[$-10804]yyyy&quot;年&quot;m&quot;月&quot;d&quot;日&quot;"/>
    <numFmt numFmtId="313" formatCode="0.00_);[Red]\(0.00\)"/>
    <numFmt numFmtId="319" formatCode="0.00_);[Red]\(0.00\)"/>
    <numFmt numFmtId="320" formatCode="0.0000_);[Red]\(0.0000\)"/>
    <numFmt numFmtId="321" formatCode="0.0_);[Red]\(0.0\)"/>
    <numFmt numFmtId="322" formatCode="0.00 "/>
    <numFmt numFmtId="323" formatCode="0.0"/>
    <numFmt numFmtId="324" formatCode="0.00_);[Red]\(0.00\)"/>
    <numFmt numFmtId="325" formatCode="0.000_);[Red]\(0.000\)"/>
    <numFmt numFmtId="326" formatCode="0.0_);[Red]\(0.0\)"/>
    <numFmt numFmtId="328" formatCode="0.0_);[Red]\(0.0\)"/>
    <numFmt numFmtId="332" formatCode="[$-10804]yyyy&quot;年&quot;m&quot;月&quot;d&quot;日&quot;"/>
    <numFmt numFmtId="341" formatCode="[$-10804]yyyy&quot;年&quot;m&quot;月&quot;d&quot;日&quot;"/>
    <numFmt numFmtId="342" formatCode="[$-10804]yyyy/m/d h:mm"/>
    <numFmt numFmtId="347" formatCode="#,##0"/>
    <numFmt numFmtId="371" formatCode="0.00_);[Red]\(0.00\)"/>
    <numFmt numFmtId="372" formatCode="0.00 "/>
    <numFmt numFmtId="373" formatCode="0.00_);[Red]\-0.00\ "/>
    <numFmt numFmtId="397" formatCode="0.00_);[Red]\(0.00\)"/>
    <numFmt numFmtId="399" formatCode="0.00 "/>
    <numFmt numFmtId="405" formatCode="0.0"/>
    <numFmt numFmtId="406" formatCode="0.000 "/>
    <numFmt numFmtId="407" formatCode="0.0 "/>
    <numFmt numFmtId="408" formatCode="0%"/>
    <numFmt numFmtId="409" formatCode="0.000 "/>
    <numFmt numFmtId="419" formatCode="0.000 "/>
    <numFmt numFmtId="421" formatCode="0.00000 "/>
    <numFmt numFmtId="423" formatCode="0.00 "/>
    <numFmt numFmtId="428" formatCode="0%"/>
    <numFmt numFmtId="429" formatCode="0.0000 "/>
    <numFmt numFmtId="439" formatCode="  #,##0.00_);  \-#,##0.00_);  &quot;-&quot; "/>
    <numFmt numFmtId="440" formatCode=" &quot;￥&quot; #,##0.00_); &quot;￥&quot; \-#,##0.00_); &quot;￥&quot; &quot;-&quot; "/>
    <numFmt numFmtId="441" formatCode="0%"/>
    <numFmt numFmtId="442" formatCode="  #,##0_);  \-#,##0_);  &quot;-&quot; "/>
    <numFmt numFmtId="443" formatCode=" &quot;￥&quot; #,##0_); &quot;￥&quot; \-#,##0_); &quot;￥&quot; &quot;-&quot; "/>
  </numFmts>
  <fonts>
    <font>
      <b val="0"/>
      <i val="0"/>
      <strike val="0"/>
      <condense val="0"/>
      <extend val="0"/>
      <outline val="0"/>
      <shadow val="0"/>
      <u val="none"/>
      <vertAlign val="baseline"/>
      <sz val="11"/>
      <name val="宋体"/>
    </font>
    <font/>
    <font/>
    <font/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2"/>
      <color rgb="FF43436B"/>
      <name val="Segoe UI"/>
      <charset val="134"/>
      <scheme val="none"/>
    </font>
    <font/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charset val="134"/>
      <scheme val="minor"/>
    </font>
    <font/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2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2"/>
      <color theme="1"/>
      <name val="黑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黑体"/>
      <charset val="134"/>
      <scheme val="none"/>
    </font>
    <font/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/>
      <vertAlign val="baseline"/>
      <sz val="11"/>
      <color rgb="FF0000FF"/>
      <name val="宋体"/>
      <charset val="0"/>
      <scheme val="minor"/>
    </font>
    <font>
      <b val="0"/>
      <i val="0"/>
      <strike val="0"/>
      <condense val="0"/>
      <extend val="0"/>
      <outline val="0"/>
      <shadow val="0"/>
      <u/>
      <vertAlign val="baseline"/>
      <sz val="11"/>
      <color rgb="FF80008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8"/>
      <color theme="3"/>
      <name val="宋体"/>
      <charset val="134"/>
      <scheme val="minor"/>
    </font>
    <font>
      <b val="0"/>
      <i/>
      <strike val="0"/>
      <condense val="0"/>
      <extend val="0"/>
      <outline val="0"/>
      <shadow val="0"/>
      <u val="none"/>
      <vertAlign val="baseline"/>
      <sz val="11"/>
      <color rgb="FF7F7F7F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5"/>
      <color theme="3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3"/>
      <color theme="3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theme="3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3F3F76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3F3F3F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610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0006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650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0"/>
      <scheme val="minor"/>
    </font>
    <font>
      <color indexed="64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</font>
    <font>
      <b val="0"/>
      <i val="0"/>
      <strike val="0"/>
      <condense val="0"/>
      <extend val="0"/>
      <outline val="0"/>
      <shadow val="0"/>
      <u/>
      <vertAlign val="baseline"/>
      <sz val="11"/>
      <color rgb="FF0000FF"/>
      <name val="宋体"/>
    </font>
    <font>
      <b val="0"/>
      <i val="0"/>
      <strike val="0"/>
      <condense val="0"/>
      <extend val="0"/>
      <outline val="0"/>
      <shadow val="0"/>
      <u/>
      <vertAlign val="baseline"/>
      <sz val="11"/>
      <color rgb="FF80008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8"/>
      <color rgb="FF1F497D"/>
      <name val="宋体"/>
    </font>
    <font>
      <b val="0"/>
      <i/>
      <strike val="0"/>
      <condense val="0"/>
      <extend val="0"/>
      <outline val="0"/>
      <shadow val="0"/>
      <u val="none"/>
      <vertAlign val="baseline"/>
      <sz val="11"/>
      <color rgb="FF7F7F7F"/>
      <name val="宋体"/>
    </font>
    <font>
      <b/>
      <i val="0"/>
      <strike val="0"/>
      <condense val="0"/>
      <extend val="0"/>
      <outline val="0"/>
      <shadow val="0"/>
      <u val="none"/>
      <vertAlign val="baseline"/>
      <sz val="15"/>
      <color rgb="FF1F497D"/>
      <name val="宋体"/>
    </font>
    <font>
      <b/>
      <i val="0"/>
      <strike val="0"/>
      <condense val="0"/>
      <extend val="0"/>
      <outline val="0"/>
      <shadow val="0"/>
      <u val="none"/>
      <vertAlign val="baseline"/>
      <sz val="13"/>
      <color rgb="FF1F497D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1F497D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3F3F76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3F3F3F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61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0006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65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8"/>
      <color theme="1"/>
      <name val="黑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黑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0"/>
      <color rgb="FF00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minor"/>
    </font>
  </fonts>
  <fills>
    <fill>
      <patternFill patternType="none"/>
    </fill>
    <fill>
      <patternFill patternType="gray125"/>
    </fill>
    <fill/>
    <fill>
      <patternFill patternType="solid">
        <fgColor theme="4" tint="0.7994628742332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62874233222"/>
        <bgColor indexed="64"/>
      </patternFill>
    </fill>
    <fill>
      <patternFill patternType="solid">
        <fgColor theme="4" tint="0.7994933927426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/>
    <fill/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4F81BD"/>
        <bgColor rgb="FF4F81BD"/>
      </patternFill>
    </fill>
    <fill>
      <patternFill patternType="solid">
        <fgColor rgb="FFDCE6F2"/>
        <bgColor rgb="FFDCE6F2"/>
      </patternFill>
    </fill>
    <fill>
      <patternFill patternType="solid">
        <fgColor rgb="FFB9CDE5"/>
        <bgColor rgb="FFB9CDE5"/>
      </patternFill>
    </fill>
    <fill>
      <patternFill patternType="solid">
        <fgColor rgb="FF95B3D7"/>
        <bgColor rgb="FF95B3D7"/>
      </patternFill>
    </fill>
    <fill>
      <patternFill patternType="solid">
        <fgColor rgb="FFC0504D"/>
        <bgColor rgb="FFC0504D"/>
      </patternFill>
    </fill>
    <fill>
      <patternFill patternType="solid">
        <fgColor rgb="FFF2DCDB"/>
        <bgColor rgb="FFF2DCDB"/>
      </patternFill>
    </fill>
    <fill>
      <patternFill patternType="solid">
        <fgColor rgb="FFE6B9B8"/>
        <bgColor rgb="FFE6B9B8"/>
      </patternFill>
    </fill>
    <fill>
      <patternFill patternType="solid">
        <fgColor rgb="FFD99694"/>
        <bgColor rgb="FFD99694"/>
      </patternFill>
    </fill>
    <fill>
      <patternFill patternType="solid">
        <fgColor rgb="FF9BBB59"/>
        <bgColor rgb="FF9BBB59"/>
      </patternFill>
    </fill>
    <fill>
      <patternFill patternType="solid">
        <fgColor rgb="FFEBF1DE"/>
        <bgColor rgb="FFEBF1DE"/>
      </patternFill>
    </fill>
    <fill>
      <patternFill patternType="solid">
        <fgColor rgb="FFD7E4BD"/>
        <bgColor rgb="FFD7E4BD"/>
      </patternFill>
    </fill>
    <fill>
      <patternFill patternType="solid">
        <fgColor rgb="FFC3D69B"/>
        <bgColor rgb="FFC3D69B"/>
      </patternFill>
    </fill>
    <fill>
      <patternFill patternType="solid">
        <fgColor rgb="FF8064A2"/>
        <bgColor rgb="FF8064A2"/>
      </patternFill>
    </fill>
    <fill>
      <patternFill patternType="solid">
        <fgColor rgb="FFE6E0EC"/>
        <bgColor rgb="FFE6E0EC"/>
      </patternFill>
    </fill>
    <fill>
      <patternFill patternType="solid">
        <fgColor rgb="FFCCC1DA"/>
        <bgColor rgb="FFCCC1DA"/>
      </patternFill>
    </fill>
    <fill>
      <patternFill patternType="solid">
        <fgColor rgb="FFB3A2C7"/>
        <bgColor rgb="FFB3A2C7"/>
      </patternFill>
    </fill>
    <fill>
      <patternFill patternType="solid">
        <fgColor rgb="FF4BACC6"/>
        <bgColor rgb="FF4BACC6"/>
      </patternFill>
    </fill>
    <fill>
      <patternFill patternType="solid">
        <fgColor rgb="FFDBEEF4"/>
        <bgColor rgb="FFDBEEF4"/>
      </patternFill>
    </fill>
    <fill>
      <patternFill patternType="solid">
        <fgColor rgb="FFB7DEE8"/>
        <bgColor rgb="FFB7DEE8"/>
      </patternFill>
    </fill>
    <fill>
      <patternFill patternType="solid">
        <fgColor rgb="FF93CDDD"/>
        <bgColor rgb="FF93CDDD"/>
      </patternFill>
    </fill>
    <fill>
      <patternFill patternType="solid">
        <fgColor rgb="FFF79646"/>
        <bgColor rgb="FFF79646"/>
      </patternFill>
    </fill>
    <fill>
      <patternFill patternType="solid">
        <fgColor rgb="FFFDEADA"/>
        <bgColor rgb="FFFDEADA"/>
      </patternFill>
    </fill>
    <fill>
      <patternFill patternType="solid">
        <fgColor rgb="FFFCD5B5"/>
        <bgColor rgb="FFFCD5B5"/>
      </patternFill>
    </fill>
    <fill>
      <patternFill patternType="solid">
        <fgColor rgb="FFFAC090"/>
        <bgColor rgb="FFFAC090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0" diagonalDown="0">
      <left style="thin">
        <color rgb="FF000000"/>
      </left>
      <top style="thin">
        <color rgb="FF000000"/>
      </top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 diagonalUp="0" diagonalDown="0">
      <left style="thin">
        <color rgb="FF000000"/>
      </left>
      <right style="thin">
        <color rgb="FF000000"/>
      </right>
    </border>
    <border/>
    <border diagonalUp="0" diagonalDown="0"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</border>
    <border/>
    <border diagonalUp="0" diagonalDown="0">
      <top style="thin">
        <color rgb="FF000000"/>
      </top>
      <bottom style="thin">
        <color rgb="FF000000"/>
      </bottom>
    </border>
    <border diagonalUp="0" diagonalDown="0">
      <top style="thin">
        <color rgb="FF000000"/>
      </top>
      <bottom style="thin">
        <color rgb="FF000000"/>
      </bottom>
    </border>
    <border diagonalUp="0" diagonalDown="0">
      <top style="thin">
        <color rgb="FF000000"/>
      </top>
    </border>
    <border diagonalUp="0" diagonalDown="0">
      <left style="thin">
        <color rgb="FF000000"/>
      </left>
      <top style="thin">
        <color rgb="FF000000"/>
      </top>
      <bottom style="thin">
        <color rgb="FF000000"/>
      </bottom>
    </border>
    <border/>
    <border diagonalUp="0" diagonalDown="0">
      <right style="thin">
        <color rgb="FF000000"/>
      </right>
      <top style="thin">
        <color rgb="FF000000"/>
      </top>
    </border>
    <border diagonalUp="0" diagonalDown="0">
      <left style="thin">
        <color rgb="FF000000"/>
      </left>
      <top style="thin">
        <color rgb="FF000000"/>
      </top>
      <bottom style="thin">
        <color rgb="FF000000"/>
      </bottom>
    </border>
    <border/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7C0DE"/>
      </bottom>
      <diagonal/>
    </border>
    <border diagonalUp="0" diagonalDown="0">
      <top style="thin">
        <color rgb="FF4F81BD"/>
      </top>
      <bottom style="double">
        <color rgb="FF4F81BD"/>
      </bottom>
    </border>
    <border/>
    <border/>
    <border/>
    <border diagonalUp="0" diagonalDown="0"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top style="thin">
        <color rgb="FF000000"/>
      </top>
    </border>
    <border diagonalUp="0" diagonalDown="0">
      <left style="thin">
        <color rgb="FF000000"/>
      </left>
    </border>
    <border diagonalUp="0" diagonalDown="0">
      <left style="thin">
        <color rgb="FF000000"/>
      </left>
      <bottom style="thin">
        <color rgb="FF000000"/>
      </bottom>
    </border>
    <border diagonalUp="0" diagonalDown="0">
      <right style="thin">
        <color rgb="FF000000"/>
      </right>
      <top style="thin">
        <color rgb="FF000000"/>
      </top>
    </border>
    <border diagonalUp="0" diagonalDown="0">
      <right style="thin">
        <color rgb="FF000000"/>
      </right>
    </border>
    <border diagonalUp="0" diagonalDown="0">
      <right style="thin">
        <color rgb="FF000000"/>
      </right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</border>
    <border diagonalUp="0" diagonalDown="0">
      <left style="thin">
        <color rgb="FF000000"/>
      </left>
      <right style="thin">
        <color rgb="FF000000"/>
      </right>
    </border>
    <border diagonalUp="0" diagonalDown="0">
      <left style="thin">
        <color rgb="FF000000"/>
      </left>
      <right style="thin">
        <color rgb="FF000000"/>
      </right>
      <bottom style="thin">
        <color rgb="FF000000"/>
      </bottom>
    </border>
    <border diagonalUp="0" diagonalDown="0">
      <top style="thin">
        <color rgb="FF000000"/>
      </top>
    </border>
    <border diagonalUp="0" diagonalDown="0"/>
    <border diagonalUp="0" diagonalDown="0">
      <bottom style="thin">
        <color rgb="FF000000"/>
      </bottom>
    </border>
    <border diagonalUp="0" diagonalDown="0">
      <left style="thin">
        <color rgb="FF000000"/>
      </left>
      <top style="thin">
        <color rgb="FF000000"/>
      </top>
      <bottom style="thin">
        <color rgb="FF000000"/>
      </bottom>
    </border>
    <border diagonalUp="0" diagonalDown="0"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>
      <alignment vertical="top"/>
    </xf>
    <xf numFmtId="215" fontId="0" fillId="0" borderId="0">
      <alignment vertical="center"/>
    </xf>
    <xf numFmtId="216" fontId="0" fillId="0" borderId="0">
      <alignment vertical="center"/>
    </xf>
    <xf numFmtId="185" fontId="0" fillId="0" borderId="0">
      <alignment vertical="center"/>
    </xf>
    <xf numFmtId="213" fontId="0" fillId="0" borderId="0">
      <alignment vertical="center"/>
    </xf>
    <xf numFmtId="214" fontId="0" fillId="0" borderId="0">
      <alignment vertical="center"/>
    </xf>
    <xf numFmtId="176" fontId="22" fillId="0" borderId="0">
      <alignment vertical="center"/>
    </xf>
    <xf numFmtId="176" fontId="23" fillId="0" borderId="0">
      <alignment vertical="center"/>
    </xf>
    <xf numFmtId="176" fontId="0" fillId="9" borderId="21">
      <alignment vertical="center"/>
    </xf>
    <xf numFmtId="176" fontId="24" fillId="0" borderId="0">
      <alignment vertical="center"/>
    </xf>
    <xf numFmtId="176" fontId="25" fillId="0" borderId="0">
      <alignment vertical="center"/>
    </xf>
    <xf numFmtId="176" fontId="26" fillId="0" borderId="0">
      <alignment vertical="center"/>
    </xf>
    <xf numFmtId="176" fontId="27" fillId="0" borderId="22">
      <alignment vertical="center"/>
    </xf>
    <xf numFmtId="176" fontId="28" fillId="0" borderId="22">
      <alignment vertical="center"/>
    </xf>
    <xf numFmtId="176" fontId="29" fillId="0" borderId="23">
      <alignment vertical="center"/>
    </xf>
    <xf numFmtId="176" fontId="29" fillId="0" borderId="0">
      <alignment vertical="center"/>
    </xf>
    <xf numFmtId="176" fontId="30" fillId="10" borderId="24">
      <alignment vertical="center"/>
    </xf>
    <xf numFmtId="176" fontId="31" fillId="11" borderId="25">
      <alignment vertical="center"/>
    </xf>
    <xf numFmtId="176" fontId="32" fillId="11" borderId="24">
      <alignment vertical="center"/>
    </xf>
    <xf numFmtId="176" fontId="33" fillId="12" borderId="26">
      <alignment vertical="center"/>
    </xf>
    <xf numFmtId="176" fontId="34" fillId="0" borderId="27">
      <alignment vertical="center"/>
    </xf>
    <xf numFmtId="176" fontId="35" fillId="0" borderId="28">
      <alignment vertical="center"/>
    </xf>
    <xf numFmtId="176" fontId="36" fillId="13" borderId="0">
      <alignment vertical="center"/>
    </xf>
    <xf numFmtId="176" fontId="37" fillId="14" borderId="0">
      <alignment vertical="center"/>
    </xf>
    <xf numFmtId="176" fontId="38" fillId="15" borderId="0">
      <alignment vertical="center"/>
    </xf>
    <xf numFmtId="176" fontId="39" fillId="16" borderId="0">
      <alignment vertical="center"/>
    </xf>
    <xf numFmtId="176" fontId="40" fillId="17" borderId="0">
      <alignment vertical="center"/>
    </xf>
    <xf numFmtId="176" fontId="40" fillId="18" borderId="0">
      <alignment vertical="center"/>
    </xf>
    <xf numFmtId="176" fontId="39" fillId="19" borderId="0">
      <alignment vertical="center"/>
    </xf>
    <xf numFmtId="176" fontId="39" fillId="20" borderId="0">
      <alignment vertical="center"/>
    </xf>
    <xf numFmtId="176" fontId="40" fillId="21" borderId="0">
      <alignment vertical="center"/>
    </xf>
    <xf numFmtId="176" fontId="40" fillId="22" borderId="0">
      <alignment vertical="center"/>
    </xf>
    <xf numFmtId="176" fontId="39" fillId="23" borderId="0">
      <alignment vertical="center"/>
    </xf>
    <xf numFmtId="176" fontId="39" fillId="24" borderId="0">
      <alignment vertical="center"/>
    </xf>
    <xf numFmtId="176" fontId="40" fillId="25" borderId="0">
      <alignment vertical="center"/>
    </xf>
    <xf numFmtId="176" fontId="40" fillId="26" borderId="0">
      <alignment vertical="center"/>
    </xf>
    <xf numFmtId="176" fontId="39" fillId="27" borderId="0">
      <alignment vertical="center"/>
    </xf>
    <xf numFmtId="176" fontId="39" fillId="28" borderId="0">
      <alignment vertical="center"/>
    </xf>
    <xf numFmtId="176" fontId="40" fillId="29" borderId="0">
      <alignment vertical="center"/>
    </xf>
    <xf numFmtId="176" fontId="40" fillId="30" borderId="0">
      <alignment vertical="center"/>
    </xf>
    <xf numFmtId="176" fontId="39" fillId="31" borderId="0">
      <alignment vertical="center"/>
    </xf>
    <xf numFmtId="176" fontId="39" fillId="32" borderId="0">
      <alignment vertical="center"/>
    </xf>
    <xf numFmtId="176" fontId="40" fillId="33" borderId="0">
      <alignment vertical="center"/>
    </xf>
    <xf numFmtId="176" fontId="40" fillId="34" borderId="0">
      <alignment vertical="center"/>
    </xf>
    <xf numFmtId="176" fontId="39" fillId="35" borderId="0">
      <alignment vertical="center"/>
    </xf>
    <xf numFmtId="176" fontId="39" fillId="36" borderId="0">
      <alignment vertical="center"/>
    </xf>
    <xf numFmtId="176" fontId="40" fillId="37" borderId="0">
      <alignment vertical="center"/>
    </xf>
    <xf numFmtId="176" fontId="40" fillId="38" borderId="0">
      <alignment vertical="center"/>
    </xf>
    <xf numFmtId="176" fontId="39" fillId="39" borderId="0">
      <alignment vertical="center"/>
    </xf>
    <xf numFmtId="176" fontId="0" fillId="0" borderId="0">
      <alignment vertical="bottom"/>
    </xf>
    <xf numFmtId="176" fontId="0" fillId="0" borderId="0">
      <alignment vertical="bottom"/>
    </xf>
  </cellStyleXfs>
  <cellXfs count="438"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/>
    <xf numFmtId="229" fontId="21" fillId="0" borderId="0" xfId="0" applyNumberFormat="1" applyFont="1" applyFill="1" applyBorder="1" applyAlignment="1" applyProtection="1">
      <alignment vertical="bottom"/>
    </xf>
    <xf numFmtId="230" fontId="21" fillId="0" borderId="0" xfId="0" applyNumberFormat="1" applyFont="1" applyFill="1" applyBorder="1" applyAlignment="1" applyProtection="1">
      <alignment vertical="bottom"/>
    </xf>
    <xf numFmtId="0" fontId="0" fillId="0" borderId="0" xfId="0"/>
    <xf numFmtId="234" fontId="20" fillId="0" borderId="1" xfId="0" applyNumberFormat="1" applyFont="1" applyFill="1" applyBorder="1" applyAlignment="1" applyProtection="1">
      <alignment horizontal="center" vertical="center" wrapText="1"/>
    </xf>
    <xf numFmtId="0" fontId="21" fillId="0" borderId="1" xfId="0" applyNumberFormat="1" applyFont="1" applyFill="1" applyBorder="1" applyAlignment="1" applyProtection="1">
      <alignment vertical="bottom"/>
    </xf>
    <xf numFmtId="0" fontId="20" fillId="0" borderId="9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vertical="bottom"/>
    </xf>
    <xf numFmtId="0" fontId="21" fillId="0" borderId="0" xfId="0" applyNumberFormat="1" applyFont="1" applyFill="1" applyBorder="1" applyAlignment="1" applyProtection="1">
      <alignment vertical="bottom"/>
    </xf>
    <xf numFmtId="0" fontId="20" fillId="0" borderId="6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0" fillId="0" borderId="0" xfId="0"/>
    <xf numFmtId="0" fontId="4" fillId="0" borderId="0" xfId="0" applyNumberFormat="1" applyFont="1" applyFill="1" applyBorder="1" applyAlignment="1" applyProtection="1">
      <alignment vertical="center"/>
    </xf>
    <xf numFmtId="0" fontId="0" fillId="0" borderId="43" xfId="0" applyNumberFormat="1" applyFont="1" applyFill="1" applyBorder="1" applyAlignment="1" applyProtection="1">
      <alignment horizontal="center" vertical="center" wrapText="1"/>
    </xf>
    <xf numFmtId="241" fontId="0" fillId="0" borderId="0" xfId="0" applyNumberFormat="1" applyFont="1" applyFill="1" applyBorder="1" applyAlignment="1" applyProtection="1">
      <alignment vertical="bottom"/>
    </xf>
    <xf numFmtId="244" fontId="21" fillId="0" borderId="1" xfId="0" applyNumberFormat="1" applyFont="1" applyFill="1" applyBorder="1" applyAlignment="1" applyProtection="1">
      <alignment vertical="bottom"/>
    </xf>
    <xf numFmtId="242" fontId="20" fillId="3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vertical="bottom" wrapText="1"/>
    </xf>
    <xf numFmtId="0" fontId="0" fillId="0" borderId="0" xfId="0"/>
    <xf numFmtId="0" fontId="0" fillId="0" borderId="0" xfId="0"/>
    <xf numFmtId="247" fontId="0" fillId="0" borderId="0" xfId="0" applyNumberFormat="1" applyFont="1" applyFill="1" applyBorder="1" applyAlignment="1" applyProtection="1">
      <alignment vertical="bottom"/>
    </xf>
    <xf numFmtId="248" fontId="0" fillId="0" borderId="0" xfId="0" applyNumberFormat="1" applyFont="1" applyFill="1" applyBorder="1" applyAlignment="1" applyProtection="1">
      <alignment vertical="bottom"/>
    </xf>
    <xf numFmtId="232" fontId="20" fillId="3" borderId="2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235" fontId="9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20" fillId="0" borderId="41" xfId="0" applyNumberFormat="1" applyFont="1" applyFill="1" applyBorder="1" applyAlignment="1" applyProtection="1">
      <alignment horizontal="center" vertical="center" wrapText="1"/>
    </xf>
    <xf numFmtId="49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43" xfId="0" applyNumberFormat="1" applyFont="1" applyFill="1" applyBorder="1" applyAlignment="1" applyProtection="1">
      <alignment horizontal="center" vertical="center" wrapText="1"/>
    </xf>
    <xf numFmtId="254" fontId="20" fillId="3" borderId="1" xfId="0" applyNumberFormat="1" applyFont="1" applyFill="1" applyBorder="1" applyAlignment="1" applyProtection="1">
      <alignment horizontal="center" vertical="center" wrapText="1"/>
    </xf>
    <xf numFmtId="0" fontId="20" fillId="0" borderId="42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20" fillId="0" borderId="45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20" fillId="0" borderId="44" xfId="0" applyNumberFormat="1" applyFont="1" applyFill="1" applyBorder="1" applyAlignment="1" applyProtection="1">
      <alignment horizontal="center" vertical="center" wrapText="1"/>
    </xf>
    <xf numFmtId="0" fontId="20" fillId="3" borderId="1" xfId="0" applyNumberFormat="1" applyFont="1" applyFill="1" applyBorder="1" applyAlignment="1" applyProtection="1">
      <alignment horizontal="center" vertical="center" wrapText="1"/>
    </xf>
    <xf numFmtId="0" fontId="14" fillId="4" borderId="1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ont="1" applyFill="1" applyBorder="1" applyAlignment="1" applyProtection="1">
      <alignment vertical="bottom"/>
    </xf>
    <xf numFmtId="0" fontId="20" fillId="0" borderId="44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vertical="bottom" wrapText="1"/>
    </xf>
    <xf numFmtId="0" fontId="0" fillId="0" borderId="0" xfId="0" applyNumberFormat="1" applyFont="1" applyFill="1" applyBorder="1" applyAlignment="1" applyProtection="1">
      <alignment horizontal="center" vertical="bottom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vertical="bottom" wrapText="1"/>
    </xf>
    <xf numFmtId="0" fontId="0" fillId="0" borderId="1" xfId="0" applyNumberFormat="1" applyFont="1" applyFill="1" applyBorder="1" applyAlignment="1" applyProtection="1">
      <alignment vertical="bottom"/>
    </xf>
    <xf numFmtId="0" fontId="0" fillId="4" borderId="1" xfId="0" applyNumberFormat="1" applyFont="1" applyFill="1" applyBorder="1" applyAlignment="1" applyProtection="1">
      <alignment vertical="bottom"/>
    </xf>
    <xf numFmtId="0" fontId="0" fillId="6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bottom" wrapText="1"/>
    </xf>
    <xf numFmtId="0" fontId="0" fillId="6" borderId="1" xfId="0" applyNumberFormat="1" applyFont="1" applyFill="1" applyBorder="1" applyAlignment="1" applyProtection="1">
      <alignment horizontal="center" vertical="center" wrapText="1"/>
    </xf>
    <xf numFmtId="49" fontId="13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bottom" wrapText="1"/>
    </xf>
    <xf numFmtId="0" fontId="10" fillId="0" borderId="0" xfId="0" applyNumberFormat="1" applyFont="1" applyFill="1" applyBorder="1" applyAlignment="1" applyProtection="1">
      <alignment vertical="bottom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13" fillId="6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8" fillId="0" borderId="11" xfId="0" applyNumberFormat="1" applyFont="1" applyFill="1" applyBorder="1" applyAlignment="1" applyProtection="1">
      <alignment horizontal="left" vertical="top"/>
    </xf>
    <xf numFmtId="0" fontId="0" fillId="6" borderId="0" xfId="0" applyNumberFormat="1" applyFont="1" applyFill="1" applyBorder="1" applyAlignment="1" applyProtection="1">
      <alignment horizontal="center" vertical="center" wrapText="1"/>
    </xf>
    <xf numFmtId="0" fontId="16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4" borderId="1" xfId="0" applyNumberFormat="1" applyFont="1" applyFill="1" applyBorder="1" applyAlignment="1" applyProtection="1">
      <alignment vertical="bottom"/>
    </xf>
    <xf numFmtId="49" fontId="0" fillId="0" borderId="1" xfId="0" applyNumberFormat="1" applyFont="1" applyFill="1" applyBorder="1" applyAlignment="1" applyProtection="1">
      <alignment vertical="bottom" wrapText="1"/>
    </xf>
    <xf numFmtId="49" fontId="0" fillId="0" borderId="0" xfId="0" applyNumberFormat="1" applyFont="1" applyFill="1" applyBorder="1" applyAlignment="1" applyProtection="1">
      <alignment vertical="bottom" wrapText="1"/>
    </xf>
    <xf numFmtId="49" fontId="0" fillId="0" borderId="0" xfId="0" applyNumberFormat="1" applyFont="1" applyFill="1" applyBorder="1" applyAlignment="1" applyProtection="1">
      <alignment vertical="bottom" wrapText="1"/>
    </xf>
    <xf numFmtId="49" fontId="0" fillId="0" borderId="0" xfId="0" applyNumberFormat="1" applyFont="1" applyFill="1" applyBorder="1" applyAlignment="1" applyProtection="1">
      <alignment vertical="bottom" wrapText="1"/>
    </xf>
    <xf numFmtId="0" fontId="0" fillId="5" borderId="1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21" fillId="0" borderId="1" xfId="0" applyNumberFormat="1" applyFont="1" applyFill="1" applyBorder="1" applyAlignment="1" applyProtection="1">
      <alignment horizontal="center" vertical="bottom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bottom"/>
    </xf>
    <xf numFmtId="304" fontId="0" fillId="0" borderId="0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horizontal="center" vertical="bottom"/>
    </xf>
    <xf numFmtId="0" fontId="20" fillId="0" borderId="43" xfId="0" applyNumberFormat="1" applyFont="1" applyFill="1" applyBorder="1" applyAlignment="1" applyProtection="1">
      <alignment horizontal="center" vertical="center" wrapText="1"/>
    </xf>
    <xf numFmtId="0" fontId="0" fillId="4" borderId="0" xfId="0" applyNumberFormat="1" applyFont="1" applyFill="1" applyBorder="1" applyAlignment="1" applyProtection="1">
      <alignment horizontal="left" vertical="center"/>
    </xf>
    <xf numFmtId="0" fontId="0" fillId="0" borderId="1" xfId="0" applyNumberFormat="1" applyFont="1" applyFill="1" applyBorder="1" applyAlignment="1" applyProtection="1">
      <alignment horizontal="center" vertical="bottom"/>
    </xf>
    <xf numFmtId="49" fontId="0" fillId="7" borderId="1" xfId="0" applyNumberFormat="1" applyFont="1" applyFill="1" applyBorder="1" applyAlignment="1" applyProtection="1">
      <alignment horizontal="center" vertical="bottom"/>
    </xf>
    <xf numFmtId="313" fontId="0" fillId="7" borderId="1" xfId="0" applyNumberFormat="1" applyFont="1" applyFill="1" applyBorder="1" applyAlignment="1" applyProtection="1">
      <alignment horizontal="center" vertical="bottom"/>
    </xf>
    <xf numFmtId="0" fontId="61" fillId="7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7" borderId="1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Border="1" applyAlignment="1" applyProtection="1">
      <alignment horizontal="left" vertical="bottom"/>
    </xf>
    <xf numFmtId="0" fontId="12" fillId="7" borderId="1" xfId="0" applyNumberFormat="1" applyFont="1" applyFill="1" applyBorder="1" applyAlignment="1" applyProtection="1">
      <alignment horizontal="center" vertical="center" wrapText="1"/>
    </xf>
    <xf numFmtId="0" fontId="0" fillId="7" borderId="1" xfId="0" applyNumberFormat="1" applyFont="1" applyFill="1" applyBorder="1" applyAlignment="1" applyProtection="1">
      <alignment horizontal="center" vertical="center"/>
    </xf>
    <xf numFmtId="49" fontId="61" fillId="7" borderId="1" xfId="0" applyNumberFormat="1" applyFont="1" applyFill="1" applyBorder="1" applyAlignment="1" applyProtection="1">
      <alignment horizontal="center" vertical="center" wrapText="1"/>
    </xf>
    <xf numFmtId="0" fontId="14" fillId="7" borderId="1" xfId="0" applyNumberFormat="1" applyFont="1" applyFill="1" applyBorder="1" applyAlignment="1" applyProtection="1">
      <alignment horizontal="center" vertical="center" wrapText="1"/>
    </xf>
    <xf numFmtId="320" fontId="0" fillId="7" borderId="1" xfId="0" applyNumberFormat="1" applyFont="1" applyFill="1" applyBorder="1" applyAlignment="1" applyProtection="1">
      <alignment horizontal="center" vertical="bottom"/>
    </xf>
    <xf numFmtId="321" fontId="0" fillId="7" borderId="1" xfId="0" applyNumberFormat="1" applyFont="1" applyFill="1" applyBorder="1" applyAlignment="1" applyProtection="1">
      <alignment horizontal="center" vertical="bottom"/>
    </xf>
    <xf numFmtId="322" fontId="16" fillId="7" borderId="1" xfId="0" applyNumberFormat="1" applyFont="1" applyFill="1" applyBorder="1" applyAlignment="1" applyProtection="1">
      <alignment horizontal="center" vertical="center" wrapText="1"/>
    </xf>
    <xf numFmtId="324" fontId="16" fillId="7" borderId="1" xfId="0" applyNumberFormat="1" applyFont="1" applyFill="1" applyBorder="1" applyAlignment="1" applyProtection="1">
      <alignment horizontal="center" vertical="center" wrapText="1"/>
    </xf>
    <xf numFmtId="325" fontId="16" fillId="7" borderId="1" xfId="0" applyNumberFormat="1" applyFont="1" applyFill="1" applyBorder="1" applyAlignment="1" applyProtection="1">
      <alignment horizontal="center" vertical="center" wrapText="1"/>
    </xf>
    <xf numFmtId="328" fontId="0" fillId="7" borderId="1" xfId="0" applyNumberFormat="1" applyFont="1" applyFill="1" applyBorder="1" applyAlignment="1" applyProtection="1">
      <alignment horizontal="center" vertical="center"/>
    </xf>
    <xf numFmtId="326" fontId="16" fillId="7" borderId="1" xfId="0" applyNumberFormat="1" applyFont="1" applyFill="1" applyBorder="1" applyAlignment="1" applyProtection="1">
      <alignment horizontal="center" vertical="center" wrapText="1"/>
    </xf>
    <xf numFmtId="301" fontId="0" fillId="0" borderId="1" xfId="0" applyNumberFormat="1" applyFont="1" applyFill="1" applyBorder="1" applyAlignment="1" applyProtection="1">
      <alignment horizontal="center" vertical="center"/>
    </xf>
    <xf numFmtId="319" fontId="12" fillId="7" borderId="1" xfId="0" applyNumberFormat="1" applyFont="1" applyFill="1" applyBorder="1" applyAlignment="1" applyProtection="1">
      <alignment horizontal="center" vertical="center" wrapText="1"/>
    </xf>
    <xf numFmtId="0" fontId="21" fillId="7" borderId="8" xfId="0" applyNumberFormat="1" applyFont="1" applyFill="1" applyBorder="1" applyAlignment="1" applyProtection="1">
      <alignment horizontal="center" vertical="center"/>
    </xf>
    <xf numFmtId="304" fontId="0" fillId="0" borderId="0" xfId="0" applyNumberFormat="1" applyFont="1" applyFill="1" applyBorder="1" applyAlignment="1" applyProtection="1">
      <alignment vertical="bottom"/>
    </xf>
    <xf numFmtId="332" fontId="0" fillId="0" borderId="0" xfId="0" applyNumberFormat="1" applyFont="1" applyFill="1" applyBorder="1" applyAlignment="1" applyProtection="1">
      <alignment horizontal="left" vertical="bottom"/>
    </xf>
    <xf numFmtId="49" fontId="0" fillId="0" borderId="1" xfId="0" applyNumberFormat="1" applyFont="1" applyFill="1" applyBorder="1" applyAlignment="1" applyProtection="1">
      <alignment vertical="bottom" wrapText="1"/>
    </xf>
    <xf numFmtId="0" fontId="20" fillId="0" borderId="45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Border="1" applyAlignment="1" applyProtection="1">
      <alignment horizontal="left" vertical="bottom"/>
    </xf>
    <xf numFmtId="323" fontId="12" fillId="7" borderId="1" xfId="0" applyNumberFormat="1" applyFont="1" applyFill="1" applyBorder="1" applyAlignment="1" applyProtection="1">
      <alignment horizontal="center" vertical="center" wrapText="1"/>
    </xf>
    <xf numFmtId="0" fontId="21" fillId="7" borderId="15" xfId="0" applyNumberFormat="1" applyFont="1" applyFill="1" applyBorder="1" applyAlignment="1" applyProtection="1">
      <alignment horizontal="center" vertical="center"/>
    </xf>
    <xf numFmtId="0" fontId="0" fillId="7" borderId="1" xfId="0" applyNumberFormat="1" applyFont="1" applyFill="1" applyBorder="1" applyAlignment="1" applyProtection="1">
      <alignment horizontal="center" vertical="bottom"/>
    </xf>
    <xf numFmtId="0" fontId="0" fillId="0" borderId="1" xfId="0" applyNumberFormat="1" applyFont="1" applyFill="1" applyBorder="1" applyAlignment="1" applyProtection="1">
      <alignment horizontal="center" vertical="bottom"/>
    </xf>
    <xf numFmtId="0" fontId="0" fillId="4" borderId="0" xfId="0" applyNumberFormat="1" applyFont="1" applyFill="1" applyBorder="1" applyAlignment="1" applyProtection="1">
      <alignment horizontal="left" vertical="bottom"/>
    </xf>
    <xf numFmtId="0" fontId="0" fillId="0" borderId="1" xfId="0" applyNumberFormat="1" applyFont="1" applyFill="1" applyBorder="1" applyAlignment="1" applyProtection="1">
      <alignment horizontal="center" vertical="bottom"/>
    </xf>
    <xf numFmtId="342" fontId="0" fillId="0" borderId="1" xfId="0" applyNumberFormat="1" applyFont="1" applyFill="1" applyBorder="1" applyAlignment="1" applyProtection="1">
      <alignment horizontal="left" vertical="bottom"/>
    </xf>
    <xf numFmtId="0" fontId="21" fillId="7" borderId="12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bottom" wrapText="1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vertical="bottom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15" fillId="0" borderId="1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 applyProtection="1">
      <alignment horizontal="center" vertical="center"/>
    </xf>
    <xf numFmtId="0" fontId="61" fillId="0" borderId="1" xfId="0" applyNumberFormat="1" applyFont="1" applyFill="1" applyBorder="1" applyAlignment="1" applyProtection="1">
      <alignment horizontal="center" vertical="center" wrapText="1"/>
    </xf>
    <xf numFmtId="0" fontId="21" fillId="8" borderId="1" xfId="0" applyNumberFormat="1" applyFont="1" applyFill="1" applyBorder="1" applyAlignment="1" applyProtection="1">
      <alignment horizontal="left" vertical="bottom"/>
    </xf>
    <xf numFmtId="0" fontId="0" fillId="4" borderId="0" xfId="0" applyNumberFormat="1" applyFont="1" applyFill="1" applyBorder="1" applyAlignment="1" applyProtection="1">
      <alignment vertical="bottom"/>
    </xf>
    <xf numFmtId="0" fontId="62" fillId="0" borderId="43" xfId="0" applyNumberFormat="1" applyFont="1" applyFill="1" applyBorder="1" applyAlignment="1" applyProtection="1">
      <alignment horizontal="center" vertical="center"/>
    </xf>
    <xf numFmtId="0" fontId="64" fillId="0" borderId="39" xfId="0" applyNumberFormat="1" applyFont="1" applyFill="1" applyBorder="1" applyAlignment="1" applyProtection="1">
      <alignment horizontal="center" vertical="center" wrapText="1"/>
    </xf>
    <xf numFmtId="421" fontId="62" fillId="0" borderId="40" xfId="0" applyNumberFormat="1" applyFont="1" applyFill="1" applyBorder="1" applyAlignment="1" applyProtection="1">
      <alignment horizontal="center" vertical="center" wrapText="1"/>
    </xf>
    <xf numFmtId="421" fontId="62" fillId="0" borderId="46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17" fillId="0" borderId="15" xfId="0" applyNumberFormat="1" applyFont="1" applyFill="1" applyBorder="1" applyAlignment="1" applyProtection="1">
      <alignment horizontal="center" vertical="center"/>
    </xf>
    <xf numFmtId="0" fontId="21" fillId="7" borderId="1" xfId="0" applyNumberFormat="1" applyFont="1" applyFill="1" applyBorder="1" applyAlignment="1" applyProtection="1">
      <alignment horizontal="center" vertical="bottom"/>
    </xf>
    <xf numFmtId="0" fontId="21" fillId="7" borderId="1" xfId="0" applyNumberFormat="1" applyFont="1" applyFill="1" applyBorder="1" applyAlignment="1" applyProtection="1">
      <alignment horizontal="center" vertical="bottom"/>
    </xf>
    <xf numFmtId="0" fontId="61" fillId="0" borderId="39" xfId="0" applyNumberFormat="1" applyFont="1" applyFill="1" applyBorder="1" applyAlignment="1" applyProtection="1">
      <alignment vertical="center" wrapText="1"/>
    </xf>
    <xf numFmtId="0" fontId="0" fillId="0" borderId="13" xfId="0" applyNumberFormat="1" applyFont="1" applyFill="1" applyBorder="1" applyAlignment="1" applyProtection="1">
      <alignment horizontal="center" vertical="center" wrapText="1"/>
    </xf>
    <xf numFmtId="0" fontId="0" fillId="0" borderId="46" xfId="0" applyNumberFormat="1" applyFont="1" applyFill="1" applyBorder="1" applyAlignment="1" applyProtection="1">
      <alignment horizontal="center" vertical="bottom"/>
    </xf>
    <xf numFmtId="0" fontId="0" fillId="0" borderId="37" xfId="0" applyNumberFormat="1" applyFont="1" applyFill="1" applyBorder="1" applyAlignment="1" applyProtection="1">
      <alignment horizontal="center" vertical="bottom"/>
    </xf>
    <xf numFmtId="0" fontId="0" fillId="0" borderId="36" xfId="0" applyNumberFormat="1" applyFont="1" applyFill="1" applyBorder="1" applyAlignment="1" applyProtection="1">
      <alignment horizontal="center" vertical="center" wrapText="1"/>
    </xf>
    <xf numFmtId="0" fontId="0" fillId="0" borderId="50" xfId="0" applyNumberFormat="1" applyFont="1" applyFill="1" applyBorder="1" applyAlignment="1" applyProtection="1">
      <alignment horizontal="center" vertical="bottom"/>
    </xf>
    <xf numFmtId="0" fontId="0" fillId="0" borderId="14" xfId="0" applyNumberFormat="1" applyFont="1" applyFill="1" applyBorder="1" applyAlignment="1" applyProtection="1">
      <alignment horizontal="center" vertical="center" wrapText="1"/>
    </xf>
    <xf numFmtId="0" fontId="0" fillId="0" borderId="49" xfId="0" applyNumberFormat="1" applyFont="1" applyFill="1" applyBorder="1" applyAlignment="1" applyProtection="1">
      <alignment horizontal="center" vertical="bottom"/>
    </xf>
    <xf numFmtId="0" fontId="0" fillId="0" borderId="35" xfId="0" applyNumberFormat="1" applyFont="1" applyFill="1" applyBorder="1" applyAlignment="1" applyProtection="1">
      <alignment horizontal="center" vertical="center" wrapText="1"/>
    </xf>
    <xf numFmtId="0" fontId="62" fillId="0" borderId="43" xfId="0" applyNumberFormat="1" applyFont="1" applyFill="1" applyBorder="1" applyAlignment="1" applyProtection="1">
      <alignment horizontal="center" vertical="center" wrapText="1"/>
    </xf>
    <xf numFmtId="409" fontId="0" fillId="0" borderId="39" xfId="0" applyNumberFormat="1" applyFont="1" applyFill="1" applyBorder="1" applyAlignment="1" applyProtection="1">
      <alignment horizontal="center" vertical="center" wrapText="1"/>
    </xf>
    <xf numFmtId="372" fontId="0" fillId="0" borderId="8" xfId="0" applyNumberFormat="1" applyFont="1" applyFill="1" applyBorder="1" applyAlignment="1" applyProtection="1">
      <alignment horizontal="center" vertical="center" wrapText="1"/>
    </xf>
    <xf numFmtId="0" fontId="20" fillId="0" borderId="9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Alignment="1" applyProtection="1">
      <alignment vertical="bottom"/>
      <protection locked="1"/>
    </xf>
    <xf numFmtId="373" fontId="0" fillId="0" borderId="37" xfId="0" applyNumberFormat="1" applyFont="1" applyFill="1" applyBorder="1" applyAlignment="1" applyProtection="1">
      <alignment horizontal="center" vertical="center" wrapText="1"/>
    </xf>
    <xf numFmtId="0" fontId="9" fillId="0" borderId="44" xfId="0" applyNumberFormat="1" applyFont="1" applyFill="1" applyBorder="1" applyAlignment="1" applyProtection="1">
      <alignment horizontal="center" vertical="center" wrapText="1"/>
    </xf>
    <xf numFmtId="0" fontId="20" fillId="0" borderId="40" xfId="0" applyNumberFormat="1" applyFont="1" applyFill="1" applyBorder="1" applyAlignment="1" applyProtection="1">
      <alignment horizontal="center" vertical="center" wrapText="1"/>
    </xf>
    <xf numFmtId="0" fontId="62" fillId="0" borderId="38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ont="1" applyFill="1" applyBorder="1" applyAlignment="1" applyProtection="1">
      <alignment horizontal="left" vertical="bottom"/>
    </xf>
    <xf numFmtId="371" fontId="0" fillId="0" borderId="43" xfId="0" applyNumberFormat="1" applyFont="1" applyFill="1" applyBorder="1" applyAlignment="1" applyProtection="1">
      <alignment horizontal="center" vertical="center" wrapText="1"/>
    </xf>
    <xf numFmtId="405" fontId="62" fillId="0" borderId="46" xfId="0" applyNumberFormat="1" applyFont="1" applyFill="1" applyBorder="1" applyAlignment="1" applyProtection="1">
      <alignment horizontal="center" vertical="center" wrapText="1"/>
    </xf>
    <xf numFmtId="423" fontId="62" fillId="0" borderId="48" xfId="0" applyNumberFormat="1" applyFont="1" applyFill="1" applyBorder="1" applyAlignment="1" applyProtection="1">
      <alignment horizontal="center" vertical="center" wrapText="1"/>
    </xf>
    <xf numFmtId="0" fontId="16" fillId="0" borderId="15" xfId="0" applyNumberFormat="1" applyFont="1" applyFill="1" applyBorder="1" applyAlignment="1" applyProtection="1">
      <alignment horizontal="center" vertical="center" wrapText="1"/>
    </xf>
    <xf numFmtId="421" fontId="62" fillId="0" borderId="37" xfId="0" applyNumberFormat="1" applyFont="1" applyFill="1" applyBorder="1" applyAlignment="1" applyProtection="1">
      <alignment horizontal="center" vertical="center" wrapText="1"/>
    </xf>
    <xf numFmtId="0" fontId="0" fillId="7" borderId="1" xfId="0" applyNumberFormat="1" applyFont="1" applyFill="1" applyBorder="1" applyAlignment="1" applyProtection="1">
      <alignment horizontal="center" vertical="center"/>
    </xf>
    <xf numFmtId="0" fontId="61" fillId="0" borderId="38" xfId="0" applyNumberFormat="1" applyFont="1" applyFill="1" applyBorder="1" applyAlignment="1" applyProtection="1">
      <alignment vertical="center" wrapText="1"/>
    </xf>
    <xf numFmtId="0" fontId="0" fillId="0" borderId="17" xfId="0" applyNumberFormat="1" applyFont="1" applyFill="1" applyBorder="1" applyAlignment="1" applyProtection="1">
      <alignment horizontal="center" vertical="center" wrapText="1"/>
    </xf>
    <xf numFmtId="0" fontId="0" fillId="0" borderId="18" xfId="0" applyNumberFormat="1" applyFont="1" applyFill="1" applyBorder="1" applyAlignment="1" applyProtection="1">
      <alignment horizontal="center" vertical="center" wrapText="1"/>
    </xf>
    <xf numFmtId="0" fontId="0" fillId="0" borderId="49" xfId="0" applyNumberFormat="1" applyFont="1" applyFill="1" applyBorder="1" applyAlignment="1" applyProtection="1">
      <alignment horizontal="center" vertical="center" wrapText="1"/>
    </xf>
    <xf numFmtId="428" fontId="62" fillId="0" borderId="43" xfId="0" applyNumberFormat="1" applyFont="1" applyFill="1" applyBorder="1" applyAlignment="1" applyProtection="1">
      <alignment horizontal="center" vertical="center" wrapText="1"/>
    </xf>
    <xf numFmtId="0" fontId="0" fillId="0" borderId="50" xfId="0" applyNumberFormat="1" applyFont="1" applyFill="1" applyBorder="1" applyAlignment="1" applyProtection="1">
      <alignment horizontal="center" vertical="center" wrapText="1"/>
    </xf>
    <xf numFmtId="0" fontId="0" fillId="0" borderId="50" xfId="0" applyNumberFormat="1" applyFont="1" applyFill="1" applyBorder="1" applyAlignment="1" applyProtection="1">
      <alignment horizontal="center" vertical="bottom"/>
    </xf>
    <xf numFmtId="0" fontId="62" fillId="0" borderId="1" xfId="0" applyNumberFormat="1" applyFont="1" applyFill="1" applyBorder="1" applyAlignment="1" applyProtection="1">
      <alignment horizontal="center" vertical="center" wrapText="1"/>
    </xf>
    <xf numFmtId="0" fontId="62" fillId="0" borderId="44" xfId="0" applyNumberFormat="1" applyFont="1" applyFill="1" applyBorder="1" applyAlignment="1" applyProtection="1">
      <alignment horizontal="center" vertical="center" wrapText="1"/>
    </xf>
    <xf numFmtId="238" fontId="20" fillId="0" borderId="5" xfId="0" applyNumberFormat="1" applyFont="1" applyFill="1" applyBorder="1" applyAlignment="1" applyProtection="1">
      <alignment horizontal="center" vertical="center" wrapText="1"/>
    </xf>
    <xf numFmtId="372" fontId="0" fillId="0" borderId="15" xfId="0" applyNumberFormat="1" applyFont="1" applyFill="1" applyBorder="1" applyAlignment="1" applyProtection="1">
      <alignment horizontal="center" vertical="center" wrapText="1"/>
    </xf>
    <xf numFmtId="409" fontId="0" fillId="0" borderId="43" xfId="0" applyNumberFormat="1" applyFont="1" applyFill="1" applyBorder="1" applyAlignment="1" applyProtection="1">
      <alignment horizontal="center" vertical="center" wrapText="1"/>
    </xf>
    <xf numFmtId="373" fontId="0" fillId="0" borderId="8" xfId="0" applyNumberFormat="1" applyFont="1" applyFill="1" applyBorder="1" applyAlignment="1" applyProtection="1">
      <alignment horizontal="center" vertical="center" wrapText="1"/>
    </xf>
    <xf numFmtId="0" fontId="62" fillId="0" borderId="39" xfId="0" applyNumberFormat="1" applyFont="1" applyFill="1" applyBorder="1" applyAlignment="1" applyProtection="1">
      <alignment horizontal="center" vertical="center" wrapText="1"/>
    </xf>
    <xf numFmtId="0" fontId="62" fillId="0" borderId="37" xfId="0" applyNumberFormat="1" applyFont="1" applyFill="1" applyBorder="1" applyAlignment="1" applyProtection="1">
      <alignment horizontal="center" vertical="center" wrapText="1"/>
    </xf>
    <xf numFmtId="397" fontId="0" fillId="4" borderId="15" xfId="0" applyNumberFormat="1" applyFont="1" applyFill="1" applyBorder="1" applyAlignment="1" applyProtection="1">
      <alignment horizontal="center" vertical="center" wrapText="1"/>
    </xf>
    <xf numFmtId="373" fontId="0" fillId="0" borderId="12" xfId="0" applyNumberFormat="1" applyFont="1" applyFill="1" applyBorder="1" applyAlignment="1" applyProtection="1">
      <alignment horizontal="center" vertical="center" wrapText="1"/>
    </xf>
    <xf numFmtId="405" fontId="62" fillId="0" borderId="37" xfId="0" applyNumberFormat="1" applyFont="1" applyFill="1" applyBorder="1" applyAlignment="1" applyProtection="1">
      <alignment horizontal="center" vertical="center" wrapText="1"/>
    </xf>
    <xf numFmtId="406" fontId="62" fillId="0" borderId="8" xfId="0" applyNumberFormat="1" applyFont="1" applyFill="1" applyBorder="1" applyAlignment="1" applyProtection="1">
      <alignment horizontal="center" vertical="center" wrapText="1"/>
    </xf>
    <xf numFmtId="0" fontId="0" fillId="7" borderId="1" xfId="0" applyNumberFormat="1" applyFont="1" applyFill="1" applyBorder="1" applyAlignment="1" applyProtection="1">
      <alignment horizontal="center" vertical="bottom"/>
    </xf>
    <xf numFmtId="0" fontId="0" fillId="7" borderId="1" xfId="0" applyNumberFormat="1" applyFont="1" applyFill="1" applyBorder="1" applyAlignment="1" applyProtection="1">
      <alignment horizontal="center" vertical="bottom"/>
    </xf>
    <xf numFmtId="0" fontId="14" fillId="7" borderId="1" xfId="0" applyNumberFormat="1" applyFont="1" applyFill="1" applyBorder="1" applyAlignment="1" applyProtection="1">
      <alignment horizontal="center" vertical="center" wrapText="1"/>
    </xf>
    <xf numFmtId="373" fontId="0" fillId="0" borderId="15" xfId="0" applyNumberFormat="1" applyFont="1" applyFill="1" applyBorder="1" applyAlignment="1" applyProtection="1">
      <alignment horizontal="center" vertical="center" wrapText="1"/>
    </xf>
    <xf numFmtId="405" fontId="62" fillId="0" borderId="8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bottom"/>
    </xf>
    <xf numFmtId="0" fontId="62" fillId="0" borderId="39" xfId="0" applyNumberFormat="1" applyFont="1" applyFill="1" applyBorder="1" applyAlignment="1" applyProtection="1">
      <alignment horizontal="center" vertical="center"/>
    </xf>
    <xf numFmtId="407" fontId="62" fillId="0" borderId="8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62" fillId="0" borderId="42" xfId="0" applyNumberFormat="1" applyFont="1" applyFill="1" applyBorder="1" applyAlignment="1" applyProtection="1">
      <alignment horizontal="left" vertical="center" wrapText="1"/>
    </xf>
    <xf numFmtId="0" fontId="62" fillId="0" borderId="39" xfId="0" applyNumberFormat="1" applyFont="1" applyFill="1" applyBorder="1" applyAlignment="1" applyProtection="1">
      <alignment horizontal="left" vertical="center" wrapText="1"/>
    </xf>
    <xf numFmtId="405" fontId="62" fillId="0" borderId="47" xfId="0" applyNumberFormat="1" applyFont="1" applyFill="1" applyBorder="1" applyAlignment="1" applyProtection="1">
      <alignment horizontal="center" vertical="center" wrapText="1"/>
    </xf>
    <xf numFmtId="0" fontId="18" fillId="0" borderId="15" xfId="0" applyNumberFormat="1" applyFont="1" applyFill="1" applyBorder="1" applyAlignment="1" applyProtection="1">
      <alignment horizontal="center" vertical="center" wrapText="1"/>
    </xf>
    <xf numFmtId="405" fontId="62" fillId="0" borderId="39" xfId="0" applyNumberFormat="1" applyFont="1" applyFill="1" applyBorder="1" applyAlignment="1" applyProtection="1">
      <alignment horizontal="center" vertical="center" wrapText="1"/>
    </xf>
    <xf numFmtId="0" fontId="0" fillId="0" borderId="44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406" fontId="62" fillId="0" borderId="15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center" wrapText="1"/>
    </xf>
    <xf numFmtId="0" fontId="0" fillId="4" borderId="46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405" fontId="62" fillId="0" borderId="38" xfId="0" applyNumberFormat="1" applyFont="1" applyFill="1" applyBorder="1" applyAlignment="1" applyProtection="1">
      <alignment horizontal="center" vertical="center" wrapText="1"/>
    </xf>
    <xf numFmtId="407" fontId="62" fillId="0" borderId="15" xfId="0" applyNumberFormat="1" applyFont="1" applyFill="1" applyBorder="1" applyAlignment="1" applyProtection="1">
      <alignment horizontal="center" vertical="center" wrapText="1"/>
    </xf>
    <xf numFmtId="0" fontId="62" fillId="0" borderId="37" xfId="0" applyNumberFormat="1" applyFont="1" applyFill="1" applyBorder="1" applyAlignment="1" applyProtection="1">
      <alignment horizontal="center" vertical="center"/>
    </xf>
    <xf numFmtId="371" fontId="0" fillId="0" borderId="45" xfId="0" applyNumberFormat="1" applyFont="1" applyFill="1" applyBorder="1" applyAlignment="1" applyProtection="1">
      <alignment horizontal="center" vertical="center" wrapText="1"/>
    </xf>
    <xf numFmtId="0" fontId="62" fillId="0" borderId="40" xfId="0" applyNumberFormat="1" applyFont="1" applyFill="1" applyBorder="1" applyAlignment="1" applyProtection="1">
      <alignment horizontal="center" vertical="center"/>
    </xf>
    <xf numFmtId="406" fontId="62" fillId="0" borderId="12" xfId="0" applyNumberFormat="1" applyFont="1" applyFill="1" applyBorder="1" applyAlignment="1" applyProtection="1">
      <alignment horizontal="center" vertical="center" wrapText="1"/>
    </xf>
    <xf numFmtId="341" fontId="21" fillId="8" borderId="1" xfId="0" applyNumberFormat="1" applyFont="1" applyFill="1" applyBorder="1" applyAlignment="1" applyProtection="1">
      <alignment horizontal="left" vertical="bottom"/>
    </xf>
    <xf numFmtId="409" fontId="0" fillId="0" borderId="37" xfId="0" applyNumberFormat="1" applyFont="1" applyFill="1" applyBorder="1" applyAlignment="1" applyProtection="1">
      <alignment horizontal="center" vertical="center" wrapText="1"/>
    </xf>
    <xf numFmtId="397" fontId="0" fillId="4" borderId="8" xfId="0" applyNumberFormat="1" applyFont="1" applyFill="1" applyBorder="1" applyAlignment="1" applyProtection="1">
      <alignment horizontal="center" vertical="center" wrapText="1"/>
    </xf>
    <xf numFmtId="399" fontId="0" fillId="4" borderId="15" xfId="0" applyNumberFormat="1" applyFont="1" applyFill="1" applyBorder="1" applyAlignment="1" applyProtection="1">
      <alignment horizontal="center" vertical="center" wrapText="1"/>
    </xf>
    <xf numFmtId="0" fontId="62" fillId="0" borderId="15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62" fillId="0" borderId="39" xfId="0" applyNumberFormat="1" applyFont="1" applyFill="1" applyBorder="1" applyAlignment="1" applyProtection="1">
      <alignment horizontal="center" vertical="center" wrapText="1"/>
    </xf>
    <xf numFmtId="0" fontId="41" fillId="0" borderId="0" applyNumberFormat="1" applyFont="1" applyFill="1" applyAlignment="1" applyProtection="1">
      <alignment vertical="top"/>
      <protection locked="0"/>
    </xf>
    <xf numFmtId="0" fontId="0" fillId="0" borderId="0" applyAlignment="1" applyProtection="1">
      <alignment vertical="top"/>
      <protection locked="0"/>
    </xf>
    <xf numFmtId="439" fontId="42" fillId="0" borderId="0" xfId="1" applyNumberFormat="1" applyFont="1" applyAlignment="1" applyProtection="1">
      <alignment vertical="center"/>
      <protection locked="1"/>
    </xf>
    <xf numFmtId="0" fontId="42" fillId="0" borderId="0" xfId="0" applyNumberFormat="1" applyFont="1" applyAlignment="1" applyProtection="1">
      <alignment vertical="bottom"/>
      <protection locked="1"/>
    </xf>
    <xf numFmtId="440" fontId="42" fillId="0" borderId="0" xfId="2" applyNumberFormat="1" applyFont="1" applyAlignment="1" applyProtection="1">
      <alignment vertical="center"/>
      <protection locked="1"/>
    </xf>
    <xf numFmtId="441" fontId="42" fillId="0" borderId="0" xfId="3" applyNumberFormat="1" applyFont="1" applyAlignment="1" applyProtection="1">
      <alignment vertical="center"/>
      <protection locked="1"/>
    </xf>
    <xf numFmtId="442" fontId="42" fillId="0" borderId="0" xfId="4" applyNumberFormat="1" applyFont="1" applyAlignment="1" applyProtection="1">
      <alignment vertical="center"/>
      <protection locked="1"/>
    </xf>
    <xf numFmtId="443" fontId="42" fillId="0" borderId="0" xfId="5" applyNumberFormat="1" applyFont="1" applyAlignment="1" applyProtection="1">
      <alignment vertical="center"/>
      <protection locked="1"/>
    </xf>
    <xf numFmtId="0" fontId="43" fillId="0" borderId="0" xfId="6" applyNumberFormat="1" applyFont="1" applyAlignment="1" applyProtection="1">
      <alignment vertical="center"/>
      <protection locked="1"/>
    </xf>
    <xf numFmtId="0" fontId="44" fillId="0" borderId="0" xfId="7" applyNumberFormat="1" applyFont="1" applyAlignment="1" applyProtection="1">
      <alignment vertical="center"/>
      <protection locked="1"/>
    </xf>
    <xf numFmtId="0" fontId="42" fillId="42" borderId="21" xfId="8" applyNumberFormat="1" applyFont="1" applyFill="1" applyBorder="1" applyAlignment="1" applyProtection="1">
      <alignment vertical="center"/>
      <protection locked="1"/>
    </xf>
    <xf numFmtId="0" fontId="45" fillId="0" borderId="0" xfId="9" applyNumberFormat="1" applyFont="1" applyAlignment="1" applyProtection="1">
      <alignment vertical="center"/>
      <protection locked="1"/>
    </xf>
    <xf numFmtId="0" fontId="46" fillId="0" borderId="0" xfId="10" applyNumberFormat="1" applyFont="1" applyAlignment="1" applyProtection="1">
      <alignment vertical="center"/>
      <protection locked="1"/>
    </xf>
    <xf numFmtId="0" fontId="47" fillId="0" borderId="0" xfId="11" applyNumberFormat="1" applyFont="1" applyAlignment="1" applyProtection="1">
      <alignment vertical="center"/>
      <protection locked="1"/>
    </xf>
    <xf numFmtId="0" fontId="48" fillId="0" borderId="29" xfId="12" applyNumberFormat="1" applyFont="1" applyBorder="1" applyAlignment="1" applyProtection="1">
      <alignment vertical="center"/>
      <protection locked="1"/>
    </xf>
    <xf numFmtId="0" fontId="49" fillId="0" borderId="29" xfId="13" applyNumberFormat="1" applyFont="1" applyBorder="1" applyAlignment="1" applyProtection="1">
      <alignment vertical="center"/>
      <protection locked="1"/>
    </xf>
    <xf numFmtId="0" fontId="50" fillId="0" borderId="30" xfId="14" applyNumberFormat="1" applyFont="1" applyBorder="1" applyAlignment="1" applyProtection="1">
      <alignment vertical="center"/>
      <protection locked="1"/>
    </xf>
    <xf numFmtId="0" fontId="50" fillId="0" borderId="0" xfId="15" applyNumberFormat="1" applyFont="1" applyAlignment="1" applyProtection="1">
      <alignment vertical="center"/>
      <protection locked="1"/>
    </xf>
    <xf numFmtId="0" fontId="51" fillId="43" borderId="24" xfId="16" applyNumberFormat="1" applyFont="1" applyFill="1" applyBorder="1" applyAlignment="1" applyProtection="1">
      <alignment vertical="center"/>
      <protection locked="1"/>
    </xf>
    <xf numFmtId="0" fontId="52" fillId="44" borderId="25" xfId="17" applyNumberFormat="1" applyFont="1" applyFill="1" applyBorder="1" applyAlignment="1" applyProtection="1">
      <alignment vertical="center"/>
      <protection locked="1"/>
    </xf>
    <xf numFmtId="0" fontId="53" fillId="44" borderId="24" xfId="18" applyNumberFormat="1" applyFont="1" applyFill="1" applyBorder="1" applyAlignment="1" applyProtection="1">
      <alignment vertical="center"/>
      <protection locked="1"/>
    </xf>
    <xf numFmtId="0" fontId="54" fillId="45" borderId="26" xfId="19" applyNumberFormat="1" applyFont="1" applyFill="1" applyBorder="1" applyAlignment="1" applyProtection="1">
      <alignment vertical="center"/>
      <protection locked="1"/>
    </xf>
    <xf numFmtId="0" fontId="55" fillId="0" borderId="27" xfId="20" applyNumberFormat="1" applyFont="1" applyBorder="1" applyAlignment="1" applyProtection="1">
      <alignment vertical="center"/>
      <protection locked="1"/>
    </xf>
    <xf numFmtId="0" fontId="56" fillId="0" borderId="31" xfId="21" applyNumberFormat="1" applyFont="1" applyBorder="1" applyAlignment="1" applyProtection="1">
      <alignment vertical="center"/>
      <protection locked="1"/>
    </xf>
    <xf numFmtId="0" fontId="57" fillId="46" borderId="0" xfId="22" applyNumberFormat="1" applyFont="1" applyFill="1" applyAlignment="1" applyProtection="1">
      <alignment vertical="center"/>
      <protection locked="1"/>
    </xf>
    <xf numFmtId="0" fontId="58" fillId="47" borderId="0" xfId="23" applyNumberFormat="1" applyFont="1" applyFill="1" applyAlignment="1" applyProtection="1">
      <alignment vertical="center"/>
      <protection locked="1"/>
    </xf>
    <xf numFmtId="0" fontId="59" fillId="48" borderId="0" xfId="24" applyNumberFormat="1" applyFont="1" applyFill="1" applyAlignment="1" applyProtection="1">
      <alignment vertical="center"/>
      <protection locked="1"/>
    </xf>
    <xf numFmtId="0" fontId="60" fillId="49" borderId="0" xfId="25" applyNumberFormat="1" applyFont="1" applyFill="1" applyAlignment="1" applyProtection="1">
      <alignment vertical="center"/>
      <protection locked="1"/>
    </xf>
    <xf numFmtId="0" fontId="42" fillId="50" borderId="0" xfId="26" applyNumberFormat="1" applyFont="1" applyFill="1" applyAlignment="1" applyProtection="1">
      <alignment vertical="center"/>
      <protection locked="1"/>
    </xf>
    <xf numFmtId="0" fontId="42" fillId="51" borderId="0" xfId="27" applyNumberFormat="1" applyFont="1" applyFill="1" applyAlignment="1" applyProtection="1">
      <alignment vertical="center"/>
      <protection locked="1"/>
    </xf>
    <xf numFmtId="0" fontId="60" fillId="52" borderId="0" xfId="28" applyNumberFormat="1" applyFont="1" applyFill="1" applyAlignment="1" applyProtection="1">
      <alignment vertical="center"/>
      <protection locked="1"/>
    </xf>
    <xf numFmtId="0" fontId="60" fillId="53" borderId="0" xfId="29" applyNumberFormat="1" applyFont="1" applyFill="1" applyAlignment="1" applyProtection="1">
      <alignment vertical="center"/>
      <protection locked="1"/>
    </xf>
    <xf numFmtId="0" fontId="42" fillId="54" borderId="0" xfId="30" applyNumberFormat="1" applyFont="1" applyFill="1" applyAlignment="1" applyProtection="1">
      <alignment vertical="center"/>
      <protection locked="1"/>
    </xf>
    <xf numFmtId="0" fontId="42" fillId="55" borderId="0" xfId="31" applyNumberFormat="1" applyFont="1" applyFill="1" applyAlignment="1" applyProtection="1">
      <alignment vertical="center"/>
      <protection locked="1"/>
    </xf>
    <xf numFmtId="0" fontId="60" fillId="56" borderId="0" xfId="32" applyNumberFormat="1" applyFont="1" applyFill="1" applyAlignment="1" applyProtection="1">
      <alignment vertical="center"/>
      <protection locked="1"/>
    </xf>
    <xf numFmtId="0" fontId="60" fillId="57" borderId="0" xfId="33" applyNumberFormat="1" applyFont="1" applyFill="1" applyAlignment="1" applyProtection="1">
      <alignment vertical="center"/>
      <protection locked="1"/>
    </xf>
    <xf numFmtId="0" fontId="42" fillId="58" borderId="0" xfId="34" applyNumberFormat="1" applyFont="1" applyFill="1" applyAlignment="1" applyProtection="1">
      <alignment vertical="center"/>
      <protection locked="1"/>
    </xf>
    <xf numFmtId="0" fontId="42" fillId="59" borderId="0" xfId="35" applyNumberFormat="1" applyFont="1" applyFill="1" applyAlignment="1" applyProtection="1">
      <alignment vertical="center"/>
      <protection locked="1"/>
    </xf>
    <xf numFmtId="0" fontId="60" fillId="60" borderId="0" xfId="36" applyNumberFormat="1" applyFont="1" applyFill="1" applyAlignment="1" applyProtection="1">
      <alignment vertical="center"/>
      <protection locked="1"/>
    </xf>
    <xf numFmtId="0" fontId="60" fillId="61" borderId="0" xfId="37" applyNumberFormat="1" applyFont="1" applyFill="1" applyAlignment="1" applyProtection="1">
      <alignment vertical="center"/>
      <protection locked="1"/>
    </xf>
    <xf numFmtId="0" fontId="42" fillId="62" borderId="0" xfId="38" applyNumberFormat="1" applyFont="1" applyFill="1" applyAlignment="1" applyProtection="1">
      <alignment vertical="center"/>
      <protection locked="1"/>
    </xf>
    <xf numFmtId="0" fontId="42" fillId="63" borderId="0" xfId="39" applyNumberFormat="1" applyFont="1" applyFill="1" applyAlignment="1" applyProtection="1">
      <alignment vertical="center"/>
      <protection locked="1"/>
    </xf>
    <xf numFmtId="0" fontId="60" fillId="64" borderId="0" xfId="40" applyNumberFormat="1" applyFont="1" applyFill="1" applyAlignment="1" applyProtection="1">
      <alignment vertical="center"/>
      <protection locked="1"/>
    </xf>
    <xf numFmtId="0" fontId="60" fillId="65" borderId="0" xfId="41" applyNumberFormat="1" applyFont="1" applyFill="1" applyAlignment="1" applyProtection="1">
      <alignment vertical="center"/>
      <protection locked="1"/>
    </xf>
    <xf numFmtId="0" fontId="42" fillId="66" borderId="0" xfId="42" applyNumberFormat="1" applyFont="1" applyFill="1" applyAlignment="1" applyProtection="1">
      <alignment vertical="center"/>
      <protection locked="1"/>
    </xf>
    <xf numFmtId="0" fontId="42" fillId="67" borderId="0" xfId="43" applyNumberFormat="1" applyFont="1" applyFill="1" applyAlignment="1" applyProtection="1">
      <alignment vertical="center"/>
      <protection locked="1"/>
    </xf>
    <xf numFmtId="0" fontId="60" fillId="68" borderId="0" xfId="44" applyNumberFormat="1" applyFont="1" applyFill="1" applyAlignment="1" applyProtection="1">
      <alignment vertical="center"/>
      <protection locked="1"/>
    </xf>
    <xf numFmtId="0" fontId="60" fillId="69" borderId="0" xfId="45" applyNumberFormat="1" applyFont="1" applyFill="1" applyAlignment="1" applyProtection="1">
      <alignment vertical="center"/>
      <protection locked="1"/>
    </xf>
    <xf numFmtId="0" fontId="42" fillId="70" borderId="0" xfId="46" applyNumberFormat="1" applyFont="1" applyFill="1" applyAlignment="1" applyProtection="1">
      <alignment vertical="center"/>
      <protection locked="1"/>
    </xf>
    <xf numFmtId="0" fontId="42" fillId="71" borderId="0" xfId="47" applyNumberFormat="1" applyFont="1" applyFill="1" applyAlignment="1" applyProtection="1">
      <alignment vertical="center"/>
      <protection locked="1"/>
    </xf>
    <xf numFmtId="0" fontId="60" fillId="72" borderId="0" xfId="48" applyNumberFormat="1" applyFont="1" applyFill="1" applyAlignment="1" applyProtection="1">
      <alignment vertical="center"/>
      <protection locked="1"/>
    </xf>
    <xf numFmtId="0" fontId="42" fillId="0" borderId="0" xfId="49" applyNumberFormat="1" applyFont="1" applyAlignment="1" applyProtection="1">
      <alignment vertical="bottom"/>
      <protection locked="1"/>
    </xf>
    <xf numFmtId="0" fontId="42" fillId="0" borderId="0" xfId="50" applyNumberFormat="1" applyFont="1" applyAlignment="1" applyProtection="1">
      <alignment vertical="bottom"/>
      <protection locked="1"/>
    </xf>
    <xf numFmtId="0" fontId="20" fillId="0" borderId="9" xfId="0" applyNumberFormat="1" applyFont="1" applyFill="1" applyBorder="1" applyAlignment="1" applyProtection="1">
      <alignment horizontal="center" vertical="center" wrapText="1"/>
    </xf>
    <xf numFmtId="0" fontId="20" fillId="0" borderId="6" xfId="0" applyNumberFormat="1" applyFont="1" applyFill="1" applyBorder="1" applyAlignment="1" applyProtection="1">
      <alignment horizontal="center" vertical="center"/>
    </xf>
    <xf numFmtId="0" fontId="9" fillId="4" borderId="1" xfId="0" applyNumberFormat="1" applyFont="1" applyFill="1" applyBorder="1" applyAlignment="1" applyProtection="1">
      <alignment horizontal="center" vertical="center" wrapText="1"/>
    </xf>
    <xf numFmtId="0" fontId="9" fillId="0" borderId="45" xfId="0" applyNumberFormat="1" applyFont="1" applyFill="1" applyBorder="1" applyAlignment="1" applyProtection="1">
      <alignment horizontal="center" vertical="center" wrapText="1"/>
    </xf>
    <xf numFmtId="373" fontId="0" fillId="0" borderId="39" xfId="0" applyNumberFormat="1" applyFont="1" applyFill="1" applyBorder="1" applyAlignment="1" applyProtection="1">
      <alignment horizontal="center" vertical="center" wrapText="1"/>
    </xf>
    <xf numFmtId="0" fontId="0" fillId="0" borderId="45" xfId="0" applyNumberFormat="1" applyFont="1" applyFill="1" applyBorder="1" applyAlignment="1" applyProtection="1">
      <alignment horizontal="center" vertical="center" wrapText="1"/>
    </xf>
    <xf numFmtId="0" fontId="0" fillId="0" borderId="49" xfId="0" applyNumberFormat="1" applyFont="1" applyFill="1" applyBorder="1" applyAlignment="1" applyProtection="1">
      <alignment horizontal="center" vertical="bottom"/>
    </xf>
    <xf numFmtId="0" fontId="0" fillId="0" borderId="36" xfId="0" applyNumberFormat="1" applyFont="1" applyFill="1" applyBorder="1" applyAlignment="1" applyProtection="1">
      <alignment horizontal="center" vertical="center" wrapText="1"/>
    </xf>
    <xf numFmtId="0" fontId="0" fillId="0" borderId="40" xfId="0" applyNumberFormat="1" applyFont="1" applyFill="1" applyBorder="1" applyAlignment="1" applyProtection="1">
      <alignment horizontal="center" vertical="bottom"/>
    </xf>
    <xf numFmtId="0" fontId="0" fillId="0" borderId="47" xfId="0" applyNumberFormat="1" applyFont="1" applyFill="1" applyBorder="1" applyAlignment="1" applyProtection="1">
      <alignment horizontal="center" vertical="center" wrapText="1"/>
    </xf>
    <xf numFmtId="0" fontId="65" fillId="0" borderId="37" xfId="0" applyNumberFormat="1" applyFont="1" applyFill="1" applyBorder="1" applyAlignment="1" applyProtection="1">
      <alignment horizontal="left" vertical="center" wrapText="1"/>
    </xf>
    <xf numFmtId="0" fontId="65" fillId="0" borderId="39" xfId="0" applyNumberFormat="1" applyFont="1" applyFill="1" applyBorder="1" applyAlignment="1" applyProtection="1">
      <alignment horizontal="left" vertical="center" wrapText="1"/>
    </xf>
    <xf numFmtId="399" fontId="0" fillId="4" borderId="8" xfId="0" applyNumberFormat="1" applyFont="1" applyFill="1" applyBorder="1" applyAlignment="1" applyProtection="1">
      <alignment horizontal="center" vertical="center" wrapText="1"/>
    </xf>
    <xf numFmtId="409" fontId="0" fillId="0" borderId="45" xfId="0" applyNumberFormat="1" applyFont="1" applyFill="1" applyBorder="1" applyAlignment="1" applyProtection="1">
      <alignment horizontal="center" vertical="center" wrapText="1"/>
    </xf>
    <xf numFmtId="423" fontId="62" fillId="0" borderId="37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ont="1" applyFill="1" applyBorder="1" applyAlignment="1" applyProtection="1">
      <alignment horizontal="center" vertical="center" wrapText="1"/>
    </xf>
    <xf numFmtId="0" fontId="0" fillId="0" borderId="8" xfId="0" applyNumberFormat="1" applyFont="1" applyFill="1" applyBorder="1" applyAlignment="1" applyProtection="1">
      <alignment horizontal="center" vertical="center" wrapText="1"/>
    </xf>
    <xf numFmtId="372" fontId="0" fillId="0" borderId="12" xfId="0" applyNumberFormat="1" applyFont="1" applyFill="1" applyBorder="1" applyAlignment="1" applyProtection="1">
      <alignment horizontal="center" vertical="center" wrapText="1"/>
    </xf>
    <xf numFmtId="0" fontId="0" fillId="0" borderId="37" xfId="0" applyNumberFormat="1" applyFont="1" applyFill="1" applyBorder="1" applyAlignment="1" applyProtection="1">
      <alignment horizontal="center" vertical="center" wrapText="1"/>
    </xf>
    <xf numFmtId="0" fontId="0" fillId="0" borderId="38" xfId="0" applyNumberFormat="1" applyFont="1" applyFill="1" applyBorder="1" applyAlignment="1" applyProtection="1">
      <alignment horizontal="center" vertical="center" wrapText="1"/>
    </xf>
    <xf numFmtId="0" fontId="0" fillId="0" borderId="39" xfId="0" applyNumberFormat="1" applyFont="1" applyFill="1" applyBorder="1" applyAlignment="1" applyProtection="1">
      <alignment horizontal="center" vertical="center" wrapText="1"/>
    </xf>
    <xf numFmtId="0" fontId="0" fillId="0" borderId="40" xfId="0" applyNumberFormat="1" applyFont="1" applyFill="1" applyBorder="1" applyAlignment="1" applyProtection="1">
      <alignment horizontal="center" vertical="center" wrapText="1"/>
    </xf>
    <xf numFmtId="0" fontId="0" fillId="0" borderId="41" xfId="0" applyNumberFormat="1" applyFont="1" applyFill="1" applyBorder="1" applyAlignment="1" applyProtection="1">
      <alignment horizontal="center" vertical="center" wrapText="1"/>
    </xf>
    <xf numFmtId="0" fontId="0" fillId="0" borderId="42" xfId="0" applyNumberFormat="1" applyFont="1" applyFill="1" applyBorder="1" applyAlignment="1" applyProtection="1">
      <alignment horizontal="center" vertical="center" wrapText="1"/>
    </xf>
    <xf numFmtId="0" fontId="0" fillId="0" borderId="43" xfId="0" applyNumberFormat="1" applyFont="1" applyFill="1" applyBorder="1" applyAlignment="1" applyProtection="1">
      <alignment horizontal="center" vertical="center" wrapText="1"/>
    </xf>
    <xf numFmtId="0" fontId="0" fillId="0" borderId="44" xfId="0" applyNumberFormat="1" applyFont="1" applyFill="1" applyBorder="1" applyAlignment="1" applyProtection="1">
      <alignment horizontal="center" vertical="center" wrapText="1"/>
    </xf>
    <xf numFmtId="0" fontId="0" fillId="0" borderId="45" xfId="0" applyNumberFormat="1" applyFont="1" applyFill="1" applyBorder="1" applyAlignment="1" applyProtection="1">
      <alignment horizontal="center" vertical="center" wrapText="1"/>
    </xf>
    <xf numFmtId="0" fontId="0" fillId="0" borderId="46" xfId="0" applyNumberFormat="1" applyFont="1" applyFill="1" applyBorder="1" applyAlignment="1" applyProtection="1">
      <alignment horizontal="center" vertical="center" wrapText="1"/>
    </xf>
    <xf numFmtId="0" fontId="0" fillId="0" borderId="47" xfId="0" applyNumberFormat="1" applyFont="1" applyFill="1" applyBorder="1" applyAlignment="1" applyProtection="1">
      <alignment horizontal="center" vertical="center" wrapText="1"/>
    </xf>
    <xf numFmtId="0" fontId="0" fillId="0" borderId="48" xfId="0" applyNumberFormat="1" applyFont="1" applyFill="1" applyBorder="1" applyAlignment="1" applyProtection="1">
      <alignment horizontal="center" vertical="center" wrapText="1"/>
    </xf>
    <xf numFmtId="371" fontId="0" fillId="0" borderId="15" xfId="0" applyNumberFormat="1" applyFont="1" applyFill="1" applyBorder="1" applyAlignment="1" applyProtection="1">
      <alignment horizontal="center" vertical="center" wrapText="1"/>
    </xf>
    <xf numFmtId="371" fontId="0" fillId="0" borderId="12" xfId="0" applyNumberFormat="1" applyFont="1" applyFill="1" applyBorder="1" applyAlignment="1" applyProtection="1">
      <alignment horizontal="center" vertical="center" wrapText="1"/>
    </xf>
    <xf numFmtId="371" fontId="0" fillId="0" borderId="8" xfId="0" applyNumberFormat="1" applyFont="1" applyFill="1" applyBorder="1" applyAlignment="1" applyProtection="1">
      <alignment horizontal="center" vertical="center" wrapText="1"/>
    </xf>
    <xf numFmtId="0" fontId="0" fillId="0" borderId="39" xfId="0" applyNumberFormat="1" applyFont="1" applyFill="1" applyBorder="1" applyAlignment="1" applyProtection="1">
      <alignment horizontal="center" vertical="center" wrapText="1"/>
    </xf>
    <xf numFmtId="0" fontId="0" fillId="0" borderId="48" xfId="0" applyNumberFormat="1" applyFont="1" applyFill="1" applyBorder="1" applyAlignment="1" applyProtection="1">
      <alignment horizontal="center" vertical="center" wrapText="1"/>
    </xf>
    <xf numFmtId="0" fontId="0" fillId="0" borderId="42" xfId="0" applyNumberFormat="1" applyFont="1" applyFill="1" applyBorder="1" applyAlignment="1" applyProtection="1">
      <alignment horizontal="center" vertical="center" wrapText="1"/>
    </xf>
    <xf numFmtId="0" fontId="0" fillId="0" borderId="49" xfId="0" applyNumberFormat="1" applyFont="1" applyFill="1" applyBorder="1" applyAlignment="1" applyProtection="1">
      <alignment horizontal="center" vertical="center" wrapText="1"/>
    </xf>
    <xf numFmtId="0" fontId="0" fillId="0" borderId="50" xfId="0" applyNumberFormat="1" applyFont="1" applyFill="1" applyBorder="1" applyAlignment="1" applyProtection="1">
      <alignment horizontal="center" vertical="center" wrapText="1"/>
    </xf>
    <xf numFmtId="0" fontId="0" fillId="0" borderId="49" xfId="0" applyNumberFormat="1" applyFont="1" applyFill="1" applyBorder="1" applyAlignment="1" applyProtection="1">
      <alignment horizontal="center" vertical="center" wrapText="1"/>
    </xf>
    <xf numFmtId="0" fontId="0" fillId="0" borderId="50" xfId="0" applyNumberFormat="1" applyFont="1" applyFill="1" applyBorder="1" applyAlignment="1" applyProtection="1">
      <alignment horizontal="center" vertical="center" wrapText="1"/>
    </xf>
    <xf numFmtId="0" fontId="0" fillId="0" borderId="37" xfId="0" applyNumberFormat="1" applyFont="1" applyFill="1" applyBorder="1" applyAlignment="1" applyProtection="1">
      <alignment horizontal="center" vertical="center" wrapText="1"/>
    </xf>
    <xf numFmtId="0" fontId="0" fillId="0" borderId="40" xfId="0" applyNumberFormat="1" applyFont="1" applyFill="1" applyBorder="1" applyAlignment="1" applyProtection="1">
      <alignment horizontal="center" vertical="center" wrapText="1"/>
    </xf>
    <xf numFmtId="0" fontId="0" fillId="0" borderId="38" xfId="0" applyNumberFormat="1" applyFont="1" applyFill="1" applyBorder="1" applyAlignment="1" applyProtection="1">
      <alignment horizontal="center" vertical="center" wrapText="1"/>
    </xf>
    <xf numFmtId="0" fontId="0" fillId="0" borderId="41" xfId="0" applyNumberFormat="1" applyFont="1" applyFill="1" applyBorder="1" applyAlignment="1" applyProtection="1">
      <alignment horizontal="center" vertical="center" wrapText="1"/>
    </xf>
    <xf numFmtId="0" fontId="0" fillId="0" borderId="3" xfId="0" applyNumberFormat="1" applyFont="1" applyFill="1" applyBorder="1" applyAlignment="1" applyProtection="1">
      <alignment horizontal="center" vertical="center" wrapText="1"/>
    </xf>
    <xf numFmtId="0" fontId="0" fillId="0" borderId="4" xfId="0" applyNumberFormat="1" applyFont="1" applyFill="1" applyBorder="1" applyAlignment="1" applyProtection="1">
      <alignment horizontal="center" vertical="center" wrapText="1"/>
    </xf>
    <xf numFmtId="0" fontId="61" fillId="0" borderId="41" xfId="0" applyNumberFormat="1" applyFont="1" applyFill="1" applyBorder="1" applyAlignment="1" applyProtection="1">
      <alignment vertical="center" wrapText="1"/>
    </xf>
    <xf numFmtId="0" fontId="61" fillId="0" borderId="42" xfId="0" applyNumberFormat="1" applyFont="1" applyFill="1" applyBorder="1" applyAlignment="1" applyProtection="1">
      <alignment vertical="center" wrapText="1"/>
    </xf>
    <xf numFmtId="0" fontId="62" fillId="0" borderId="43" xfId="0" applyNumberFormat="1" applyFont="1" applyFill="1" applyBorder="1" applyAlignment="1" applyProtection="1">
      <alignment horizontal="center" vertical="center" wrapText="1"/>
    </xf>
    <xf numFmtId="419" fontId="66" fillId="0" borderId="45" xfId="0" applyNumberFormat="1" applyFont="1" applyFill="1" applyBorder="1" applyAlignment="1" applyProtection="1">
      <alignment horizontal="center" vertical="center" wrapText="1"/>
    </xf>
    <xf numFmtId="419" fontId="66" fillId="0" borderId="43" xfId="0" applyNumberFormat="1" applyFont="1" applyFill="1" applyBorder="1" applyAlignment="1" applyProtection="1">
      <alignment horizontal="center" vertical="center" wrapText="1"/>
    </xf>
    <xf numFmtId="0" fontId="64" fillId="0" borderId="42" xfId="0" applyNumberFormat="1" applyFont="1" applyFill="1" applyBorder="1" applyAlignment="1" applyProtection="1">
      <alignment horizontal="center" vertical="center" wrapText="1"/>
    </xf>
    <xf numFmtId="0" fontId="20" fillId="0" borderId="1" xfId="0" applyNumberFormat="1" applyFont="1" applyFill="1" applyBorder="1" applyAlignment="1" applyProtection="1">
      <alignment horizontal="center" vertical="center" wrapText="1"/>
    </xf>
    <xf numFmtId="0" fontId="17" fillId="0" borderId="8" xfId="0" applyNumberFormat="1" applyFont="1" applyFill="1" applyBorder="1" applyAlignment="1" applyProtection="1">
      <alignment horizontal="center" vertical="center"/>
    </xf>
    <xf numFmtId="0" fontId="64" fillId="0" borderId="37" xfId="0" applyNumberFormat="1" applyFont="1" applyFill="1" applyBorder="1" applyAlignment="1" applyProtection="1">
      <alignment horizontal="center" vertical="center" wrapText="1"/>
    </xf>
    <xf numFmtId="0" fontId="64" fillId="0" borderId="40" xfId="0" applyNumberFormat="1" applyFont="1" applyFill="1" applyBorder="1" applyAlignment="1" applyProtection="1">
      <alignment horizontal="center" vertical="center" wrapText="1"/>
    </xf>
    <xf numFmtId="0" fontId="16" fillId="0" borderId="8" xfId="0" applyNumberFormat="1" applyFont="1" applyFill="1" applyBorder="1" applyAlignment="1" applyProtection="1">
      <alignment horizontal="center" vertical="center" wrapText="1"/>
    </xf>
    <xf numFmtId="0" fontId="65" fillId="0" borderId="40" xfId="0" applyNumberFormat="1" applyFont="1" applyFill="1" applyBorder="1" applyAlignment="1" applyProtection="1">
      <alignment horizontal="left" vertical="center" wrapText="1"/>
    </xf>
    <xf numFmtId="49" fontId="0" fillId="0" borderId="1" xfId="0" applyNumberFormat="1" applyFont="1" applyFill="1" applyBorder="1" applyAlignment="1" applyProtection="1">
      <alignment horizontal="center" vertical="center"/>
    </xf>
    <xf numFmtId="0" fontId="62" fillId="0" borderId="36" xfId="0" applyNumberFormat="1" applyFont="1" applyFill="1" applyBorder="1" applyAlignment="1" applyProtection="1">
      <alignment horizontal="center" vertical="center" wrapText="1"/>
    </xf>
    <xf numFmtId="0" fontId="21" fillId="8" borderId="1" xfId="0" applyNumberFormat="1" applyFont="1" applyFill="1" applyBorder="1" applyAlignment="1" applyProtection="1">
      <alignment horizontal="center" vertical="center"/>
    </xf>
    <xf numFmtId="0" fontId="16" fillId="7" borderId="1" xfId="0" applyNumberFormat="1" applyFont="1" applyFill="1" applyBorder="1" applyAlignment="1" applyProtection="1">
      <alignment horizontal="center" vertical="center" wrapText="1"/>
    </xf>
    <xf numFmtId="0" fontId="21" fillId="0" borderId="1" xfId="0" applyNumberFormat="1" applyFont="1" applyFill="1" applyBorder="1" applyAlignment="1" applyProtection="1">
      <alignment horizontal="center" vertical="center" wrapText="1"/>
    </xf>
    <xf numFmtId="49" fontId="15" fillId="0" borderId="1" xfId="0" applyNumberFormat="1" applyFont="1" applyFill="1" applyBorder="1" applyAlignment="1" applyProtection="1">
      <alignment horizontal="center" vertical="center" wrapText="1"/>
    </xf>
    <xf numFmtId="0" fontId="62" fillId="0" borderId="41" xfId="0" applyNumberFormat="1" applyFont="1" applyFill="1" applyBorder="1" applyAlignment="1" applyProtection="1">
      <alignment horizontal="center" vertical="center" wrapText="1"/>
    </xf>
    <xf numFmtId="0" fontId="62" fillId="0" borderId="41" xfId="0" applyNumberFormat="1" applyFont="1" applyFill="1" applyBorder="1" applyAlignment="1" applyProtection="1">
      <alignment horizontal="left" vertical="center" wrapText="1"/>
    </xf>
    <xf numFmtId="405" fontId="62" fillId="0" borderId="15" xfId="0" applyNumberFormat="1" applyFont="1" applyFill="1" applyBorder="1" applyAlignment="1" applyProtection="1">
      <alignment horizontal="center" vertical="center" wrapText="1"/>
    </xf>
    <xf numFmtId="405" fontId="62" fillId="0" borderId="12" xfId="0" applyNumberFormat="1" applyFont="1" applyFill="1" applyBorder="1" applyAlignment="1" applyProtection="1">
      <alignment horizontal="center" vertical="center" wrapText="1"/>
    </xf>
    <xf numFmtId="428" fontId="62" fillId="0" borderId="45" xfId="0" applyNumberFormat="1" applyFont="1" applyFill="1" applyBorder="1" applyAlignment="1" applyProtection="1">
      <alignment horizontal="center" vertical="center" wrapText="1"/>
    </xf>
    <xf numFmtId="423" fontId="62" fillId="0" borderId="39" xfId="0" applyNumberFormat="1" applyFont="1" applyFill="1" applyBorder="1" applyAlignment="1" applyProtection="1">
      <alignment horizontal="center" vertical="center" wrapText="1"/>
    </xf>
    <xf numFmtId="0" fontId="17" fillId="0" borderId="8" xfId="0" applyNumberFormat="1" applyFont="1" applyFill="1" applyBorder="1" applyAlignment="1" applyProtection="1">
      <alignment horizontal="center" vertical="center" wrapText="1"/>
    </xf>
    <xf numFmtId="0" fontId="62" fillId="0" borderId="42" xfId="0" applyNumberFormat="1" applyFont="1" applyFill="1" applyBorder="1" applyAlignment="1" applyProtection="1">
      <alignment horizontal="center" vertical="center" wrapText="1"/>
    </xf>
    <xf numFmtId="0" fontId="65" fillId="0" borderId="38" xfId="0" applyNumberFormat="1" applyFont="1" applyFill="1" applyBorder="1" applyAlignment="1" applyProtection="1">
      <alignment horizontal="left" vertical="center" wrapText="1"/>
    </xf>
    <xf numFmtId="0" fontId="63" fillId="0" borderId="12" xfId="0" applyNumberFormat="1" applyFont="1" applyFill="1" applyBorder="1" applyAlignment="1" applyProtection="1">
      <alignment horizontal="center" vertical="center" wrapText="1"/>
    </xf>
    <xf numFmtId="405" fontId="62" fillId="0" borderId="40" xfId="0" applyNumberFormat="1" applyFont="1" applyFill="1" applyBorder="1" applyAlignment="1" applyProtection="1">
      <alignment horizontal="center" vertical="center" wrapText="1"/>
    </xf>
    <xf numFmtId="423" fontId="62" fillId="0" borderId="42" xfId="0" applyNumberFormat="1" applyFont="1" applyFill="1" applyBorder="1" applyAlignment="1" applyProtection="1">
      <alignment horizontal="center" vertical="center" wrapText="1"/>
    </xf>
    <xf numFmtId="0" fontId="18" fillId="0" borderId="8" xfId="0" applyNumberFormat="1" applyFont="1" applyFill="1" applyBorder="1" applyAlignment="1" applyProtection="1">
      <alignment horizontal="center" vertical="center" wrapText="1"/>
    </xf>
    <xf numFmtId="0" fontId="65" fillId="0" borderId="41" xfId="0" applyNumberFormat="1" applyFont="1" applyFill="1" applyBorder="1" applyAlignment="1" applyProtection="1">
      <alignment horizontal="left" vertical="center" wrapText="1"/>
    </xf>
    <xf numFmtId="0" fontId="65" fillId="0" borderId="42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ont="1" applyFill="1" applyBorder="1" applyAlignment="1" applyProtection="1">
      <alignment horizontal="center" vertical="bottom"/>
    </xf>
    <xf numFmtId="0" fontId="0" fillId="0" borderId="15" xfId="0" applyNumberFormat="1" applyFont="1" applyFill="1" applyBorder="1" applyAlignment="1" applyProtection="1">
      <alignment horizontal="center" vertical="center" wrapText="1"/>
    </xf>
    <xf numFmtId="429" fontId="0" fillId="4" borderId="37" xfId="0" applyNumberFormat="1" applyFont="1" applyFill="1" applyBorder="1" applyAlignment="1" applyProtection="1">
      <alignment horizontal="center" vertical="center" wrapText="1"/>
    </xf>
    <xf numFmtId="429" fontId="0" fillId="4" borderId="39" xfId="0" applyNumberFormat="1" applyFont="1" applyFill="1" applyBorder="1" applyAlignment="1" applyProtection="1">
      <alignment horizontal="center" vertical="center" wrapText="1"/>
    </xf>
    <xf numFmtId="429" fontId="0" fillId="4" borderId="40" xfId="0" applyNumberFormat="1" applyFont="1" applyFill="1" applyBorder="1" applyAlignment="1" applyProtection="1">
      <alignment horizontal="center" vertical="center" wrapText="1"/>
    </xf>
    <xf numFmtId="429" fontId="0" fillId="4" borderId="4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63" fillId="0" borderId="8" xfId="0" applyNumberFormat="1" applyFont="1" applyFill="1" applyBorder="1" applyAlignment="1" applyProtection="1">
      <alignment horizontal="center" vertical="center" wrapText="1"/>
    </xf>
    <xf numFmtId="409" fontId="0" fillId="0" borderId="40" xfId="0" applyNumberFormat="1" applyFont="1" applyFill="1" applyBorder="1" applyAlignment="1" applyProtection="1">
      <alignment horizontal="center" vertical="center" wrapText="1"/>
    </xf>
    <xf numFmtId="409" fontId="0" fillId="0" borderId="4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bottom"/>
    </xf>
    <xf numFmtId="0" fontId="0" fillId="0" borderId="1" xfId="0" applyNumberFormat="1" applyFont="1" applyFill="1" applyBorder="1" applyAlignment="1" applyProtection="1">
      <alignment horizontal="left" vertical="bottom"/>
    </xf>
    <xf numFmtId="0" fontId="21" fillId="8" borderId="1" xfId="0" applyNumberFormat="1" applyFont="1" applyFill="1" applyBorder="1" applyAlignment="1" applyProtection="1">
      <alignment horizontal="left" vertical="center"/>
    </xf>
    <xf numFmtId="0" fontId="61" fillId="0" borderId="1" xfId="0" applyNumberFormat="1" applyFont="1" applyFill="1" applyBorder="1" applyAlignment="1" applyProtection="1">
      <alignment horizontal="center" vertical="center" wrapText="1"/>
    </xf>
    <xf numFmtId="0" fontId="66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37" xfId="0" applyNumberFormat="1" applyFont="1" applyFill="1" applyBorder="1" applyAlignment="1" applyProtection="1">
      <alignment horizontal="center" vertical="bottom"/>
    </xf>
    <xf numFmtId="0" fontId="0" fillId="0" borderId="39" xfId="0" applyNumberFormat="1" applyFont="1" applyFill="1" applyBorder="1" applyAlignment="1" applyProtection="1">
      <alignment horizontal="center" vertical="bottom"/>
    </xf>
    <xf numFmtId="0" fontId="0" fillId="0" borderId="40" xfId="0" applyNumberFormat="1" applyFont="1" applyFill="1" applyBorder="1" applyAlignment="1" applyProtection="1">
      <alignment horizontal="center" vertical="bottom"/>
    </xf>
    <xf numFmtId="0" fontId="0" fillId="0" borderId="42" xfId="0" applyNumberFormat="1" applyFont="1" applyFill="1" applyBorder="1" applyAlignment="1" applyProtection="1">
      <alignment horizontal="center" vertical="bottom"/>
    </xf>
    <xf numFmtId="0" fontId="0" fillId="4" borderId="37" xfId="0" applyNumberFormat="1" applyFont="1" applyFill="1" applyBorder="1" applyAlignment="1" applyProtection="1">
      <alignment horizontal="center" vertical="center" wrapText="1"/>
    </xf>
    <xf numFmtId="0" fontId="0" fillId="4" borderId="39" xfId="0" applyNumberFormat="1" applyFont="1" applyFill="1" applyBorder="1" applyAlignment="1" applyProtection="1">
      <alignment horizontal="center" vertical="center" wrapText="1"/>
    </xf>
    <xf numFmtId="0" fontId="0" fillId="4" borderId="40" xfId="0" applyNumberFormat="1" applyFont="1" applyFill="1" applyBorder="1" applyAlignment="1" applyProtection="1">
      <alignment horizontal="center" vertical="center" wrapText="1"/>
    </xf>
    <xf numFmtId="0" fontId="0" fillId="4" borderId="42" xfId="0" applyNumberFormat="1" applyFont="1" applyFill="1" applyBorder="1" applyAlignment="1" applyProtection="1">
      <alignment horizontal="center" vertical="center" wrapText="1"/>
    </xf>
    <xf numFmtId="405" fontId="62" fillId="0" borderId="48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left" vertical="bottom"/>
    </xf>
    <xf numFmtId="405" fontId="62" fillId="0" borderId="41" xfId="0" applyNumberFormat="1" applyFont="1" applyFill="1" applyBorder="1" applyAlignment="1" applyProtection="1">
      <alignment horizontal="center" vertical="center" wrapText="1"/>
    </xf>
    <xf numFmtId="405" fontId="62" fillId="0" borderId="42" xfId="0" applyNumberFormat="1" applyFont="1" applyFill="1" applyBorder="1" applyAlignment="1" applyProtection="1">
      <alignment horizontal="center" vertical="center" wrapText="1"/>
    </xf>
    <xf numFmtId="347" fontId="0" fillId="0" borderId="1" xfId="0" applyNumberFormat="1" applyFont="1" applyFill="1" applyBorder="1" applyAlignment="1" applyProtection="1">
      <alignment horizontal="center" vertical="center"/>
    </xf>
    <xf numFmtId="0" fontId="62" fillId="0" borderId="50" xfId="0" applyNumberFormat="1" applyFont="1" applyFill="1" applyBorder="1" applyAlignment="1" applyProtection="1">
      <alignment horizontal="center" vertical="center" wrapText="1"/>
    </xf>
    <xf numFmtId="408" fontId="0" fillId="0" borderId="43" xfId="0" applyNumberFormat="1" applyFont="1" applyFill="1" applyBorder="1" applyAlignment="1" applyProtection="1">
      <alignment horizontal="center" vertical="center" wrapText="1"/>
    </xf>
    <xf numFmtId="408" fontId="0" fillId="0" borderId="45" xfId="0" applyNumberFormat="1" applyFont="1" applyFill="1" applyBorder="1" applyAlignment="1" applyProtection="1">
      <alignment horizontal="center" vertical="center" wrapText="1"/>
    </xf>
    <xf numFmtId="0" fontId="0" fillId="7" borderId="1" xfId="0" applyNumberFormat="1" applyFont="1" applyFill="1" applyBorder="1" applyAlignment="1" applyProtection="1">
      <alignment horizontal="center" vertical="center"/>
    </xf>
    <xf numFmtId="0" fontId="17" fillId="0" borderId="15" xfId="0" applyNumberFormat="1" applyFont="1" applyFill="1" applyBorder="1" applyAlignment="1" applyProtection="1">
      <alignment horizontal="center" vertical="center" wrapText="1"/>
    </xf>
    <xf numFmtId="0" fontId="62" fillId="0" borderId="42" xfId="0" applyNumberFormat="1" applyFont="1" applyFill="1" applyBorder="1" applyAlignment="1" applyProtection="1">
      <alignment horizontal="center" vertical="center"/>
    </xf>
    <xf numFmtId="0" fontId="62" fillId="0" borderId="1" xfId="0" applyNumberFormat="1" applyFont="1" applyFill="1" applyBorder="1" applyAlignment="1" applyProtection="1">
      <alignment horizontal="center" vertical="center" wrapText="1"/>
    </xf>
    <xf numFmtId="372" fontId="0" fillId="0" borderId="37" xfId="0" applyNumberFormat="1" applyFont="1" applyFill="1" applyBorder="1" applyAlignment="1" applyProtection="1">
      <alignment horizontal="center" vertical="center" wrapText="1"/>
    </xf>
    <xf numFmtId="372" fontId="0" fillId="0" borderId="39" xfId="0" applyNumberFormat="1" applyFont="1" applyFill="1" applyBorder="1" applyAlignment="1" applyProtection="1">
      <alignment horizontal="center" vertical="center" wrapText="1"/>
    </xf>
    <xf numFmtId="372" fontId="0" fillId="0" borderId="40" xfId="0" applyNumberFormat="1" applyFont="1" applyFill="1" applyBorder="1" applyAlignment="1" applyProtection="1">
      <alignment horizontal="center" vertical="center" wrapText="1"/>
    </xf>
    <xf numFmtId="372" fontId="0" fillId="0" borderId="42" xfId="0" applyNumberFormat="1" applyFont="1" applyFill="1" applyBorder="1" applyAlignment="1" applyProtection="1">
      <alignment horizontal="center" vertical="center" wrapText="1"/>
    </xf>
    <xf numFmtId="0" fontId="0" fillId="0" borderId="43" xfId="0" applyNumberFormat="1" applyFont="1" applyFill="1" applyBorder="1" applyAlignment="1" applyProtection="1">
      <alignment horizontal="center" vertical="bottom"/>
    </xf>
    <xf numFmtId="0" fontId="0" fillId="0" borderId="45" xfId="0" applyNumberFormat="1" applyFont="1" applyFill="1" applyBorder="1" applyAlignment="1" applyProtection="1">
      <alignment horizontal="center" vertical="bottom"/>
    </xf>
    <xf numFmtId="421" fontId="62" fillId="0" borderId="39" xfId="0" applyNumberFormat="1" applyFont="1" applyFill="1" applyBorder="1" applyAlignment="1" applyProtection="1">
      <alignment horizontal="center" vertical="center" wrapText="1"/>
    </xf>
    <xf numFmtId="421" fontId="62" fillId="0" borderId="48" xfId="0" applyNumberFormat="1" applyFont="1" applyFill="1" applyBorder="1" applyAlignment="1" applyProtection="1">
      <alignment horizontal="center" vertical="center" wrapText="1"/>
    </xf>
    <xf numFmtId="423" fontId="62" fillId="0" borderId="46" xfId="0" applyNumberFormat="1" applyFont="1" applyFill="1" applyBorder="1" applyAlignment="1" applyProtection="1">
      <alignment horizontal="center" vertical="center" wrapText="1"/>
    </xf>
    <xf numFmtId="421" fontId="62" fillId="0" borderId="42" xfId="0" applyNumberFormat="1" applyFont="1" applyFill="1" applyBorder="1" applyAlignment="1" applyProtection="1">
      <alignment horizontal="center" vertical="center" wrapText="1"/>
    </xf>
    <xf numFmtId="423" fontId="62" fillId="0" borderId="40" xfId="0" applyNumberFormat="1" applyFont="1" applyFill="1" applyBorder="1" applyAlignment="1" applyProtection="1">
      <alignment horizontal="center" vertical="center" wrapText="1"/>
    </xf>
    <xf numFmtId="0" fontId="0" fillId="4" borderId="48" xfId="0" applyNumberFormat="1" applyFont="1" applyFill="1" applyBorder="1" applyAlignment="1" applyProtection="1">
      <alignment horizontal="center" vertical="center" wrapText="1"/>
    </xf>
    <xf numFmtId="0" fontId="61" fillId="0" borderId="37" xfId="0" applyNumberFormat="1" applyFont="1" applyFill="1" applyBorder="1" applyAlignment="1" applyProtection="1">
      <alignment vertical="center" wrapText="1"/>
    </xf>
    <xf numFmtId="0" fontId="0" fillId="4" borderId="8" xfId="0" applyNumberFormat="1" applyFont="1" applyFill="1" applyBorder="1" applyAlignment="1" applyProtection="1">
      <alignment horizontal="center" vertical="center" wrapText="1"/>
    </xf>
    <xf numFmtId="372" fontId="0" fillId="0" borderId="43" xfId="0" applyNumberFormat="1" applyFont="1" applyFill="1" applyBorder="1" applyAlignment="1" applyProtection="1">
      <alignment horizontal="center" vertical="center" wrapText="1"/>
    </xf>
    <xf numFmtId="372" fontId="0" fillId="0" borderId="45" xfId="0" applyNumberFormat="1" applyFont="1" applyFill="1" applyBorder="1" applyAlignment="1" applyProtection="1">
      <alignment horizontal="center" vertical="center" wrapText="1"/>
    </xf>
    <xf numFmtId="373" fontId="0" fillId="0" borderId="43" xfId="0" applyNumberFormat="1" applyFont="1" applyFill="1" applyBorder="1" applyAlignment="1" applyProtection="1">
      <alignment horizontal="center" vertical="center" wrapText="1"/>
    </xf>
    <xf numFmtId="373" fontId="0" fillId="0" borderId="45" xfId="0" applyNumberFormat="1" applyFont="1" applyFill="1" applyBorder="1" applyAlignment="1" applyProtection="1">
      <alignment horizontal="center" vertical="center" wrapText="1"/>
    </xf>
    <xf numFmtId="371" fontId="0" fillId="0" borderId="37" xfId="0" applyNumberFormat="1" applyFont="1" applyFill="1" applyBorder="1" applyAlignment="1" applyProtection="1">
      <alignment horizontal="center" vertical="center" wrapText="1"/>
    </xf>
    <xf numFmtId="371" fontId="0" fillId="0" borderId="39" xfId="0" applyNumberFormat="1" applyFont="1" applyFill="1" applyBorder="1" applyAlignment="1" applyProtection="1">
      <alignment horizontal="center" vertical="center" wrapText="1"/>
    </xf>
    <xf numFmtId="371" fontId="0" fillId="0" borderId="40" xfId="0" applyNumberFormat="1" applyFont="1" applyFill="1" applyBorder="1" applyAlignment="1" applyProtection="1">
      <alignment horizontal="center" vertical="center" wrapText="1"/>
    </xf>
    <xf numFmtId="371" fontId="0" fillId="0" borderId="42" xfId="0" applyNumberFormat="1" applyFont="1" applyFill="1" applyBorder="1" applyAlignment="1" applyProtection="1">
      <alignment horizontal="center" vertical="center" wrapText="1"/>
    </xf>
    <xf numFmtId="373" fontId="0" fillId="0" borderId="40" xfId="0" applyNumberFormat="1" applyFont="1" applyFill="1" applyBorder="1" applyAlignment="1" applyProtection="1">
      <alignment horizontal="center" vertical="center" wrapText="1"/>
    </xf>
    <xf numFmtId="373" fontId="0" fillId="0" borderId="42" xfId="0" applyNumberFormat="1" applyFont="1" applyFill="1" applyBorder="1" applyAlignment="1" applyProtection="1">
      <alignment horizontal="center" vertical="center" wrapText="1"/>
    </xf>
    <xf numFmtId="0" fontId="62" fillId="0" borderId="45" xfId="0" applyNumberFormat="1" applyFont="1" applyFill="1" applyBorder="1" applyAlignment="1" applyProtection="1">
      <alignment horizontal="center" vertical="center" wrapText="1"/>
    </xf>
    <xf numFmtId="0" fontId="0" fillId="4" borderId="15" xfId="0" applyNumberFormat="1" applyFont="1" applyFill="1" applyBorder="1" applyAlignment="1" applyProtection="1">
      <alignment horizontal="center" vertical="center" wrapText="1"/>
    </xf>
    <xf numFmtId="0" fontId="0" fillId="4" borderId="37" xfId="0" applyNumberFormat="1" applyFont="1" applyFill="1" applyBorder="1" applyAlignment="1" applyProtection="1">
      <alignment horizontal="center" vertical="center" wrapText="1"/>
    </xf>
    <xf numFmtId="0" fontId="62" fillId="0" borderId="45" xfId="0" applyNumberFormat="1" applyFont="1" applyFill="1" applyBorder="1" applyAlignment="1" applyProtection="1">
      <alignment horizontal="center" vertical="center" wrapText="1"/>
    </xf>
    <xf numFmtId="0" fontId="62" fillId="0" borderId="44" xfId="0" applyNumberFormat="1" applyFont="1" applyFill="1" applyBorder="1" applyAlignment="1" applyProtection="1">
      <alignment horizontal="center" vertical="center" wrapText="1"/>
    </xf>
    <xf numFmtId="0" fontId="61" fillId="0" borderId="40" xfId="0" applyNumberFormat="1" applyFont="1" applyFill="1" applyBorder="1" applyAlignment="1" applyProtection="1">
      <alignment vertical="center" wrapText="1"/>
    </xf>
    <xf numFmtId="0" fontId="62" fillId="0" borderId="49" xfId="0" applyNumberFormat="1" applyFont="1" applyFill="1" applyBorder="1" applyAlignment="1" applyProtection="1">
      <alignment horizontal="center" vertical="center" wrapText="1"/>
    </xf>
    <xf numFmtId="0" fontId="62" fillId="0" borderId="8" xfId="0" applyNumberFormat="1" applyFont="1" applyFill="1" applyBorder="1" applyAlignment="1" applyProtection="1">
      <alignment horizontal="center" vertical="center" wrapText="1"/>
    </xf>
    <xf numFmtId="0" fontId="63" fillId="0" borderId="15" xfId="0" applyNumberFormat="1" applyFont="1" applyFill="1" applyBorder="1" applyAlignment="1" applyProtection="1">
      <alignment horizontal="center" vertical="center" wrapText="1"/>
    </xf>
    <xf numFmtId="0" fontId="62" fillId="0" borderId="45" xfId="0" applyNumberFormat="1" applyFont="1" applyFill="1" applyBorder="1" applyAlignment="1" applyProtection="1">
      <alignment horizontal="center" vertical="center"/>
    </xf>
    <xf numFmtId="0" fontId="62" fillId="0" borderId="38" xfId="0" applyNumberFormat="1" applyFont="1" applyFill="1" applyBorder="1" applyAlignment="1" applyProtection="1">
      <alignment horizontal="center" vertical="center" wrapText="1"/>
    </xf>
    <xf numFmtId="0" fontId="64" fillId="0" borderId="46" xfId="0" applyNumberFormat="1" applyFont="1" applyFill="1" applyBorder="1" applyAlignment="1" applyProtection="1">
      <alignment horizontal="center" vertical="center" wrapText="1"/>
    </xf>
    <xf numFmtId="0" fontId="64" fillId="0" borderId="48" xfId="0" applyNumberFormat="1" applyFont="1" applyFill="1" applyBorder="1" applyAlignment="1" applyProtection="1">
      <alignment horizontal="center" vertical="center" wrapText="1"/>
    </xf>
    <xf numFmtId="0" fontId="62" fillId="0" borderId="46" xfId="0" applyNumberFormat="1" applyFont="1" applyFill="1" applyBorder="1" applyAlignment="1" applyProtection="1">
      <alignment horizontal="center" vertical="center" wrapText="1"/>
    </xf>
    <xf numFmtId="0" fontId="62" fillId="0" borderId="48" xfId="0" applyNumberFormat="1" applyFont="1" applyFill="1" applyBorder="1" applyAlignment="1" applyProtection="1">
      <alignment horizontal="center" vertical="center" wrapText="1"/>
    </xf>
    <xf numFmtId="0" fontId="62" fillId="0" borderId="12" xfId="0" applyNumberFormat="1" applyFont="1" applyFill="1" applyBorder="1" applyAlignment="1" applyProtection="1">
      <alignment horizontal="center" vertical="center" wrapText="1"/>
    </xf>
    <xf numFmtId="0" fontId="62" fillId="0" borderId="49" xfId="0" applyNumberFormat="1" applyFont="1" applyFill="1" applyBorder="1" applyAlignment="1" applyProtection="1">
      <alignment horizontal="center" vertical="center" wrapText="1"/>
    </xf>
    <xf numFmtId="0" fontId="62" fillId="0" borderId="47" xfId="0" applyNumberFormat="1" applyFont="1" applyFill="1" applyBorder="1" applyAlignment="1" applyProtection="1">
      <alignment horizontal="center" vertical="center" wrapText="1"/>
    </xf>
    <xf numFmtId="0" fontId="62" fillId="0" borderId="48" xfId="0" applyNumberFormat="1" applyFont="1" applyFill="1" applyBorder="1" applyAlignment="1" applyProtection="1">
      <alignment horizontal="center" vertical="center" wrapText="1"/>
    </xf>
    <xf numFmtId="0" fontId="65" fillId="0" borderId="46" xfId="0" applyNumberFormat="1" applyFont="1" applyFill="1" applyBorder="1" applyAlignment="1" applyProtection="1">
      <alignment horizontal="left" vertical="center" wrapText="1"/>
    </xf>
    <xf numFmtId="0" fontId="65" fillId="0" borderId="47" xfId="0" applyNumberFormat="1" applyFont="1" applyFill="1" applyBorder="1" applyAlignment="1" applyProtection="1">
      <alignment horizontal="left" vertical="center" wrapText="1"/>
    </xf>
    <xf numFmtId="0" fontId="65" fillId="0" borderId="48" xfId="0" applyNumberFormat="1" applyFont="1" applyFill="1" applyBorder="1" applyAlignment="1" applyProtection="1">
      <alignment horizontal="left" vertical="center" wrapText="1"/>
    </xf>
    <xf numFmtId="0" fontId="62" fillId="0" borderId="40" xfId="0" applyNumberFormat="1" applyFont="1" applyFill="1" applyBorder="1" applyAlignment="1" applyProtection="1">
      <alignment horizontal="center" vertical="center" wrapText="1"/>
    </xf>
    <xf numFmtId="0" fontId="62" fillId="0" borderId="42" xfId="0" applyNumberFormat="1" applyFont="1" applyFill="1" applyBorder="1" applyAlignment="1" applyProtection="1">
      <alignment horizontal="center" vertical="center" wrapText="1"/>
    </xf>
    <xf numFmtId="0" fontId="62" fillId="0" borderId="36" xfId="0" applyNumberFormat="1" applyFont="1" applyFill="1" applyBorder="1" applyAlignment="1" applyProtection="1">
      <alignment horizontal="center" vertical="center" wrapText="1"/>
    </xf>
    <xf numFmtId="0" fontId="62" fillId="0" borderId="50" xfId="0" applyNumberFormat="1" applyFont="1" applyFill="1" applyBorder="1" applyAlignment="1" applyProtection="1">
      <alignment horizontal="center" vertical="center" wrapText="1"/>
    </xf>
    <xf numFmtId="407" fontId="62" fillId="0" borderId="12" xfId="0" applyNumberFormat="1" applyFont="1" applyFill="1" applyBorder="1" applyAlignment="1" applyProtection="1">
      <alignment horizontal="center" vertical="center" wrapText="1"/>
    </xf>
    <xf numFmtId="0" fontId="62" fillId="0" borderId="46" xfId="0" applyNumberFormat="1" applyFont="1" applyFill="1" applyBorder="1" applyAlignment="1" applyProtection="1">
      <alignment horizontal="center" vertical="center"/>
    </xf>
    <xf numFmtId="0" fontId="62" fillId="0" borderId="48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vertical="bottom" wrapText="1"/>
    </xf>
    <xf numFmtId="0" fontId="0" fillId="0" borderId="1" xfId="0" applyNumberFormat="1" applyFont="1" applyFill="1" applyBorder="1" applyAlignment="1" applyProtection="1">
      <alignment vertical="bottom" wrapText="1"/>
    </xf>
    <xf numFmtId="281" fontId="0" fillId="0" borderId="1" xfId="0" applyNumberFormat="1" applyFont="1" applyFill="1" applyBorder="1" applyAlignment="1" applyProtection="1">
      <alignment horizontal="center" vertical="center" wrapText="1"/>
    </xf>
    <xf numFmtId="0" fontId="0" fillId="6" borderId="1" xfId="0" applyNumberFormat="1" applyFont="1" applyFill="1" applyBorder="1" applyAlignment="1" applyProtection="1">
      <alignment horizontal="center" vertical="center" wrapText="1"/>
    </xf>
    <xf numFmtId="0" fontId="0" fillId="6" borderId="0" xfId="0" applyNumberFormat="1" applyFont="1" applyFill="1" applyBorder="1" applyAlignment="1" applyProtection="1">
      <alignment horizontal="center" vertical="center" wrapText="1"/>
    </xf>
  </cellXfs>
  <cellStyles>
    <cellStyle xfId="0" builtinId="0" name="常规"/>
    <cellStyle xfId="1" builtinId="3" name="千位分隔"/>
    <cellStyle xfId="2" builtinId="4" name="货币"/>
    <cellStyle xfId="3" builtinId="5" name="百分比"/>
    <cellStyle xfId="4" builtinId="6" name="千位分隔[0]"/>
    <cellStyle xfId="5" builtinId="7" name="货币[0]"/>
    <cellStyle xfId="6" builtinId="8" name="超链接"/>
    <cellStyle xfId="7" builtinId="9" name="已访问的超链接"/>
    <cellStyle xfId="8" builtinId="10" name="注释"/>
    <cellStyle xfId="9" builtinId="11" name="警告文本"/>
    <cellStyle xfId="10" builtinId="15" name="标题"/>
    <cellStyle xfId="11" builtinId="53" name="解释性文本"/>
    <cellStyle xfId="12" builtinId="16" name="标题 1"/>
    <cellStyle xfId="13" builtinId="17" name="标题 2"/>
    <cellStyle xfId="14" builtinId="18" name="标题 3"/>
    <cellStyle xfId="15" builtinId="19" name="标题 4"/>
    <cellStyle xfId="16" builtinId="20" name="输入"/>
    <cellStyle xfId="17" builtinId="21" name="输出"/>
    <cellStyle xfId="18" builtinId="22" name="计算"/>
    <cellStyle xfId="19" builtinId="23" name="检查单元格"/>
    <cellStyle xfId="20" builtinId="24" name="链接单元格"/>
    <cellStyle xfId="21" builtinId="25" name="汇总"/>
    <cellStyle xfId="22" builtinId="26" name="好"/>
    <cellStyle xfId="23" builtinId="27" name="差"/>
    <cellStyle xfId="24" builtinId="28" name="适中"/>
    <cellStyle xfId="25" builtinId="29" name="着色 1"/>
    <cellStyle xfId="26" builtinId="30" name="20% - 着色 1"/>
    <cellStyle xfId="27" builtinId="31" name="40% - 着色 1"/>
    <cellStyle xfId="28" builtinId="32" name="60% - 着色 1"/>
    <cellStyle xfId="29" builtinId="33" name="着色 2"/>
    <cellStyle xfId="30" builtinId="34" name="20% - 着色 2"/>
    <cellStyle xfId="31" builtinId="35" name="40% - 着色 2"/>
    <cellStyle xfId="32" builtinId="36" name="60% - 着色 2"/>
    <cellStyle xfId="33" builtinId="37" name="着色 3"/>
    <cellStyle xfId="34" builtinId="38" name="20% - 着色 3"/>
    <cellStyle xfId="35" builtinId="39" name="40% - 着色 3"/>
    <cellStyle xfId="36" builtinId="40" name="60% - 着色 3"/>
    <cellStyle xfId="37" builtinId="41" name="着色 4"/>
    <cellStyle xfId="38" builtinId="42" name="20% - 着色 4"/>
    <cellStyle xfId="39" builtinId="43" name="40% - 着色 4"/>
    <cellStyle xfId="40" builtinId="44" name="60% - 着色 4"/>
    <cellStyle xfId="41" builtinId="45" name="着色 5"/>
    <cellStyle xfId="42" builtinId="46" name="20% - 着色 5"/>
    <cellStyle xfId="43" builtinId="47" name="40% - 着色 5"/>
    <cellStyle xfId="44" builtinId="48" name="60% - 着色 5"/>
    <cellStyle xfId="45" builtinId="49" name="着色 6"/>
    <cellStyle xfId="46" builtinId="50" name="20% - 着色 6"/>
    <cellStyle xfId="47" builtinId="51" name="40% - 着色 6"/>
    <cellStyle xfId="48" builtinId="52" name="60% - 着色 6"/>
    <cellStyle xfId="49" name="常规 2"/>
    <cellStyle xfId="50" name="常规 3"/>
  </cellStyles>
  <dxfs>
    <dxf/>
    <dxf>
      <fill>
        <patternFill patternType="solid">
          <fgColor rgb="FFFF0000"/>
          <bgColor rgb="FFFF0000"/>
        </patternFill>
      </fill>
      <protection locked="0"/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worksheet" Target="worksheets/sheet7.xml" Id="rId8" /><Relationship Type="http://schemas.openxmlformats.org/officeDocument/2006/relationships/worksheet" Target="worksheets/sheet8.xml" Id="rId9" /><Relationship Type="http://schemas.openxmlformats.org/officeDocument/2006/relationships/worksheet" Target="worksheets/sheet9.xml" Id="rId10" /><Relationship Type="http://schemas.openxmlformats.org/officeDocument/2006/relationships/worksheet" Target="worksheets/sheet10.xml" Id="rId11" /><Relationship Type="http://schemas.openxmlformats.org/officeDocument/2006/relationships/worksheet" Target="worksheets/sheet11.xml" Id="rId12" /><Relationship Type="http://schemas.openxmlformats.org/officeDocument/2006/relationships/worksheet" Target="worksheets/sheet12.xml" Id="rId13" /><Relationship Type="http://schemas.openxmlformats.org/officeDocument/2006/relationships/worksheet" Target="worksheets/sheet13.xml" Id="rId14" /><Relationship Type="http://schemas.openxmlformats.org/officeDocument/2006/relationships/externalLink" Target="externalLinks/externalLink1.xml" Id="rId15" /><Relationship Type="http://schemas.openxmlformats.org/officeDocument/2006/relationships/sharedStrings" Target="sharedStrings.xml" Id="rId17" /><Relationship Type="http://schemas.openxmlformats.org/officeDocument/2006/relationships/styles" Target="styles.xml" Id="rId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xsi="http://www.w3.org/2001/XMLSchema-instance" xmlns:xsd="http://www.w3.org/2001/XMLSchema" xmlns="http://schemas.openxmlformats.org/drawingml/2006/spreadsheetDrawing">
  <twoCellAnchor>
    <from>
      <col>0</col>
      <colOff>38100</colOff>
      <row>0</row>
      <rowOff>57150</rowOff>
    </from>
    <to>
      <col>1</col>
      <colOff>571500</colOff>
      <row>2</row>
      <rowOff>180975</rowOff>
    </to>
    <sp>
      <nvSpPr>
        <cNvPr id="2" name="图片 1"/>
        <cNvSpPr/>
      </nvSpPr>
      <spPr>
        <xfrm xmlns="http://schemas.openxmlformats.org/drawingml/2006/main">
          <off x="38100" y="57150"/>
          <ext cx="942975" cy="638175"/>
        </xfrm>
        <prstGeom xmlns="http://schemas.openxmlformats.org/drawingml/2006/main" prst="rect">
          <avLst/>
        </prstGeom>
        <blipFill xmlns="http://schemas.openxmlformats.org/drawingml/2006/main">
          <blip xmlns:d6p1="http://schemas.openxmlformats.org/officeDocument/2006/relationships" d6p1:embed="rId1"/>
          <stretch>
            <fillRect/>
          </stretch>
        </blipFill>
      </spPr>
      <txBody>
        <bodyPr xmlns="http://schemas.openxmlformats.org/drawingml/2006/main" vertOverflow="clip" horzOverflow="clip" vert="horz" wrap="square" rtlCol="0" anchor="ctr" upright="1"/>
        <lstStyle xmlns="http://schemas.openxmlformats.org/drawingml/2006/main"/>
        <p xmlns="http://schemas.openxmlformats.org/drawingml/2006/main">
          <pPr algn="ctr"/>
          <endParaRPr lang="en-US" sz="825">
            <solidFill>
              <srgbClr val="000000"/>
            </solidFill>
            <latin typeface="Microsoft Sans Serif"/>
          </endParaRPr>
        </p>
      </txBody>
    </sp>
    <clientData fLocksWithSheet="0"/>
  </twoCellAnchor>
</wsDr>
</file>

<file path=xl/externalLinks/_rels/externalLink1.xml.rels>&#65279;<?xml version="1.0" encoding="utf-8"?><Relationships xmlns="http://schemas.openxmlformats.org/package/2006/relationships"><Relationship Type="http://schemas.openxmlformats.org/officeDocument/2006/relationships/externalLinkPath" Target="T600T700-VariableSlit.xlsx" TargetMode="External" Id="rId1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基础信息"/>
      <sheetName val="测量结果表"/>
      <sheetName val="管理表"/>
      <sheetName val="对应信息"/>
      <sheetName val="检测项信息"/>
      <sheetName val="仪器状态"/>
      <sheetName val="样品池准确度与重复性校验"/>
      <sheetName val="标准值"/>
      <sheetName val="字段对应"/>
      <sheetName val="能量扫描"/>
      <sheetName val="样品池重复性"/>
      <sheetName val="波长拟合"/>
    </sheetNames>
    <sheetDataSet>
      <sheetData sheetId="0"/>
      <sheetData sheetId="1">
        <row r="2">
          <cell r="F2" t="str">
            <v>钨灯</v>
          </cell>
          <cell r="G2">
            <v>0</v>
          </cell>
          <cell r="I2" t="str">
            <v>Abs</v>
          </cell>
          <cell r="J2">
            <v>0</v>
          </cell>
          <cell r="K2" t="str">
            <v>极慢</v>
          </cell>
          <cell r="L2">
            <v>0</v>
          </cell>
        </row>
        <row r="3">
          <cell r="F3" t="str">
            <v>氘灯</v>
          </cell>
          <cell r="G3">
            <v>1</v>
          </cell>
          <cell r="I3" t="str">
            <v>T%</v>
          </cell>
          <cell r="J3">
            <v>1</v>
          </cell>
          <cell r="K3" t="str">
            <v>慢速</v>
          </cell>
          <cell r="L3">
            <v>1</v>
          </cell>
        </row>
        <row r="4">
          <cell r="F4" t="str">
            <v>汞灯</v>
          </cell>
          <cell r="G4">
            <v>2</v>
          </cell>
          <cell r="I4" t="str">
            <v>Es</v>
          </cell>
          <cell r="J4">
            <v>2</v>
          </cell>
          <cell r="K4" t="str">
            <v>中速</v>
          </cell>
          <cell r="L4">
            <v>2</v>
          </cell>
        </row>
        <row r="5">
          <cell r="I5" t="str">
            <v>Er</v>
          </cell>
          <cell r="J5">
            <v>3</v>
          </cell>
          <cell r="K5" t="str">
            <v>快速</v>
          </cell>
          <cell r="L5">
            <v>3</v>
          </cell>
        </row>
        <row r="6">
          <cell r="I6" t="str">
            <v>R%</v>
          </cell>
          <cell r="J6">
            <v>4</v>
          </cell>
          <cell r="K6" t="str">
            <v>极快</v>
          </cell>
          <cell r="L6">
            <v>4</v>
          </cell>
        </row>
      </sheetData>
      <sheetData sheetId="2"/>
      <sheetData sheetId="3"/>
      <sheetData sheetId="4">
        <row r="2">
          <cell r="D2" t="str">
            <v>波长示值误差与重复性校验</v>
          </cell>
          <cell r="E2">
            <v>1E+3</v>
          </cell>
        </row>
        <row r="3">
          <cell r="D3" t="str">
            <v>透射比示值误差与重复性校验</v>
          </cell>
          <cell r="E3">
            <v>2E+3</v>
          </cell>
        </row>
        <row r="4">
          <cell r="D4" t="str">
            <v>杂散光校验</v>
          </cell>
          <cell r="E4">
            <v>3E+3</v>
          </cell>
        </row>
        <row r="5">
          <cell r="D5" t="str">
            <v>基线平直度检验</v>
          </cell>
          <cell r="E5">
            <v>4E+3</v>
          </cell>
        </row>
        <row r="6">
          <cell r="D6" t="str">
            <v>基线暗噪声检验</v>
          </cell>
          <cell r="E6">
            <v>5E+3</v>
          </cell>
        </row>
        <row r="7">
          <cell r="D7" t="str">
            <v>光谱带宽与仪器最小光谱带宽</v>
          </cell>
          <cell r="E7">
            <v>6E+3</v>
          </cell>
        </row>
        <row r="8">
          <cell r="D8" t="str">
            <v>噪声检验</v>
          </cell>
          <cell r="E8">
            <v>7E+3</v>
          </cell>
        </row>
        <row r="9">
          <cell r="D9" t="str">
            <v>波长边缘噪声</v>
          </cell>
          <cell r="E9">
            <v>8E+3</v>
          </cell>
        </row>
        <row r="10">
          <cell r="D10" t="str">
            <v>漂移检验</v>
          </cell>
          <cell r="E10">
            <v>9E+3</v>
          </cell>
        </row>
      </sheetData>
      <sheetData sheetId="5">
        <row r="2">
          <cell r="H2" t="str">
            <v>486.0,656.1</v>
          </cell>
        </row>
        <row r="3">
          <cell r="H3" t="str">
            <v>296.7,404.7,435.8,546.1</v>
          </cell>
        </row>
        <row r="4">
          <cell r="H4" t="str">
            <v>807.4</v>
          </cell>
          <cell r="W4" t="str">
            <v>黑挡块</v>
          </cell>
        </row>
        <row r="5">
          <cell r="H5" t="str">
            <v>640.7,361.0,241.0</v>
          </cell>
          <cell r="W5" t="str">
            <v>黑挡块</v>
          </cell>
        </row>
        <row r="6">
          <cell r="H6">
            <v>656.1</v>
          </cell>
        </row>
        <row r="7">
          <cell r="H7">
            <v>486</v>
          </cell>
          <cell r="W7" t="str">
            <v>黑挡块</v>
          </cell>
        </row>
        <row r="8">
          <cell r="H8">
            <v>656.1</v>
          </cell>
          <cell r="W8" t="str">
            <v>黑挡块</v>
          </cell>
        </row>
        <row r="9">
          <cell r="H9">
            <v>500</v>
          </cell>
          <cell r="W9" t="str">
            <v>黑挡块</v>
          </cell>
        </row>
      </sheetData>
      <sheetData sheetId="6"/>
      <sheetData sheetId="7"/>
      <sheetData sheetId="8"/>
      <sheetData sheetId="9">
        <row r="2">
          <cell r="C2" t="str">
            <v>WlRange</v>
          </cell>
          <cell r="D2" t="str">
            <v>寻峰</v>
          </cell>
          <cell r="E2" t="str">
            <v>Validation.ViewModel.DataStructure.FindPeakAndAverageUVTestTool</v>
          </cell>
        </row>
        <row r="3">
          <cell r="D3" t="str">
            <v>求平均</v>
          </cell>
          <cell r="E3" t="str">
            <v>Validation.ViewModel.DataStructure.WlPointsAndAverageUVTestTool</v>
          </cell>
        </row>
        <row r="4">
          <cell r="D4" t="str">
            <v>多次测量</v>
          </cell>
          <cell r="E4" t="str">
            <v>Validation.ViewModel.DataStructure.WlPointsUVTestTool</v>
          </cell>
        </row>
        <row r="5">
          <cell r="D5" t="str">
            <v>最大最小值差</v>
          </cell>
          <cell r="E5" t="str">
            <v>Validation.ViewModel.DataStructure.FindMaxOffsetUVTestTool</v>
          </cell>
        </row>
        <row r="6">
          <cell r="D6" t="str">
            <v>求半峰宽</v>
          </cell>
          <cell r="E6" t="str">
            <v>Validation.ViewModel.DataStructure.FindHalfPeakUVTestTool</v>
          </cell>
        </row>
        <row r="7">
          <cell r="D7" t="str">
            <v>求最大偏移量</v>
          </cell>
          <cell r="E7" t="str">
            <v>Validation.ViewModel.DataStructure.GetMaxDIstanceUVTestTool</v>
          </cell>
        </row>
        <row r="8">
          <cell r="D8" t="str">
            <v>求漂移</v>
          </cell>
          <cell r="E8" t="str">
            <v>Validation.ViewModel.DataStructure.GetDriftUVTestTool</v>
          </cell>
        </row>
        <row r="10">
          <cell r="B10" t="str">
            <v>PhotoMode</v>
          </cell>
        </row>
        <row r="11">
          <cell r="B11" t="str">
            <v>ScanSpeed</v>
          </cell>
        </row>
        <row r="13">
          <cell r="B13" t="str">
            <v>Gain</v>
          </cell>
        </row>
        <row r="14">
          <cell r="B14" t="str">
            <v>Slit1</v>
          </cell>
        </row>
        <row r="15">
          <cell r="B15" t="str">
            <v>Wl</v>
          </cell>
        </row>
        <row r="16">
          <cell r="B16" t="str">
            <v>Dark</v>
          </cell>
        </row>
        <row r="17">
          <cell r="B17" t="str">
            <v>Zero</v>
          </cell>
          <cell r="C17" t="str">
            <v>BaseLine</v>
          </cell>
        </row>
        <row r="18">
          <cell r="B18" t="str">
            <v>Measure</v>
          </cell>
          <cell r="C18" t="str">
            <v>Scan</v>
          </cell>
        </row>
        <row r="19">
          <cell r="B19" t="str">
            <v>timeinterval</v>
          </cell>
        </row>
        <row r="20">
          <cell r="B20" t="str">
            <v>totalcount</v>
          </cell>
        </row>
        <row r="21">
          <cell r="B21" t="str">
            <v>LampPos</v>
          </cell>
        </row>
        <row r="22">
          <cell r="B22" t="str">
            <v>ResponseTime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gc="http://schemas.grapecity.com/office/spreadsheet/2018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O113"/>
  <sheetViews>
    <sheetView topLeftCell="A1" workbookViewId="0" zoomScale="70" showGridLines="0" zoomScaleNormal="70" zoomScalePageLayoutView="80">
      <pane topLeftCell="A1"/>
      <selection activeCellId="0" activeCell="R21" sqref="R21"/>
    </sheetView>
  </sheetViews>
  <sheetFormatPr defaultColWidth="9" defaultRowHeight="14.25" customHeight="1"/>
  <cols>
    <col min="1" max="1" width="5.38" customWidth="1" style="77"/>
    <col min="2" max="2" width="8.75" customWidth="1" style="77"/>
    <col min="3" max="3" width="8.13" customWidth="1" style="77"/>
    <col min="4" max="5" width="8.5" customWidth="1" style="77"/>
    <col min="6" max="6" width="3.38" customWidth="1" style="77"/>
    <col min="7" max="7" width="3.5" customWidth="1" style="77"/>
    <col min="8" max="8" width="7.13" customWidth="1" style="77"/>
    <col min="9" max="9" width="3.75" customWidth="1" style="77"/>
    <col min="10" max="10" width="6.75" customWidth="1" style="77"/>
    <col min="11" max="11" width="7.5" customWidth="1" style="77"/>
    <col min="12" max="12" width="6.88" customWidth="1" style="77"/>
    <col min="13" max="13" width="8.5" customWidth="1" style="77"/>
    <col min="14" max="14" width="4.75" customWidth="1" style="77"/>
    <col min="15" max="15" width="4.63" customWidth="1" style="125"/>
    <col min="16" max="16384" width="9" style="77"/>
  </cols>
  <sheetData>
    <row r="1" ht="20.25" customHeight="1">
      <c r="A1" s="392"/>
      <c s="409"/>
      <c s="412" t="s">
        <v>0</v>
      </c>
      <c s="338"/>
      <c s="338"/>
      <c s="338"/>
      <c s="338"/>
      <c s="338"/>
      <c s="338"/>
      <c s="338"/>
      <c s="351"/>
      <c s="377" t="s">
        <v>1</v>
      </c>
      <c s="335"/>
      <c s="190"/>
      <c s="341"/>
    </row>
    <row r="2" ht="20.25" customHeight="1">
      <c r="A2" s="159"/>
      <c s="311"/>
      <c s="319" t="s">
        <v>2</v>
      </c>
      <c s="415"/>
      <c s="415"/>
      <c s="415"/>
      <c s="415"/>
      <c s="415"/>
      <c s="415"/>
      <c s="415"/>
      <c s="320"/>
      <c s="377" t="s">
        <v>3</v>
      </c>
      <c s="335"/>
      <c s="190"/>
      <c s="341"/>
    </row>
    <row r="3" ht="20.25" customHeight="1">
      <c r="A3" s="134"/>
      <c s="312"/>
      <c s="127"/>
      <c s="416"/>
      <c s="416"/>
      <c s="416"/>
      <c s="416"/>
      <c s="416"/>
      <c s="416"/>
      <c s="416"/>
      <c s="316"/>
      <c s="131" t="s">
        <v>4</v>
      </c>
      <c s="318"/>
      <c s="156"/>
      <c s="321"/>
    </row>
    <row r="4" ht="18" customHeight="1">
      <c r="A4" s="279" t="s">
        <v>5</v>
      </c>
      <c s="280"/>
      <c s="281"/>
      <c s="303" t="s">
        <v>6</v>
      </c>
      <c s="271"/>
      <c s="271"/>
      <c s="304"/>
      <c s="161" t="s">
        <v>7</v>
      </c>
      <c s="135"/>
      <c s="135"/>
      <c s="142"/>
      <c s="279" t="s">
        <v>8</v>
      </c>
      <c s="281"/>
      <c s="279" t="s">
        <v>9</v>
      </c>
      <c s="281"/>
    </row>
    <row r="5" ht="18" customHeight="1">
      <c r="A5" s="279" t="str">
        <f>IFERROR(VLOOKUP(MID(D5,3,5),'对应信息'!A:B,2,0),"")</f>
        <v/>
      </c>
      <c s="280"/>
      <c s="281"/>
      <c s="162" t="s">
        <v>341</v>
      </c>
      <c s="195"/>
      <c s="195"/>
      <c s="164"/>
      <c s="309"/>
      <c s="140"/>
      <c s="140"/>
      <c s="160"/>
      <c s="279"/>
      <c s="281"/>
      <c s="279"/>
      <c s="281"/>
    </row>
    <row r="6" ht="18" customHeight="1">
      <c r="A6" s="305" t="s">
        <v>10</v>
      </c>
      <c s="306"/>
      <c s="305"/>
      <c s="306"/>
      <c s="307" t="s">
        <v>11</v>
      </c>
      <c s="273"/>
      <c s="308"/>
      <c s="137"/>
      <c s="136"/>
      <c s="136"/>
      <c s="272"/>
      <c s="305" t="s">
        <v>12</v>
      </c>
      <c s="306"/>
      <c s="305"/>
      <c s="306"/>
    </row>
    <row r="7" ht="18" customHeight="1">
      <c r="A7" s="303" t="s">
        <v>13</v>
      </c>
      <c s="304"/>
      <c s="301"/>
      <c s="302"/>
      <c s="301" t="s">
        <v>14</v>
      </c>
      <c s="138"/>
      <c s="302"/>
      <c s="301"/>
      <c s="138"/>
      <c s="302"/>
      <c s="141" t="s">
        <v>15</v>
      </c>
      <c s="139"/>
      <c s="270" t="s">
        <v>342</v>
      </c>
      <c s="183"/>
      <c s="165"/>
    </row>
    <row r="8" ht="18.75" customHeight="1">
      <c r="A8" s="310" t="s">
        <v>16</v>
      </c>
      <c s="298" t="s">
        <v>17</v>
      </c>
      <c s="299"/>
      <c s="300"/>
      <c s="298" t="s">
        <v>18</v>
      </c>
      <c s="299"/>
      <c s="299"/>
      <c s="299"/>
      <c s="299"/>
      <c s="299"/>
      <c s="299"/>
      <c s="299"/>
      <c s="299"/>
      <c s="299"/>
      <c s="300"/>
    </row>
    <row r="9" ht="18.75" customHeight="1">
      <c r="A9" s="14">
        <v>1</v>
      </c>
      <c s="289" t="s">
        <v>19</v>
      </c>
      <c s="283" t="s">
        <v>20</v>
      </c>
      <c s="286"/>
      <c s="279" t="s">
        <v>21</v>
      </c>
      <c s="280"/>
      <c s="281"/>
      <c s="279" t="s">
        <v>22</v>
      </c>
      <c s="280"/>
      <c s="280"/>
      <c s="280"/>
      <c s="280"/>
      <c s="280"/>
      <c s="280"/>
      <c s="281"/>
    </row>
    <row r="10" ht="18.75" customHeight="1">
      <c r="A10" s="290"/>
      <c s="290"/>
      <c s="284"/>
      <c s="287"/>
      <c s="279" t="s">
        <v>23</v>
      </c>
      <c s="280"/>
      <c s="281"/>
      <c s="279" t="s">
        <v>24</v>
      </c>
      <c s="280"/>
      <c s="281"/>
      <c s="295" t="s">
        <v>25</v>
      </c>
      <c s="297"/>
      <c s="279" t="s">
        <v>25</v>
      </c>
      <c s="280"/>
      <c s="281"/>
    </row>
    <row r="11" ht="18.75" customHeight="1">
      <c r="A11" s="290"/>
      <c s="290"/>
      <c s="284"/>
      <c s="287"/>
      <c s="279" t="s">
        <v>26</v>
      </c>
      <c s="280"/>
      <c s="281"/>
      <c s="295">
        <f>'波长拟合'!B4</f>
        <v>296.7</v>
      </c>
      <c s="296"/>
      <c s="297"/>
      <c s="295">
        <f>'波长拟合'!B2</f>
        <v>656.1</v>
      </c>
      <c s="297"/>
      <c s="295">
        <f>'波长拟合'!B3</f>
        <v>486</v>
      </c>
      <c s="296"/>
      <c s="297"/>
    </row>
    <row r="12" ht="18.75" customHeight="1">
      <c r="A12" s="290"/>
      <c s="290"/>
      <c s="284"/>
      <c s="287"/>
      <c s="283" t="s">
        <v>27</v>
      </c>
      <c s="292"/>
      <c s="286"/>
      <c s="169" t="str">
        <f>'波长拟合'!C4</f>
        <v>Es</v>
      </c>
      <c s="282"/>
      <c s="145"/>
      <c s="169" t="str">
        <f>'波长拟合'!C2</f>
        <v>Es</v>
      </c>
      <c s="145"/>
      <c s="169" t="str">
        <f>'波长拟合'!C3</f>
        <v>Es</v>
      </c>
      <c s="282"/>
      <c s="145"/>
    </row>
    <row r="13" ht="18.75" customHeight="1">
      <c r="A13" s="290"/>
      <c s="290"/>
      <c s="284"/>
      <c s="287"/>
      <c s="284"/>
      <c s="293"/>
      <c s="287"/>
      <c s="169" t="e">
        <f>'波长拟合'!#REF!</f>
        <v>#REF!</v>
      </c>
      <c s="282"/>
      <c s="145"/>
      <c s="169" t="e">
        <f>'波长拟合'!#REF!</f>
        <v>#REF!</v>
      </c>
      <c s="145"/>
      <c s="169" t="e">
        <f>'波长拟合'!#REF!</f>
        <v>#REF!</v>
      </c>
      <c s="282"/>
      <c s="145"/>
    </row>
    <row r="14" ht="18.75" customHeight="1">
      <c r="A14" s="290"/>
      <c s="290"/>
      <c s="284"/>
      <c s="287"/>
      <c s="285"/>
      <c s="294"/>
      <c s="288"/>
      <c s="169" t="e">
        <f>'波长拟合'!#REF!</f>
        <v>#REF!</v>
      </c>
      <c s="282"/>
      <c s="145"/>
      <c s="169" t="e">
        <f>'波长拟合'!#REF!</f>
        <v>#REF!</v>
      </c>
      <c s="145"/>
      <c s="169" t="e">
        <f>'波长拟合'!#REF!</f>
        <v>#REF!</v>
      </c>
      <c s="282"/>
      <c s="145"/>
    </row>
    <row r="15" ht="18.75" customHeight="1">
      <c r="A15" s="290"/>
      <c s="290"/>
      <c s="284"/>
      <c s="287"/>
      <c s="279" t="s">
        <v>28</v>
      </c>
      <c s="280"/>
      <c s="281"/>
      <c s="169" t="e">
        <f>'波长拟合'!#REF!</f>
        <v>#REF!</v>
      </c>
      <c s="282"/>
      <c s="145"/>
      <c s="169" t="e">
        <f>'波长拟合'!#REF!</f>
        <v>#REF!</v>
      </c>
      <c s="145"/>
      <c s="169" t="e">
        <f>'波长拟合'!#REF!</f>
        <v>#REF!</v>
      </c>
      <c s="282"/>
      <c s="145"/>
    </row>
    <row r="16" ht="18.75" customHeight="1">
      <c r="A16" s="290"/>
      <c s="290"/>
      <c s="284"/>
      <c s="287"/>
      <c s="279" t="s">
        <v>29</v>
      </c>
      <c s="280"/>
      <c s="281"/>
      <c s="169" t="e">
        <f>'波长拟合'!#REF!</f>
        <v>#REF!</v>
      </c>
      <c s="282"/>
      <c s="145"/>
      <c s="169" t="e">
        <f>'波长拟合'!#REF!</f>
        <v>#REF!</v>
      </c>
      <c s="145"/>
      <c s="169" t="e">
        <f>'波长拟合'!#REF!</f>
        <v>#REF!</v>
      </c>
      <c s="282"/>
      <c s="145"/>
    </row>
    <row r="17" ht="18.75" customHeight="1">
      <c r="A17" s="290"/>
      <c s="291"/>
      <c s="285"/>
      <c s="288"/>
      <c s="279" t="s">
        <v>30</v>
      </c>
      <c s="280"/>
      <c s="281"/>
      <c s="181" t="e">
        <f>'波长拟合'!#REF!</f>
        <v>#REF!</v>
      </c>
      <c s="175"/>
      <c s="171"/>
      <c s="169" t="e">
        <f>'波长拟合'!#REF!</f>
        <v>#REF!</v>
      </c>
      <c s="145"/>
      <c s="181" t="e">
        <f>'波长拟合'!#REF!</f>
        <v>#REF!</v>
      </c>
      <c s="175"/>
      <c s="171"/>
    </row>
    <row r="18" ht="18.75" customHeight="1">
      <c r="A18" s="290"/>
      <c s="289" t="s">
        <v>31</v>
      </c>
      <c s="283" t="s">
        <v>32</v>
      </c>
      <c s="286"/>
      <c s="279" t="s">
        <v>23</v>
      </c>
      <c s="280"/>
      <c s="281"/>
      <c s="279" t="s">
        <v>33</v>
      </c>
      <c s="280"/>
      <c s="280"/>
      <c s="280"/>
      <c s="280"/>
      <c s="280"/>
      <c s="280"/>
      <c s="281"/>
    </row>
    <row r="19" ht="18.75" customHeight="1">
      <c r="A19" s="290"/>
      <c s="290"/>
      <c s="284"/>
      <c s="287"/>
      <c s="283" t="s">
        <v>26</v>
      </c>
      <c s="292"/>
      <c s="286"/>
      <c s="398">
        <f>'波长拟合'!B5</f>
        <v>404.7</v>
      </c>
      <c s="400"/>
      <c s="153">
        <f>'波长拟合'!B6</f>
        <v>435.8</v>
      </c>
      <c s="153">
        <f>'波长拟合'!B7</f>
        <v>546.1</v>
      </c>
      <c s="153">
        <f>'波长拟合'!B8</f>
        <v>807.4</v>
      </c>
      <c s="153">
        <f>'波长拟合'!B9</f>
        <v>241</v>
      </c>
      <c s="398">
        <f>'波长拟合'!B10</f>
        <v>361</v>
      </c>
      <c s="400"/>
    </row>
    <row r="20" hidden="1" ht="19.5" customHeight="1">
      <c r="A20" s="290"/>
      <c s="290"/>
      <c s="284"/>
      <c s="287"/>
      <c s="285"/>
      <c s="294"/>
      <c s="288"/>
      <c s="399"/>
      <c s="401"/>
      <c s="201"/>
      <c s="201"/>
      <c s="201"/>
      <c s="201"/>
      <c s="399"/>
      <c s="401"/>
    </row>
    <row r="21" ht="18.75" customHeight="1">
      <c r="A21" s="290"/>
      <c s="290"/>
      <c s="284"/>
      <c s="287"/>
      <c s="283" t="s">
        <v>27</v>
      </c>
      <c s="292"/>
      <c s="286"/>
      <c s="380" t="str">
        <f>'波长拟合'!C5</f>
        <v>Es</v>
      </c>
      <c s="382"/>
      <c s="394" t="str">
        <f>'波长拟合'!C6</f>
        <v>Es</v>
      </c>
      <c s="394" t="str">
        <f>'波长拟合'!C7</f>
        <v>Es</v>
      </c>
      <c s="394" t="str">
        <f>'波长拟合'!C8</f>
        <v>Abs</v>
      </c>
      <c s="394" t="str">
        <f>'波长拟合'!C9</f>
        <v>Abs</v>
      </c>
      <c s="380" t="str">
        <f>'波长拟合'!C10</f>
        <v>Abs</v>
      </c>
      <c s="382"/>
    </row>
    <row r="22" hidden="1" ht="19.5" customHeight="1">
      <c r="A22" s="290"/>
      <c s="290"/>
      <c s="284"/>
      <c s="287"/>
      <c s="284"/>
      <c s="293"/>
      <c s="287"/>
      <c s="381"/>
      <c s="383"/>
      <c s="395"/>
      <c s="395"/>
      <c s="395"/>
      <c s="395"/>
      <c s="381"/>
      <c s="383"/>
    </row>
    <row r="23" ht="18.75" customHeight="1">
      <c r="A23" s="290"/>
      <c s="290"/>
      <c s="284"/>
      <c s="287"/>
      <c s="284"/>
      <c s="293"/>
      <c s="287"/>
      <c s="380" t="e">
        <f>'波长拟合'!#REF!</f>
        <v>#REF!</v>
      </c>
      <c s="382"/>
      <c s="394" t="e">
        <f>'波长拟合'!#REF!</f>
        <v>#REF!</v>
      </c>
      <c s="394" t="e">
        <f>'波长拟合'!#REF!</f>
        <v>#REF!</v>
      </c>
      <c s="394" t="e">
        <f>'波长拟合'!#REF!</f>
        <v>#REF!</v>
      </c>
      <c s="394" t="e">
        <f>'波长拟合'!#REF!</f>
        <v>#REF!</v>
      </c>
      <c s="380" t="e">
        <f>'波长拟合'!#REF!</f>
        <v>#REF!</v>
      </c>
      <c s="382"/>
    </row>
    <row r="24" hidden="1" ht="19.5" customHeight="1">
      <c r="A24" s="290"/>
      <c s="290"/>
      <c s="284"/>
      <c s="287"/>
      <c s="284"/>
      <c s="293"/>
      <c s="287"/>
      <c s="381"/>
      <c s="383"/>
      <c s="395"/>
      <c s="395"/>
      <c s="395"/>
      <c s="395"/>
      <c s="381"/>
      <c s="383"/>
    </row>
    <row r="25" ht="18.75" customHeight="1">
      <c r="A25" s="290"/>
      <c s="290"/>
      <c s="284"/>
      <c s="287"/>
      <c s="284"/>
      <c s="293"/>
      <c s="287"/>
      <c s="380" t="e">
        <f>'波长拟合'!#REF!</f>
        <v>#REF!</v>
      </c>
      <c s="382"/>
      <c s="394" t="e">
        <f>'波长拟合'!#REF!</f>
        <v>#REF!</v>
      </c>
      <c s="394" t="e">
        <f>'波长拟合'!#REF!</f>
        <v>#REF!</v>
      </c>
      <c s="394" t="e">
        <f>'波长拟合'!#REF!</f>
        <v>#REF!</v>
      </c>
      <c s="394" t="e">
        <f>'波长拟合'!#REF!</f>
        <v>#REF!</v>
      </c>
      <c s="380" t="e">
        <f>'波长拟合'!#REF!</f>
        <v>#REF!</v>
      </c>
      <c s="382"/>
    </row>
    <row r="26" hidden="1" ht="19.5" customHeight="1">
      <c r="A26" s="290"/>
      <c s="290"/>
      <c s="284"/>
      <c s="287"/>
      <c s="285"/>
      <c s="294"/>
      <c s="288"/>
      <c s="381"/>
      <c s="383"/>
      <c s="395"/>
      <c s="395"/>
      <c s="395"/>
      <c s="395"/>
      <c s="381"/>
      <c s="383"/>
    </row>
    <row r="27" ht="18.75" customHeight="1">
      <c r="A27" s="290"/>
      <c s="290"/>
      <c s="284"/>
      <c s="287"/>
      <c s="283" t="s">
        <v>28</v>
      </c>
      <c s="292"/>
      <c s="286"/>
      <c s="380" t="e">
        <f>'波长拟合'!#REF!</f>
        <v>#REF!</v>
      </c>
      <c s="382"/>
      <c s="394" t="e">
        <f>'波长拟合'!#REF!</f>
        <v>#REF!</v>
      </c>
      <c s="394" t="e">
        <f>'波长拟合'!#REF!</f>
        <v>#REF!</v>
      </c>
      <c s="394" t="e">
        <f>'波长拟合'!#REF!</f>
        <v>#REF!</v>
      </c>
      <c s="394" t="e">
        <f>'波长拟合'!#REF!</f>
        <v>#REF!</v>
      </c>
      <c s="380" t="e">
        <f>'波长拟合'!#REF!</f>
        <v>#REF!</v>
      </c>
      <c s="382"/>
    </row>
    <row r="28" hidden="1" ht="19.5" customHeight="1">
      <c r="A28" s="290"/>
      <c s="290"/>
      <c s="284"/>
      <c s="287"/>
      <c s="285"/>
      <c s="294"/>
      <c s="288"/>
      <c s="381"/>
      <c s="383"/>
      <c s="395"/>
      <c s="395"/>
      <c s="395"/>
      <c s="395"/>
      <c s="381"/>
      <c s="383"/>
    </row>
    <row r="29" ht="18.75" customHeight="1">
      <c r="A29" s="290"/>
      <c s="290"/>
      <c s="284"/>
      <c s="287"/>
      <c s="283" t="s">
        <v>29</v>
      </c>
      <c s="292"/>
      <c s="286"/>
      <c s="380" t="e">
        <f>'波长拟合'!#REF!</f>
        <v>#REF!</v>
      </c>
      <c s="382"/>
      <c s="394" t="e">
        <f>'波长拟合'!#REF!</f>
        <v>#REF!</v>
      </c>
      <c s="394" t="e">
        <f>'波长拟合'!#REF!</f>
        <v>#REF!</v>
      </c>
      <c s="394" t="e">
        <f>'波长拟合'!#REF!</f>
        <v>#REF!</v>
      </c>
      <c s="394" t="e">
        <f>'波长拟合'!#REF!</f>
        <v>#REF!</v>
      </c>
      <c s="380" t="e">
        <f>'波长拟合'!#REF!</f>
        <v>#REF!</v>
      </c>
      <c s="382"/>
    </row>
    <row r="30" hidden="1" ht="18" customHeight="1">
      <c r="A30" s="290"/>
      <c s="290"/>
      <c s="284"/>
      <c s="287"/>
      <c s="285"/>
      <c s="294"/>
      <c s="288"/>
      <c s="381"/>
      <c s="383"/>
      <c s="395"/>
      <c s="395"/>
      <c s="395"/>
      <c s="395"/>
      <c s="381"/>
      <c s="383"/>
    </row>
    <row r="31" ht="18.75" customHeight="1">
      <c r="A31" s="290"/>
      <c s="290"/>
      <c s="284"/>
      <c s="287"/>
      <c s="283" t="s">
        <v>30</v>
      </c>
      <c s="292"/>
      <c s="286"/>
      <c s="148" t="e">
        <f>'波长拟合'!#REF!</f>
        <v>#REF!</v>
      </c>
      <c s="402"/>
      <c s="396" t="e">
        <f>'波长拟合'!#REF!</f>
        <v>#REF!</v>
      </c>
      <c s="396" t="e">
        <f>'波长拟合'!#REF!</f>
        <v>#REF!</v>
      </c>
      <c s="396" t="e">
        <f>'波长拟合'!#REF!</f>
        <v>#REF!</v>
      </c>
      <c s="396" t="e">
        <f>'波长拟合'!#REF!</f>
        <v>#REF!</v>
      </c>
      <c s="148" t="e">
        <f>'波长拟合'!#REF!</f>
        <v>#REF!</v>
      </c>
      <c s="402"/>
    </row>
    <row r="32" hidden="1" ht="19.5" customHeight="1">
      <c r="A32" s="291"/>
      <c s="291"/>
      <c s="285"/>
      <c s="288"/>
      <c s="285"/>
      <c s="294"/>
      <c s="288"/>
      <c s="268"/>
      <c s="403"/>
      <c s="397"/>
      <c s="397"/>
      <c s="397"/>
      <c s="397"/>
      <c s="268"/>
      <c s="403"/>
    </row>
    <row r="33" ht="15" customHeight="1">
      <c r="A33" s="14">
        <v>2</v>
      </c>
      <c s="289" t="s">
        <v>34</v>
      </c>
      <c s="283" t="s">
        <v>35</v>
      </c>
      <c s="286"/>
      <c s="283" t="s">
        <v>23</v>
      </c>
      <c s="292"/>
      <c s="286"/>
      <c s="283" t="s">
        <v>36</v>
      </c>
      <c s="292"/>
      <c s="292"/>
      <c s="292"/>
      <c s="292"/>
      <c s="292"/>
      <c s="292"/>
      <c s="286"/>
    </row>
    <row r="34" ht="15" customHeight="1">
      <c r="A34" s="290"/>
      <c s="290"/>
      <c s="284"/>
      <c s="287"/>
      <c s="285"/>
      <c s="294"/>
      <c s="288"/>
      <c s="285"/>
      <c s="294"/>
      <c s="294"/>
      <c s="294"/>
      <c s="294"/>
      <c s="294"/>
      <c s="294"/>
      <c s="288"/>
    </row>
    <row r="35" ht="18.75" customHeight="1">
      <c r="A35" s="290"/>
      <c s="290"/>
      <c s="284"/>
      <c s="287"/>
      <c s="279" t="s">
        <v>37</v>
      </c>
      <c s="281"/>
      <c s="279" t="s">
        <v>38</v>
      </c>
      <c s="281"/>
      <c s="345" t="e">
        <f ref="I35:I56" t="shared" si="0">#REF!</f>
        <v>#REF!</v>
      </c>
      <c s="280"/>
      <c s="281"/>
      <c s="345" t="e">
        <f ref="L35:L56" t="shared" si="1">#REF!</f>
        <v>#REF!</v>
      </c>
      <c s="281"/>
      <c s="345" t="e">
        <f ref="N35:N56" t="shared" si="2">#REF!</f>
        <v>#REF!</v>
      </c>
      <c s="281"/>
    </row>
    <row r="36" ht="18.75" customHeight="1">
      <c r="A36" s="290"/>
      <c s="290"/>
      <c s="284"/>
      <c s="287"/>
      <c s="283" t="s">
        <v>39</v>
      </c>
      <c s="286"/>
      <c s="279" t="s">
        <v>40</v>
      </c>
      <c s="281"/>
      <c s="295" t="e">
        <f t="shared" si="0"/>
        <v>#REF!</v>
      </c>
      <c s="296"/>
      <c s="297"/>
      <c s="295" t="e">
        <f t="shared" si="1"/>
        <v>#REF!</v>
      </c>
      <c s="297"/>
      <c s="295" t="e">
        <f t="shared" si="2"/>
        <v>#REF!</v>
      </c>
      <c s="297"/>
    </row>
    <row r="37" ht="18.75" customHeight="1">
      <c r="A37" s="290"/>
      <c s="290"/>
      <c s="284"/>
      <c s="287"/>
      <c s="284"/>
      <c s="287"/>
      <c s="283" t="s">
        <v>41</v>
      </c>
      <c s="286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38" ht="18.75" customHeight="1">
      <c r="A38" s="290"/>
      <c s="290"/>
      <c s="284"/>
      <c s="287"/>
      <c s="284"/>
      <c s="287"/>
      <c s="284"/>
      <c s="287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39" ht="18.75" customHeight="1">
      <c r="A39" s="290"/>
      <c s="290"/>
      <c s="284"/>
      <c s="287"/>
      <c s="284"/>
      <c s="287"/>
      <c s="285"/>
      <c s="288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40" ht="18.75" customHeight="1">
      <c r="A40" s="290"/>
      <c s="290"/>
      <c s="284"/>
      <c s="287"/>
      <c s="284"/>
      <c s="287"/>
      <c s="279" t="s">
        <v>42</v>
      </c>
      <c s="281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41" ht="18.75" customHeight="1">
      <c r="A41" s="290"/>
      <c s="290"/>
      <c s="284"/>
      <c s="287"/>
      <c s="284"/>
      <c s="287"/>
      <c s="279" t="s">
        <v>43</v>
      </c>
      <c s="281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42" ht="18.75" customHeight="1">
      <c r="A42" s="290"/>
      <c s="290"/>
      <c s="284"/>
      <c s="287"/>
      <c s="285"/>
      <c s="288"/>
      <c s="279" t="s">
        <v>44</v>
      </c>
      <c s="281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43" ht="18.75" customHeight="1">
      <c r="A43" s="290"/>
      <c s="290"/>
      <c s="284"/>
      <c s="287"/>
      <c s="283" t="s">
        <v>45</v>
      </c>
      <c s="286"/>
      <c s="279" t="s">
        <v>40</v>
      </c>
      <c s="281"/>
      <c s="295" t="e">
        <f t="shared" si="0"/>
        <v>#REF!</v>
      </c>
      <c s="296"/>
      <c s="297"/>
      <c s="295" t="e">
        <f t="shared" si="1"/>
        <v>#REF!</v>
      </c>
      <c s="297"/>
      <c s="295" t="e">
        <f t="shared" si="2"/>
        <v>#REF!</v>
      </c>
      <c s="297"/>
    </row>
    <row r="44" ht="18.75" customHeight="1">
      <c r="A44" s="290"/>
      <c s="290"/>
      <c s="284"/>
      <c s="287"/>
      <c s="284"/>
      <c s="287"/>
      <c s="283" t="s">
        <v>41</v>
      </c>
      <c s="286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45" ht="18.75" customHeight="1">
      <c r="A45" s="290"/>
      <c s="290"/>
      <c s="284"/>
      <c s="287"/>
      <c s="284"/>
      <c s="287"/>
      <c s="284"/>
      <c s="287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46" ht="18.75" customHeight="1">
      <c r="A46" s="290"/>
      <c s="290"/>
      <c s="284"/>
      <c s="287"/>
      <c s="284"/>
      <c s="287"/>
      <c s="285"/>
      <c s="288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47" ht="18.75" customHeight="1">
      <c r="A47" s="290"/>
      <c s="290"/>
      <c s="284"/>
      <c s="287"/>
      <c s="284"/>
      <c s="287"/>
      <c s="279" t="s">
        <v>42</v>
      </c>
      <c s="281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48" ht="18.75" customHeight="1">
      <c r="A48" s="290"/>
      <c s="290"/>
      <c s="284"/>
      <c s="287"/>
      <c s="284"/>
      <c s="287"/>
      <c s="279" t="s">
        <v>43</v>
      </c>
      <c s="281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49" ht="18.75" customHeight="1">
      <c r="A49" s="291"/>
      <c s="291"/>
      <c s="285"/>
      <c s="288"/>
      <c s="285"/>
      <c s="288"/>
      <c s="279" t="s">
        <v>44</v>
      </c>
      <c s="281"/>
      <c s="295" t="e">
        <f t="shared" si="0"/>
        <v>#REF!</v>
      </c>
      <c s="296"/>
      <c s="297"/>
      <c s="169" t="e">
        <f t="shared" si="1"/>
        <v>#REF!</v>
      </c>
      <c s="145"/>
      <c s="295" t="e">
        <f t="shared" si="2"/>
        <v>#REF!</v>
      </c>
      <c s="297"/>
    </row>
    <row r="50" ht="19.5" customHeight="1">
      <c r="A50" s="14">
        <v>2</v>
      </c>
      <c s="289" t="s">
        <v>34</v>
      </c>
      <c s="283" t="s">
        <v>46</v>
      </c>
      <c s="286"/>
      <c s="283" t="s">
        <v>47</v>
      </c>
      <c s="286"/>
      <c s="279" t="s">
        <v>40</v>
      </c>
      <c s="281"/>
      <c s="295" t="e">
        <f t="shared" si="0"/>
        <v>#REF!</v>
      </c>
      <c s="296"/>
      <c s="297"/>
      <c s="295" t="e">
        <f t="shared" si="1"/>
        <v>#REF!</v>
      </c>
      <c s="297"/>
      <c s="295" t="e">
        <f t="shared" si="2"/>
        <v>#REF!</v>
      </c>
      <c s="297"/>
    </row>
    <row r="51" ht="19.5" customHeight="1">
      <c r="A51" s="290"/>
      <c s="290"/>
      <c s="284"/>
      <c s="287"/>
      <c s="284"/>
      <c s="287"/>
      <c s="283" t="s">
        <v>41</v>
      </c>
      <c s="286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52" ht="19.5" customHeight="1">
      <c r="A52" s="290"/>
      <c s="290"/>
      <c s="284"/>
      <c s="287"/>
      <c s="284"/>
      <c s="287"/>
      <c s="284"/>
      <c s="287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53" ht="19.5" customHeight="1">
      <c r="A53" s="290"/>
      <c s="290"/>
      <c s="284"/>
      <c s="287"/>
      <c s="284"/>
      <c s="287"/>
      <c s="285"/>
      <c s="288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54" ht="19.5" customHeight="1">
      <c r="A54" s="290"/>
      <c s="290"/>
      <c s="284"/>
      <c s="287"/>
      <c s="284"/>
      <c s="287"/>
      <c s="279" t="s">
        <v>42</v>
      </c>
      <c s="281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55" ht="19.5" customHeight="1">
      <c r="A55" s="290"/>
      <c s="290"/>
      <c s="284"/>
      <c s="287"/>
      <c s="284"/>
      <c s="287"/>
      <c s="279" t="s">
        <v>43</v>
      </c>
      <c s="281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56" ht="19.5" customHeight="1">
      <c r="A56" s="291"/>
      <c s="291"/>
      <c s="285"/>
      <c s="288"/>
      <c s="285"/>
      <c s="288"/>
      <c s="279" t="s">
        <v>44</v>
      </c>
      <c s="281"/>
      <c s="169" t="e">
        <f t="shared" si="0"/>
        <v>#REF!</v>
      </c>
      <c s="282"/>
      <c s="145"/>
      <c s="169" t="e">
        <f t="shared" si="1"/>
        <v>#REF!</v>
      </c>
      <c s="145"/>
      <c s="169" t="e">
        <f t="shared" si="2"/>
        <v>#REF!</v>
      </c>
      <c s="145"/>
    </row>
    <row r="57" ht="19.5" customHeight="1">
      <c r="A57" s="14">
        <v>3</v>
      </c>
      <c s="289" t="s">
        <v>48</v>
      </c>
      <c s="283" t="s">
        <v>35</v>
      </c>
      <c s="286"/>
      <c s="279" t="s">
        <v>23</v>
      </c>
      <c s="280"/>
      <c s="281"/>
      <c s="279" t="s">
        <v>49</v>
      </c>
      <c s="280"/>
      <c s="280"/>
      <c s="280"/>
      <c s="280"/>
      <c s="280"/>
      <c s="280"/>
      <c s="281"/>
    </row>
    <row r="58" ht="19.5" customHeight="1">
      <c r="A58" s="290"/>
      <c s="290"/>
      <c s="284"/>
      <c s="287"/>
      <c s="283" t="s">
        <v>50</v>
      </c>
      <c s="292"/>
      <c s="286"/>
      <c s="345" t="e">
        <f ref="H58:H65" t="shared" si="3">#REF!</f>
        <v>#REF!</v>
      </c>
      <c s="281"/>
      <c s="345" t="e">
        <f ref="J58:J65" t="shared" si="4">#REF!</f>
        <v>#REF!</v>
      </c>
      <c s="281"/>
      <c s="405" t="e">
        <f ref="L58:L65" t="shared" si="5">#REF!</f>
        <v>#REF!</v>
      </c>
      <c s="393"/>
      <c s="405" t="e">
        <f ref="N58:N65" t="shared" si="6">#REF!</f>
        <v>#REF!</v>
      </c>
      <c s="393"/>
    </row>
    <row r="59" ht="19.5" customHeight="1">
      <c r="A59" s="290"/>
      <c s="290"/>
      <c s="284"/>
      <c s="287"/>
      <c s="285"/>
      <c s="294"/>
      <c s="288"/>
      <c s="295" t="e">
        <f t="shared" si="3"/>
        <v>#REF!</v>
      </c>
      <c s="297"/>
      <c s="295" t="e">
        <f t="shared" si="4"/>
        <v>#REF!</v>
      </c>
      <c s="297"/>
      <c s="174" t="e">
        <f t="shared" si="5"/>
        <v>#REF!</v>
      </c>
      <c s="206"/>
      <c s="174" t="e">
        <f t="shared" si="6"/>
        <v>#REF!</v>
      </c>
      <c s="206"/>
    </row>
    <row r="60" ht="19.5" customHeight="1">
      <c r="A60" s="290"/>
      <c s="290"/>
      <c s="284"/>
      <c s="287"/>
      <c s="283" t="s">
        <v>51</v>
      </c>
      <c s="292"/>
      <c s="286"/>
      <c s="169" t="e">
        <f t="shared" si="3"/>
        <v>#REF!</v>
      </c>
      <c s="145"/>
      <c s="169" t="e">
        <f t="shared" si="4"/>
        <v>#REF!</v>
      </c>
      <c s="145"/>
      <c s="207" t="e">
        <f t="shared" si="5"/>
        <v>#REF!</v>
      </c>
      <c s="276"/>
      <c s="207" t="e">
        <f t="shared" si="6"/>
        <v>#REF!</v>
      </c>
      <c s="276"/>
    </row>
    <row r="61" ht="19.5" customHeight="1">
      <c r="A61" s="290"/>
      <c s="290"/>
      <c s="284"/>
      <c s="287"/>
      <c s="284"/>
      <c s="293"/>
      <c s="287"/>
      <c s="169" t="e">
        <f t="shared" si="3"/>
        <v>#REF!</v>
      </c>
      <c s="145"/>
      <c s="169" t="e">
        <f t="shared" si="4"/>
        <v>#REF!</v>
      </c>
      <c s="145"/>
      <c s="207" t="e">
        <f t="shared" si="5"/>
        <v>#REF!</v>
      </c>
      <c s="276"/>
      <c s="207" t="e">
        <f t="shared" si="6"/>
        <v>#REF!</v>
      </c>
      <c s="276"/>
    </row>
    <row r="62" ht="19.5" customHeight="1">
      <c r="A62" s="290"/>
      <c s="290"/>
      <c s="284"/>
      <c s="287"/>
      <c s="285"/>
      <c s="294"/>
      <c s="288"/>
      <c s="169" t="e">
        <f t="shared" si="3"/>
        <v>#REF!</v>
      </c>
      <c s="145"/>
      <c s="169" t="e">
        <f t="shared" si="4"/>
        <v>#REF!</v>
      </c>
      <c s="145"/>
      <c s="207" t="e">
        <f t="shared" si="5"/>
        <v>#REF!</v>
      </c>
      <c s="276"/>
      <c s="207" t="e">
        <f t="shared" si="6"/>
        <v>#REF!</v>
      </c>
      <c s="276"/>
    </row>
    <row r="63" ht="19.5" customHeight="1">
      <c r="A63" s="290"/>
      <c s="290"/>
      <c s="284"/>
      <c s="287"/>
      <c s="279" t="s">
        <v>42</v>
      </c>
      <c s="280"/>
      <c s="281"/>
      <c s="169" t="e">
        <f t="shared" si="3"/>
        <v>#REF!</v>
      </c>
      <c s="145"/>
      <c s="169" t="e">
        <f t="shared" si="4"/>
        <v>#REF!</v>
      </c>
      <c s="145"/>
      <c s="169" t="e">
        <f t="shared" si="5"/>
        <v>#REF!</v>
      </c>
      <c s="145"/>
      <c s="169" t="e">
        <f t="shared" si="6"/>
        <v>#REF!</v>
      </c>
      <c s="145"/>
    </row>
    <row r="64" ht="19.5" customHeight="1">
      <c r="A64" s="290"/>
      <c s="290"/>
      <c s="284"/>
      <c s="287"/>
      <c s="279" t="s">
        <v>43</v>
      </c>
      <c s="280"/>
      <c s="281"/>
      <c s="169" t="e">
        <f t="shared" si="3"/>
        <v>#REF!</v>
      </c>
      <c s="145"/>
      <c s="169" t="e">
        <f t="shared" si="4"/>
        <v>#REF!</v>
      </c>
      <c s="145"/>
      <c s="169" t="e">
        <f t="shared" si="5"/>
        <v>#REF!</v>
      </c>
      <c s="145"/>
      <c s="169" t="e">
        <f t="shared" si="6"/>
        <v>#REF!</v>
      </c>
      <c s="145"/>
    </row>
    <row r="65" ht="19.5" customHeight="1">
      <c r="A65" s="291"/>
      <c s="291"/>
      <c s="285"/>
      <c s="288"/>
      <c s="279" t="s">
        <v>44</v>
      </c>
      <c s="280"/>
      <c s="281"/>
      <c s="295" t="e">
        <f t="shared" si="3"/>
        <v>#REF!</v>
      </c>
      <c s="297"/>
      <c s="295" t="e">
        <f t="shared" si="4"/>
        <v>#REF!</v>
      </c>
      <c s="297"/>
      <c s="295" t="e">
        <f t="shared" si="5"/>
        <v>#REF!</v>
      </c>
      <c s="297"/>
      <c s="295" t="e">
        <f t="shared" si="6"/>
        <v>#REF!</v>
      </c>
      <c s="297"/>
    </row>
    <row r="66" ht="18.75" customHeight="1">
      <c r="A66" s="14">
        <v>4</v>
      </c>
      <c s="313" t="s">
        <v>52</v>
      </c>
      <c s="283"/>
      <c s="286"/>
      <c s="173" t="s">
        <v>53</v>
      </c>
      <c s="417"/>
      <c s="426"/>
      <c s="173"/>
      <c s="426"/>
      <c s="14">
        <v>1</v>
      </c>
      <c s="14">
        <v>2</v>
      </c>
      <c s="14">
        <v>3</v>
      </c>
      <c s="364" t="s">
        <v>18</v>
      </c>
      <c s="196"/>
      <c s="366"/>
    </row>
    <row r="67" hidden="1" ht="30" customHeight="1">
      <c r="A67" s="290"/>
      <c s="408"/>
      <c s="285"/>
      <c s="288"/>
      <c s="172"/>
      <c s="418"/>
      <c s="427"/>
      <c s="172"/>
      <c s="427"/>
      <c s="291"/>
      <c s="291"/>
      <c s="291"/>
      <c s="365"/>
      <c s="391"/>
      <c s="367"/>
    </row>
    <row r="68" ht="18.75" customHeight="1">
      <c r="A68" s="290"/>
      <c s="408"/>
      <c s="126" t="s">
        <v>54</v>
      </c>
      <c s="289" t="s">
        <v>55</v>
      </c>
      <c s="173" t="s">
        <v>56</v>
      </c>
      <c s="417"/>
      <c s="426"/>
      <c s="283" t="s">
        <v>57</v>
      </c>
      <c s="286"/>
      <c s="315" t="e">
        <f>#REF!</f>
        <v>#REF!</v>
      </c>
      <c s="170" t="e">
        <f>#REF!</f>
        <v>#REF!</v>
      </c>
      <c s="315" t="e">
        <f>#REF!</f>
        <v>#REF!</v>
      </c>
      <c s="406" t="e">
        <f>#REF!</f>
        <v>#REF!</v>
      </c>
      <c s="196"/>
      <c s="366"/>
    </row>
    <row r="69" hidden="1" ht="30" customHeight="1">
      <c r="A69" s="290"/>
      <c s="408"/>
      <c s="413"/>
      <c s="291"/>
      <c s="172"/>
      <c s="418"/>
      <c s="427"/>
      <c s="284"/>
      <c s="287"/>
      <c s="314"/>
      <c s="277"/>
      <c s="314"/>
      <c s="365"/>
      <c s="391"/>
      <c s="367"/>
    </row>
    <row r="70" ht="30" customHeight="1">
      <c r="A70" s="290"/>
      <c s="408"/>
      <c s="126" t="s">
        <v>58</v>
      </c>
      <c s="289" t="s">
        <v>59</v>
      </c>
      <c s="173" t="s">
        <v>60</v>
      </c>
      <c s="417"/>
      <c s="426"/>
      <c s="284"/>
      <c s="287"/>
      <c s="315" t="e">
        <f>#REF!</f>
        <v>#REF!</v>
      </c>
      <c s="170" t="e">
        <f>#REF!</f>
        <v>#REF!</v>
      </c>
      <c s="315" t="e">
        <f>#REF!</f>
        <v>#REF!</v>
      </c>
      <c s="406" t="e">
        <f>#REF!</f>
        <v>#REF!</v>
      </c>
      <c s="196"/>
      <c s="366"/>
    </row>
    <row r="71" hidden="1" ht="30" customHeight="1">
      <c r="A71" s="291"/>
      <c s="407"/>
      <c s="413"/>
      <c s="291"/>
      <c s="172"/>
      <c s="418"/>
      <c s="427"/>
      <c s="285"/>
      <c s="288"/>
      <c s="314"/>
      <c s="277"/>
      <c s="314"/>
      <c s="365"/>
      <c s="391"/>
      <c s="367"/>
    </row>
    <row r="72" ht="30" customHeight="1">
      <c r="A72" s="14">
        <v>5</v>
      </c>
      <c s="313" t="s">
        <v>61</v>
      </c>
      <c s="283" t="s">
        <v>62</v>
      </c>
      <c s="292"/>
      <c s="292"/>
      <c s="292"/>
      <c s="286"/>
      <c s="283" t="s">
        <v>63</v>
      </c>
      <c s="292"/>
      <c s="292"/>
      <c s="292"/>
      <c s="286"/>
      <c s="157">
        <f>'样品池重复性'!B2</f>
      </c>
      <c s="129"/>
      <c s="128"/>
    </row>
    <row r="73" hidden="1" ht="30" customHeight="1">
      <c r="A73" s="291"/>
      <c s="407"/>
      <c s="285"/>
      <c s="294"/>
      <c s="294"/>
      <c s="294"/>
      <c s="288"/>
      <c s="285"/>
      <c s="294"/>
      <c s="294"/>
      <c s="294"/>
      <c s="288"/>
      <c s="386"/>
      <c s="387"/>
      <c s="389"/>
    </row>
    <row r="74" ht="30" customHeight="1">
      <c r="A74" s="143">
        <v>6</v>
      </c>
      <c s="313" t="s">
        <v>64</v>
      </c>
      <c s="283" t="s">
        <v>65</v>
      </c>
      <c s="292"/>
      <c s="292"/>
      <c s="292"/>
      <c s="286"/>
      <c s="283" t="s">
        <v>51</v>
      </c>
      <c s="292"/>
      <c s="292"/>
      <c s="292"/>
      <c s="286"/>
      <c s="278" t="str">
        <f>'能量扫描'!B3</f>
        <v>656.1</v>
      </c>
      <c s="388"/>
      <c s="390"/>
    </row>
    <row r="75" hidden="1" ht="30" customHeight="1">
      <c r="A75" s="407"/>
      <c s="407"/>
      <c s="285"/>
      <c s="294"/>
      <c s="294"/>
      <c s="294"/>
      <c s="288"/>
      <c s="285"/>
      <c s="294"/>
      <c s="294"/>
      <c s="294"/>
      <c s="288"/>
      <c s="334"/>
      <c s="155"/>
      <c s="340"/>
    </row>
    <row r="76" ht="30" customHeight="1">
      <c r="A76" s="143">
        <v>7</v>
      </c>
      <c s="313" t="s">
        <v>66</v>
      </c>
      <c s="283" t="s">
        <v>67</v>
      </c>
      <c s="286"/>
      <c s="208" t="s">
        <v>68</v>
      </c>
      <c s="419"/>
      <c s="411"/>
      <c s="331" t="s">
        <v>69</v>
      </c>
      <c s="332"/>
      <c s="332"/>
      <c s="332"/>
      <c s="182"/>
      <c s="176"/>
      <c s="154"/>
      <c s="339"/>
    </row>
    <row r="77" ht="20.25" customHeight="1">
      <c r="A77" s="408"/>
      <c s="408"/>
      <c s="284"/>
      <c s="287"/>
      <c s="208" t="s">
        <v>70</v>
      </c>
      <c s="419"/>
      <c s="411"/>
      <c s="194" t="e">
        <f ref="H77:H79" t="shared" si="7">#REF!</f>
        <v>#REF!</v>
      </c>
      <c s="203"/>
      <c s="203"/>
      <c s="203"/>
      <c s="177"/>
      <c s="198"/>
      <c s="189"/>
      <c s="370"/>
    </row>
    <row r="78" ht="20.25" customHeight="1">
      <c r="A78" s="407"/>
      <c s="407"/>
      <c s="285"/>
      <c s="288"/>
      <c s="279" t="s">
        <v>71</v>
      </c>
      <c s="280"/>
      <c s="281"/>
      <c s="199" t="e">
        <f t="shared" si="7"/>
        <v>#REF!</v>
      </c>
      <c s="430"/>
      <c s="430"/>
      <c s="430"/>
      <c s="185"/>
      <c s="191"/>
      <c s="368"/>
      <c s="371"/>
    </row>
    <row r="79" ht="30" customHeight="1">
      <c r="A79" s="143">
        <v>8</v>
      </c>
      <c s="313" t="s">
        <v>72</v>
      </c>
      <c s="374">
        <v>1</v>
      </c>
      <c s="289" t="s">
        <v>73</v>
      </c>
      <c s="173" t="s">
        <v>51</v>
      </c>
      <c s="417"/>
      <c s="426"/>
      <c s="205" t="e">
        <f t="shared" si="7"/>
        <v>#REF!</v>
      </c>
      <c s="352"/>
      <c s="163">
        <v>0</v>
      </c>
      <c s="283" t="s">
        <v>74</v>
      </c>
      <c s="286"/>
      <c s="289" t="s">
        <v>57</v>
      </c>
      <c s="346" t="e">
        <f>#REF!</f>
        <v>#REF!</v>
      </c>
      <c s="348"/>
    </row>
    <row r="80" hidden="1" ht="30" customHeight="1">
      <c r="A80" s="408"/>
      <c s="407"/>
      <c s="375"/>
      <c s="291"/>
      <c s="172"/>
      <c s="418"/>
      <c s="427"/>
      <c s="144"/>
      <c s="353"/>
      <c s="333"/>
      <c s="285"/>
      <c s="288"/>
      <c s="291"/>
      <c s="347"/>
      <c s="349"/>
    </row>
    <row r="81" ht="30" customHeight="1">
      <c r="A81" s="408"/>
      <c s="313" t="s">
        <v>75</v>
      </c>
      <c s="374">
        <v>1</v>
      </c>
      <c s="289" t="s">
        <v>73</v>
      </c>
      <c s="173" t="s">
        <v>51</v>
      </c>
      <c s="417"/>
      <c s="426"/>
      <c s="205" t="e">
        <f>#REF!</f>
        <v>#REF!</v>
      </c>
      <c s="352"/>
      <c s="163">
        <v>0</v>
      </c>
      <c s="283" t="s">
        <v>74</v>
      </c>
      <c s="286"/>
      <c s="289" t="s">
        <v>57</v>
      </c>
      <c s="346" t="e">
        <f>#REF!</f>
        <v>#REF!</v>
      </c>
      <c s="348"/>
    </row>
    <row r="82" hidden="1" ht="30" customHeight="1">
      <c r="A82" s="408"/>
      <c s="407"/>
      <c s="375"/>
      <c s="291"/>
      <c s="172"/>
      <c s="418"/>
      <c s="427"/>
      <c s="144"/>
      <c s="353"/>
      <c s="333"/>
      <c s="285"/>
      <c s="288"/>
      <c s="291"/>
      <c s="347"/>
      <c s="349"/>
    </row>
    <row r="83" ht="45" customHeight="1">
      <c r="A83" s="408"/>
      <c s="313" t="s">
        <v>76</v>
      </c>
      <c s="374">
        <v>1</v>
      </c>
      <c s="289" t="s">
        <v>77</v>
      </c>
      <c s="173" t="s">
        <v>51</v>
      </c>
      <c s="417"/>
      <c s="426"/>
      <c s="380" t="e">
        <f>#REF!</f>
        <v>#REF!</v>
      </c>
      <c s="382"/>
      <c s="163">
        <v>0</v>
      </c>
      <c s="283" t="s">
        <v>59</v>
      </c>
      <c s="286"/>
      <c s="289" t="s">
        <v>57</v>
      </c>
      <c s="346" t="e">
        <f>#REF!</f>
        <v>#REF!</v>
      </c>
      <c s="348"/>
    </row>
    <row r="84" hidden="1" ht="45" customHeight="1">
      <c r="A84" s="408"/>
      <c s="407"/>
      <c s="375"/>
      <c s="291"/>
      <c s="172"/>
      <c s="418"/>
      <c s="427"/>
      <c s="381"/>
      <c s="383"/>
      <c s="333"/>
      <c s="285"/>
      <c s="288"/>
      <c s="291"/>
      <c s="347"/>
      <c s="349"/>
    </row>
    <row r="85" ht="30" customHeight="1">
      <c r="A85" s="408"/>
      <c s="313" t="s">
        <v>78</v>
      </c>
      <c s="374">
        <v>1</v>
      </c>
      <c s="289" t="s">
        <v>77</v>
      </c>
      <c s="173" t="s">
        <v>51</v>
      </c>
      <c s="417"/>
      <c s="426"/>
      <c s="380" t="e">
        <f>#REF!</f>
        <v>#REF!</v>
      </c>
      <c s="382"/>
      <c s="163">
        <v>0</v>
      </c>
      <c s="283" t="s">
        <v>59</v>
      </c>
      <c s="286"/>
      <c s="289" t="s">
        <v>57</v>
      </c>
      <c s="346" t="e">
        <f>#REF!</f>
        <v>#REF!</v>
      </c>
      <c s="348"/>
    </row>
    <row r="86" hidden="1" ht="30" customHeight="1">
      <c r="A86" s="407"/>
      <c s="407"/>
      <c s="375"/>
      <c s="291"/>
      <c s="172"/>
      <c s="418"/>
      <c s="427"/>
      <c s="381"/>
      <c s="383"/>
      <c s="333"/>
      <c s="285"/>
      <c s="288"/>
      <c s="291"/>
      <c s="347"/>
      <c s="349"/>
    </row>
    <row r="87" ht="24.75" customHeight="1">
      <c r="A87" s="143">
        <v>9</v>
      </c>
      <c s="313" t="s">
        <v>79</v>
      </c>
      <c s="173" t="s">
        <v>80</v>
      </c>
      <c s="417"/>
      <c s="417"/>
      <c s="417"/>
      <c s="426"/>
      <c s="200" t="s">
        <v>51</v>
      </c>
      <c s="431"/>
      <c s="431"/>
      <c s="431"/>
      <c s="202"/>
      <c s="278" t="e">
        <f>#REF!</f>
        <v>#REF!</v>
      </c>
      <c s="388"/>
      <c s="390"/>
    </row>
    <row r="88" hidden="1" ht="24.75" customHeight="1">
      <c r="A88" s="407"/>
      <c s="407"/>
      <c s="172"/>
      <c s="418"/>
      <c s="418"/>
      <c s="418"/>
      <c s="427"/>
      <c s="184"/>
      <c s="432"/>
      <c s="432"/>
      <c s="432"/>
      <c s="378"/>
      <c s="334"/>
      <c s="155"/>
      <c s="340"/>
    </row>
    <row r="89" ht="21.75" customHeight="1">
      <c r="A89" s="143">
        <v>10</v>
      </c>
      <c s="313" t="s">
        <v>81</v>
      </c>
      <c s="313" t="s">
        <v>82</v>
      </c>
      <c s="283" t="s">
        <v>53</v>
      </c>
      <c s="286"/>
      <c s="173" t="s">
        <v>83</v>
      </c>
      <c s="417"/>
      <c s="417"/>
      <c s="417"/>
      <c s="417"/>
      <c s="426"/>
      <c s="289" t="s">
        <v>84</v>
      </c>
      <c s="289" t="s">
        <v>85</v>
      </c>
      <c s="364" t="s">
        <v>86</v>
      </c>
      <c s="366"/>
    </row>
    <row r="90" hidden="1" ht="21.75" customHeight="1">
      <c r="A90" s="408"/>
      <c s="408"/>
      <c s="408"/>
      <c s="285"/>
      <c s="288"/>
      <c s="172"/>
      <c s="418"/>
      <c s="418"/>
      <c s="418"/>
      <c s="418"/>
      <c s="427"/>
      <c s="291"/>
      <c s="291"/>
      <c s="365"/>
      <c s="367"/>
    </row>
    <row r="91" ht="21.75" customHeight="1">
      <c r="A91" s="408"/>
      <c s="408"/>
      <c s="408"/>
      <c s="283" t="s">
        <v>87</v>
      </c>
      <c s="286"/>
      <c s="173" t="s">
        <v>88</v>
      </c>
      <c s="417"/>
      <c s="417"/>
      <c s="417"/>
      <c s="417"/>
      <c s="426"/>
      <c s="313"/>
      <c s="313"/>
      <c s="173"/>
      <c s="426"/>
    </row>
    <row r="92" hidden="1" ht="21.75" customHeight="1">
      <c r="A92" s="408"/>
      <c s="408"/>
      <c s="408"/>
      <c s="284"/>
      <c s="287"/>
      <c s="172"/>
      <c s="418"/>
      <c s="418"/>
      <c s="418"/>
      <c s="418"/>
      <c s="427"/>
      <c s="407"/>
      <c s="407"/>
      <c s="172"/>
      <c s="427"/>
    </row>
    <row r="93" ht="21.75" customHeight="1">
      <c r="A93" s="408"/>
      <c s="408"/>
      <c s="408"/>
      <c s="284"/>
      <c s="287"/>
      <c s="173" t="s">
        <v>89</v>
      </c>
      <c s="417"/>
      <c s="417"/>
      <c s="417"/>
      <c s="417"/>
      <c s="426"/>
      <c s="384"/>
      <c s="384"/>
      <c s="360"/>
      <c s="362"/>
    </row>
    <row r="94" hidden="1" ht="21.75" customHeight="1">
      <c r="A94" s="408"/>
      <c s="408"/>
      <c s="408"/>
      <c s="284"/>
      <c s="287"/>
      <c s="172"/>
      <c s="418"/>
      <c s="418"/>
      <c s="418"/>
      <c s="418"/>
      <c s="427"/>
      <c s="385"/>
      <c s="385"/>
      <c s="361"/>
      <c s="363"/>
    </row>
    <row r="95" ht="21.75" customHeight="1">
      <c r="A95" s="408"/>
      <c s="408"/>
      <c s="408"/>
      <c s="284"/>
      <c s="287"/>
      <c s="173" t="s">
        <v>90</v>
      </c>
      <c s="417"/>
      <c s="417"/>
      <c s="417"/>
      <c s="417"/>
      <c s="426"/>
      <c s="313"/>
      <c s="313"/>
      <c s="173"/>
      <c s="426"/>
    </row>
    <row r="96" hidden="1" ht="21.75" customHeight="1">
      <c r="A96" s="408"/>
      <c s="408"/>
      <c s="408"/>
      <c s="284"/>
      <c s="287"/>
      <c s="172"/>
      <c s="418"/>
      <c s="418"/>
      <c s="418"/>
      <c s="418"/>
      <c s="427"/>
      <c s="407"/>
      <c s="407"/>
      <c s="172"/>
      <c s="427"/>
    </row>
    <row r="97" ht="21.75" customHeight="1">
      <c r="A97" s="408"/>
      <c s="408"/>
      <c s="408"/>
      <c s="284"/>
      <c s="287"/>
      <c s="173" t="s">
        <v>91</v>
      </c>
      <c s="417"/>
      <c s="417"/>
      <c s="417"/>
      <c s="417"/>
      <c s="426"/>
      <c s="313"/>
      <c s="313"/>
      <c s="173"/>
      <c s="426"/>
    </row>
    <row r="98" hidden="1" ht="21.75" customHeight="1">
      <c r="A98" s="407"/>
      <c s="407"/>
      <c s="407"/>
      <c s="285"/>
      <c s="288"/>
      <c s="172"/>
      <c s="418"/>
      <c s="418"/>
      <c s="418"/>
      <c s="418"/>
      <c s="427"/>
      <c s="407"/>
      <c s="407"/>
      <c s="172"/>
      <c s="427"/>
    </row>
    <row r="99" ht="30" customHeight="1">
      <c r="A99" s="143">
        <v>11</v>
      </c>
      <c s="313" t="s">
        <v>92</v>
      </c>
      <c s="173" t="s">
        <v>93</v>
      </c>
      <c s="417"/>
      <c s="426"/>
      <c s="173" t="s">
        <v>94</v>
      </c>
      <c s="417"/>
      <c s="417"/>
      <c s="417"/>
      <c s="417"/>
      <c s="426"/>
      <c s="173" t="s">
        <v>95</v>
      </c>
      <c s="417"/>
      <c s="417"/>
      <c s="426"/>
    </row>
    <row r="100" hidden="1" ht="30" customHeight="1">
      <c r="A100" s="407"/>
      <c s="407"/>
      <c s="172"/>
      <c s="418"/>
      <c s="427"/>
      <c s="172"/>
      <c s="418"/>
      <c s="418"/>
      <c s="418"/>
      <c s="418"/>
      <c s="427"/>
      <c s="172"/>
      <c s="418"/>
      <c s="418"/>
      <c s="427"/>
    </row>
    <row r="101" ht="30" customHeight="1">
      <c r="A101" s="143">
        <v>12</v>
      </c>
      <c s="313" t="s">
        <v>96</v>
      </c>
      <c s="208" t="s">
        <v>97</v>
      </c>
      <c s="419"/>
      <c s="411"/>
      <c s="173" t="s">
        <v>98</v>
      </c>
      <c s="417"/>
      <c s="417"/>
      <c s="417"/>
      <c s="417"/>
      <c s="426"/>
      <c s="208" t="s">
        <v>99</v>
      </c>
      <c s="411"/>
      <c s="208"/>
      <c s="411"/>
    </row>
    <row r="102" ht="30" customHeight="1">
      <c r="A102" s="407"/>
      <c s="407"/>
      <c s="208" t="s">
        <v>100</v>
      </c>
      <c s="419"/>
      <c s="411"/>
      <c s="172"/>
      <c s="418"/>
      <c s="418"/>
      <c s="418"/>
      <c s="418"/>
      <c s="427"/>
      <c s="208" t="s">
        <v>99</v>
      </c>
      <c s="411"/>
      <c s="208"/>
      <c s="411"/>
    </row>
    <row r="103" ht="30" customHeight="1">
      <c r="A103" s="143">
        <v>13</v>
      </c>
      <c s="313" t="s">
        <v>101</v>
      </c>
      <c s="173" t="s">
        <v>102</v>
      </c>
      <c s="417"/>
      <c s="426"/>
      <c s="173" t="s">
        <v>103</v>
      </c>
      <c s="417"/>
      <c s="417"/>
      <c s="417"/>
      <c s="417"/>
      <c s="426"/>
      <c s="173" t="s">
        <v>104</v>
      </c>
      <c s="426"/>
      <c s="173"/>
      <c s="426"/>
    </row>
    <row r="104" hidden="1" ht="30" customHeight="1">
      <c r="A104" s="407"/>
      <c s="407"/>
      <c s="172"/>
      <c s="418"/>
      <c s="427"/>
      <c s="172"/>
      <c s="418"/>
      <c s="418"/>
      <c s="418"/>
      <c s="418"/>
      <c s="427"/>
      <c s="172"/>
      <c s="427"/>
      <c s="172"/>
      <c s="427"/>
    </row>
    <row r="105" ht="30" customHeight="1">
      <c r="A105" s="143">
        <v>14</v>
      </c>
      <c s="313" t="s">
        <v>105</v>
      </c>
      <c s="173" t="s">
        <v>106</v>
      </c>
      <c s="417"/>
      <c s="426"/>
      <c s="173" t="s">
        <v>107</v>
      </c>
      <c s="417"/>
      <c s="417"/>
      <c s="417"/>
      <c s="417"/>
      <c s="426"/>
      <c s="173" t="s">
        <v>108</v>
      </c>
      <c s="426"/>
      <c s="173"/>
      <c s="426"/>
    </row>
    <row r="106" hidden="1" ht="30" customHeight="1">
      <c r="A106" s="407"/>
      <c s="407"/>
      <c s="172"/>
      <c s="418"/>
      <c s="427"/>
      <c s="172"/>
      <c s="418"/>
      <c s="418"/>
      <c s="418"/>
      <c s="418"/>
      <c s="427"/>
      <c s="172"/>
      <c s="427"/>
      <c s="172"/>
      <c s="427"/>
    </row>
    <row r="107" ht="30" customHeight="1">
      <c r="A107" s="166">
        <v>15</v>
      </c>
      <c s="410" t="s">
        <v>109</v>
      </c>
      <c s="373"/>
      <c s="420" t="s">
        <v>110</v>
      </c>
      <c s="428"/>
      <c s="429"/>
      <c s="420" t="s">
        <v>111</v>
      </c>
      <c s="428"/>
      <c s="429"/>
      <c s="410" t="str">
        <f>IFERROR(MID('样品池准确度与重复性校验'!A1,SEARCH("样品池 1 (%) =",'样品池准确度与重复性校验'!A1)+LEN("样品池 1 (%) ="),SEARCH(CHAR(10),'样品池准确度与重复性校验'!A1,SEARCH("样品池 1 (%) =",'样品池准确度与重复性校验'!A1))-SEARCH("样品池 1 (%) =",'样品池准确度与重复性校验'!A1)-LEN("样品池 1 (%) =")),"")</f>
        <v/>
      </c>
      <c s="373"/>
      <c s="379" t="s">
        <v>44</v>
      </c>
      <c s="410" t="str">
        <f>IFERROR(MID('样品池准确度与重复性校验'!A1,SEARCH("最大值与最小值差值为：",'样品池准确度与重复性校验'!A1)+LEN("最大值与最小值差值为："),FIND(CHAR(10),'样品池准确度与重复性校验'!A1,SEARCH("最大值与最小值差值为：",'样品池准确度与重复性校验'!A1))-SEARCH("最大值与最小值差值为：",'样品池准确度与重复性校验'!A1)-LEN("最大值与最小值差值为：")),"")</f>
        <v/>
      </c>
      <c s="324"/>
      <c s="373"/>
    </row>
    <row r="108" ht="77.25" customHeight="1">
      <c r="A108" s="167">
        <v>16</v>
      </c>
      <c s="192" t="s">
        <v>112</v>
      </c>
      <c s="414" t="s">
        <v>113</v>
      </c>
      <c s="421"/>
      <c s="421"/>
      <c s="421"/>
      <c s="421"/>
      <c s="421"/>
      <c s="421"/>
      <c s="421"/>
      <c s="421"/>
      <c s="421"/>
      <c s="329"/>
      <c s="151" t="s">
        <v>114</v>
      </c>
      <c s="330"/>
    </row>
    <row r="109" ht="30" customHeight="1">
      <c r="A109" s="404"/>
      <c s="269"/>
      <c s="210"/>
      <c s="422"/>
      <c s="422"/>
      <c s="422"/>
      <c s="422"/>
      <c s="422"/>
      <c s="422"/>
      <c s="422"/>
      <c s="422"/>
      <c s="422"/>
      <c s="336"/>
      <c s="188"/>
      <c s="187"/>
    </row>
    <row r="110" ht="27.75" customHeight="1">
      <c r="A110" s="208" t="s">
        <v>115</v>
      </c>
      <c s="411"/>
      <c s="208" t="s">
        <v>116</v>
      </c>
      <c s="419"/>
      <c s="419"/>
      <c s="419"/>
      <c s="419"/>
      <c s="419"/>
      <c s="419"/>
      <c s="419"/>
      <c s="419"/>
      <c s="419"/>
      <c s="419"/>
      <c s="419"/>
      <c s="411"/>
    </row>
    <row r="111" ht="14.25" customHeight="1">
      <c r="A111" s="283" t="s">
        <v>117</v>
      </c>
      <c s="286"/>
      <c s="274" t="s">
        <v>118</v>
      </c>
      <c s="423"/>
      <c s="423"/>
      <c s="423"/>
      <c s="423"/>
      <c s="423"/>
      <c s="423"/>
      <c s="423"/>
      <c s="423"/>
      <c s="423"/>
      <c s="423"/>
      <c s="423"/>
      <c s="322"/>
    </row>
    <row r="112" ht="14.25" customHeight="1">
      <c r="A112" s="284"/>
      <c s="287"/>
      <c s="337"/>
      <c s="424"/>
      <c s="424"/>
      <c s="424"/>
      <c s="424"/>
      <c s="424"/>
      <c s="424"/>
      <c s="424"/>
      <c s="424"/>
      <c s="424"/>
      <c s="424"/>
      <c s="424"/>
      <c s="342"/>
    </row>
    <row r="113" ht="27" customHeight="1">
      <c r="A113" s="285"/>
      <c s="288"/>
      <c s="275"/>
      <c s="425"/>
      <c s="425"/>
      <c s="425"/>
      <c s="425"/>
      <c s="425"/>
      <c s="425"/>
      <c s="425"/>
      <c s="425"/>
      <c s="425"/>
      <c s="425"/>
      <c s="425"/>
      <c s="343"/>
    </row>
  </sheetData>
  <mergeCells>
    <mergeCell ref="M17:O17"/>
    <mergeCell ref="K17:L17"/>
    <mergeCell ref="H17:J17"/>
    <mergeCell ref="E17:G17"/>
    <mergeCell ref="M16:O16"/>
    <mergeCell ref="K16:L16"/>
    <mergeCell ref="H16:J16"/>
    <mergeCell ref="E16:G16"/>
    <mergeCell ref="M14:O14"/>
    <mergeCell ref="K14:L14"/>
    <mergeCell ref="H14:J14"/>
    <mergeCell ref="M15:O15"/>
    <mergeCell ref="K15:L15"/>
    <mergeCell ref="H15:J15"/>
    <mergeCell ref="E15:G15"/>
    <mergeCell ref="C9:D17"/>
    <mergeCell ref="B9:B17"/>
    <mergeCell ref="E12:G14"/>
    <mergeCell ref="H13:J13"/>
    <mergeCell ref="K13:L13"/>
    <mergeCell ref="M13:O13"/>
    <mergeCell ref="H12:J12"/>
    <mergeCell ref="K12:L12"/>
    <mergeCell ref="M12:O12"/>
    <mergeCell ref="H11:J11"/>
    <mergeCell ref="K11:L11"/>
    <mergeCell ref="M11:O11"/>
    <mergeCell ref="H10:J10"/>
    <mergeCell ref="K10:L10"/>
    <mergeCell ref="M10:O10"/>
    <mergeCell ref="E8:O8"/>
    <mergeCell ref="H9:O9"/>
    <mergeCell ref="B8:D8"/>
    <mergeCell ref="C7:D7"/>
    <mergeCell ref="A4:C4"/>
    <mergeCell ref="A5:C5"/>
    <mergeCell ref="A7:B7"/>
    <mergeCell ref="A6:B6"/>
    <mergeCell ref="C6:D6"/>
    <mergeCell ref="E6:G6"/>
    <mergeCell ref="E11:G11"/>
    <mergeCell ref="E10:G10"/>
    <mergeCell ref="E9:G9"/>
    <mergeCell ref="E7:G7"/>
    <mergeCell ref="H7:J7"/>
    <mergeCell ref="K7:L7"/>
    <mergeCell ref="M7:O7"/>
    <mergeCell ref="N6:O6"/>
    <mergeCell ref="L6:M6"/>
    <mergeCell ref="H6:K6"/>
    <mergeCell ref="L5:M5"/>
    <mergeCell ref="D5:G5"/>
    <mergeCell ref="N5:O5"/>
    <mergeCell ref="H5:K5"/>
    <mergeCell ref="N4:O4"/>
    <mergeCell ref="L4:M4"/>
    <mergeCell ref="H4:K4"/>
    <mergeCell ref="D4:G4"/>
    <mergeCell ref="A1:B3"/>
    <mergeCell ref="C2:K3"/>
    <mergeCell ref="L1:M1"/>
    <mergeCell ref="C1:K1"/>
    <mergeCell ref="N3:O3"/>
    <mergeCell ref="L3:M3"/>
    <mergeCell ref="N2:O2"/>
    <mergeCell ref="L2:M2"/>
    <mergeCell ref="N1:O1"/>
    <mergeCell ref="B101:B102"/>
    <mergeCell ref="C101:E101"/>
    <mergeCell ref="C102:E102"/>
    <mergeCell ref="A101:A102"/>
    <mergeCell ref="F101:K102"/>
    <mergeCell ref="L102:M102"/>
    <mergeCell ref="L101:M101"/>
    <mergeCell ref="L99:O100"/>
    <mergeCell ref="N101:O101"/>
    <mergeCell ref="N102:O102"/>
    <mergeCell ref="B107:C107"/>
    <mergeCell ref="D107:F107"/>
    <mergeCell ref="G107:I107"/>
    <mergeCell ref="J107:K107"/>
    <mergeCell ref="N108:O109"/>
    <mergeCell ref="C108:M109"/>
    <mergeCell ref="C111:O113"/>
    <mergeCell ref="C110:O110"/>
    <mergeCell ref="M107:O107"/>
    <mergeCell ref="A111:B113"/>
    <mergeCell ref="B108:B109"/>
    <mergeCell ref="A110:B110"/>
    <mergeCell ref="A108:A109"/>
    <mergeCell ref="A103:A104"/>
    <mergeCell ref="B103:B104"/>
    <mergeCell ref="C103:E104"/>
    <mergeCell ref="F103:K104"/>
    <mergeCell ref="N103:O104"/>
    <mergeCell ref="L103:M104"/>
    <mergeCell ref="A105:A106"/>
    <mergeCell ref="B105:B106"/>
    <mergeCell ref="C105:E106"/>
    <mergeCell ref="N105:O106"/>
    <mergeCell ref="L105:M106"/>
    <mergeCell ref="F105:K106"/>
    <mergeCell ref="N79:O80"/>
    <mergeCell ref="K79:L80"/>
    <mergeCell ref="M79:M80"/>
    <mergeCell ref="J85:J86"/>
    <mergeCell ref="J83:J84"/>
    <mergeCell ref="J81:J82"/>
    <mergeCell ref="J79:J80"/>
    <mergeCell ref="H79:I80"/>
    <mergeCell ref="H81:I82"/>
    <mergeCell ref="M87:O88"/>
    <mergeCell ref="N85:O86"/>
    <mergeCell ref="N97:O98"/>
    <mergeCell ref="N95:O96"/>
    <mergeCell ref="N93:O94"/>
    <mergeCell ref="N91:O92"/>
    <mergeCell ref="N89:O90"/>
    <mergeCell ref="M83:M84"/>
    <mergeCell ref="N83:O84"/>
    <mergeCell ref="N81:O82"/>
    <mergeCell ref="M81:M82"/>
    <mergeCell ref="M74:O75"/>
    <mergeCell ref="M76:O78"/>
    <mergeCell ref="B66:B71"/>
    <mergeCell ref="B72:B73"/>
    <mergeCell ref="B74:B75"/>
    <mergeCell ref="A99:A100"/>
    <mergeCell ref="A89:A98"/>
    <mergeCell ref="A87:A88"/>
    <mergeCell ref="A79:A86"/>
    <mergeCell ref="A76:A78"/>
    <mergeCell ref="A66:A71"/>
    <mergeCell ref="A72:A73"/>
    <mergeCell ref="A74:A75"/>
    <mergeCell ref="B85:B86"/>
    <mergeCell ref="B83:B84"/>
    <mergeCell ref="B81:B82"/>
    <mergeCell ref="C81:C82"/>
    <mergeCell ref="C83:C84"/>
    <mergeCell ref="C85:C86"/>
    <mergeCell ref="D83:D84"/>
    <mergeCell ref="B79:B80"/>
    <mergeCell ref="C79:C80"/>
    <mergeCell ref="D79:D80"/>
    <mergeCell ref="D81:D82"/>
    <mergeCell ref="B87:B88"/>
    <mergeCell ref="B89:B98"/>
    <mergeCell ref="C89:C98"/>
    <mergeCell ref="C99:E100"/>
    <mergeCell ref="B99:B100"/>
    <mergeCell ref="D91:E98"/>
    <mergeCell ref="D89:E90"/>
    <mergeCell ref="C87:G88"/>
    <mergeCell ref="E79:G80"/>
    <mergeCell ref="E81:G82"/>
    <mergeCell ref="E83:G84"/>
    <mergeCell ref="E85:G86"/>
    <mergeCell ref="D85:D86"/>
    <mergeCell ref="M91:M92"/>
    <mergeCell ref="M89:M90"/>
    <mergeCell ref="M85:M86"/>
    <mergeCell ref="H87:L88"/>
    <mergeCell ref="H85:I86"/>
    <mergeCell ref="H83:I84"/>
    <mergeCell ref="K81:L82"/>
    <mergeCell ref="K83:L84"/>
    <mergeCell ref="K85:L86"/>
    <mergeCell ref="L97:L98"/>
    <mergeCell ref="L95:L96"/>
    <mergeCell ref="L93:L94"/>
    <mergeCell ref="L91:L92"/>
    <mergeCell ref="L89:L90"/>
    <mergeCell ref="F89:K90"/>
    <mergeCell ref="F91:K92"/>
    <mergeCell ref="F99:K100"/>
    <mergeCell ref="F93:K94"/>
    <mergeCell ref="F95:K96"/>
    <mergeCell ref="F97:K98"/>
    <mergeCell ref="M97:M98"/>
    <mergeCell ref="M93:M94"/>
    <mergeCell ref="M95:M96"/>
    <mergeCell ref="N64:O64"/>
    <mergeCell ref="L64:M64"/>
    <mergeCell ref="J64:K64"/>
    <mergeCell ref="H64:I64"/>
    <mergeCell ref="N63:O63"/>
    <mergeCell ref="L63:M63"/>
    <mergeCell ref="J63:K63"/>
    <mergeCell ref="H63:I63"/>
    <mergeCell ref="N62:O62"/>
    <mergeCell ref="L62:M62"/>
    <mergeCell ref="J62:K62"/>
    <mergeCell ref="H65:I65"/>
    <mergeCell ref="J65:K65"/>
    <mergeCell ref="L65:M65"/>
    <mergeCell ref="N65:O65"/>
    <mergeCell ref="M72:O73"/>
    <mergeCell ref="M70:O71"/>
    <mergeCell ref="M68:O69"/>
    <mergeCell ref="M66:O67"/>
    <mergeCell ref="N58:O58"/>
    <mergeCell ref="L58:M58"/>
    <mergeCell ref="J58:K58"/>
    <mergeCell ref="H57:O57"/>
    <mergeCell ref="E57:G57"/>
    <mergeCell ref="H62:I62"/>
    <mergeCell ref="H61:I61"/>
    <mergeCell ref="H60:I60"/>
    <mergeCell ref="H59:I59"/>
    <mergeCell ref="J61:K61"/>
    <mergeCell ref="L61:M61"/>
    <mergeCell ref="N61:O61"/>
    <mergeCell ref="J60:K60"/>
    <mergeCell ref="L60:M60"/>
    <mergeCell ref="N60:O60"/>
    <mergeCell ref="J59:K59"/>
    <mergeCell ref="L59:M59"/>
    <mergeCell ref="N59:O59"/>
    <mergeCell ref="H58:I58"/>
    <mergeCell ref="E58:G59"/>
    <mergeCell ref="E60:G62"/>
    <mergeCell ref="A57:A65"/>
    <mergeCell ref="B57:B65"/>
    <mergeCell ref="C57:D65"/>
    <mergeCell ref="C66:D67"/>
    <mergeCell ref="E66:G67"/>
    <mergeCell ref="E63:G63"/>
    <mergeCell ref="E64:G64"/>
    <mergeCell ref="E65:G65"/>
    <mergeCell ref="C68:C69"/>
    <mergeCell ref="D68:D69"/>
    <mergeCell ref="E68:G69"/>
    <mergeCell ref="C70:C71"/>
    <mergeCell ref="E70:G71"/>
    <mergeCell ref="C72:G73"/>
    <mergeCell ref="D70:D71"/>
    <mergeCell ref="J66:J67"/>
    <mergeCell ref="H66:I67"/>
    <mergeCell ref="J68:J69"/>
    <mergeCell ref="H68:I71"/>
    <mergeCell ref="K66:K67"/>
    <mergeCell ref="K68:K69"/>
    <mergeCell ref="K70:K71"/>
    <mergeCell ref="L70:L71"/>
    <mergeCell ref="L68:L69"/>
    <mergeCell ref="L66:L67"/>
    <mergeCell ref="H72:L73"/>
    <mergeCell ref="J70:J71"/>
    <mergeCell ref="H74:L75"/>
    <mergeCell ref="H76:L76"/>
    <mergeCell ref="H77:L77"/>
    <mergeCell ref="H78:L78"/>
    <mergeCell ref="B76:B78"/>
    <mergeCell ref="E78:G78"/>
    <mergeCell ref="C76:D78"/>
    <mergeCell ref="E77:G77"/>
    <mergeCell ref="C74:G75"/>
    <mergeCell ref="E76:G76"/>
    <mergeCell ref="G54:H54"/>
    <mergeCell ref="G55:H55"/>
    <mergeCell ref="G56:H56"/>
    <mergeCell ref="G51:H53"/>
    <mergeCell ref="E50:F56"/>
    <mergeCell ref="C50:D56"/>
    <mergeCell ref="A50:A56"/>
    <mergeCell ref="B50:B56"/>
    <mergeCell ref="G50:H50"/>
    <mergeCell ref="G49:H49"/>
    <mergeCell ref="G48:H48"/>
    <mergeCell ref="G47:H47"/>
    <mergeCell ref="E43:F49"/>
    <mergeCell ref="G44:H46"/>
    <mergeCell ref="I56:K56"/>
    <mergeCell ref="I55:K55"/>
    <mergeCell ref="I54:K54"/>
    <mergeCell ref="I53:K53"/>
    <mergeCell ref="I52:K52"/>
    <mergeCell ref="I49:K49"/>
    <mergeCell ref="I50:K50"/>
    <mergeCell ref="I51:K51"/>
    <mergeCell ref="I46:K46"/>
    <mergeCell ref="I47:K47"/>
    <mergeCell ref="I48:K48"/>
    <mergeCell ref="I43:K43"/>
    <mergeCell ref="I44:K44"/>
    <mergeCell ref="I45:K45"/>
    <mergeCell ref="L47:M47"/>
    <mergeCell ref="L48:M48"/>
    <mergeCell ref="L49:M49"/>
    <mergeCell ref="L44:M44"/>
    <mergeCell ref="L45:M45"/>
    <mergeCell ref="L46:M46"/>
    <mergeCell ref="L50:M50"/>
    <mergeCell ref="L51:M51"/>
    <mergeCell ref="L52:M52"/>
    <mergeCell ref="L56:M56"/>
    <mergeCell ref="L55:M55"/>
    <mergeCell ref="L54:M54"/>
    <mergeCell ref="L53:M5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6:O56"/>
    <mergeCell ref="N55:O55"/>
    <mergeCell ref="N54:O54"/>
    <mergeCell ref="N53:O53"/>
    <mergeCell ref="G43:H43"/>
    <mergeCell ref="N43:O43"/>
    <mergeCell ref="L43:M43"/>
    <mergeCell ref="N42:O42"/>
    <mergeCell ref="L42:M42"/>
    <mergeCell ref="I42:K42"/>
    <mergeCell ref="G42:H42"/>
    <mergeCell ref="N41:O41"/>
    <mergeCell ref="L41:M41"/>
    <mergeCell ref="I41:K41"/>
    <mergeCell ref="G41:H41"/>
    <mergeCell ref="N40:O40"/>
    <mergeCell ref="L40:M40"/>
    <mergeCell ref="I40:K40"/>
    <mergeCell ref="G40:H40"/>
    <mergeCell ref="N39:O39"/>
    <mergeCell ref="L39:M39"/>
    <mergeCell ref="I39:K39"/>
    <mergeCell ref="I38:K38"/>
    <mergeCell ref="L38:M38"/>
    <mergeCell ref="N38:O38"/>
    <mergeCell ref="N27:O28"/>
    <mergeCell ref="N25:O26"/>
    <mergeCell ref="N21:O22"/>
    <mergeCell ref="N23:O24"/>
    <mergeCell ref="L19:L20"/>
    <mergeCell ref="L21:L22"/>
    <mergeCell ref="L23:L24"/>
    <mergeCell ref="M31:M32"/>
    <mergeCell ref="M19:M20"/>
    <mergeCell ref="M21:M22"/>
    <mergeCell ref="M23:M24"/>
    <mergeCell ref="L31:L32"/>
    <mergeCell ref="L29:L30"/>
    <mergeCell ref="L27:L28"/>
    <mergeCell ref="L25:L26"/>
    <mergeCell ref="M29:M30"/>
    <mergeCell ref="M27:M28"/>
    <mergeCell ref="M25:M26"/>
    <mergeCell ref="H33:O34"/>
    <mergeCell ref="N35:O35"/>
    <mergeCell ref="L35:M35"/>
    <mergeCell ref="I35:K35"/>
    <mergeCell ref="A33:A49"/>
    <mergeCell ref="B33:B49"/>
    <mergeCell ref="C33:D49"/>
    <mergeCell ref="G37:H39"/>
    <mergeCell ref="E33:G34"/>
    <mergeCell ref="E36:F42"/>
    <mergeCell ref="I37:K37"/>
    <mergeCell ref="L37:M37"/>
    <mergeCell ref="N37:O37"/>
    <mergeCell ref="I36:K36"/>
    <mergeCell ref="L36:M36"/>
    <mergeCell ref="N36:O36"/>
    <mergeCell ref="E35:F35"/>
    <mergeCell ref="G35:H35"/>
    <mergeCell ref="G36:H36"/>
    <mergeCell ref="E21:G26"/>
    <mergeCell ref="H25:I26"/>
    <mergeCell ref="H19:I20"/>
    <mergeCell ref="H23:I24"/>
    <mergeCell ref="H21:I22"/>
    <mergeCell ref="E19:G20"/>
    <mergeCell ref="E18:G18"/>
    <mergeCell ref="H18:O18"/>
    <mergeCell ref="N19:O20"/>
    <mergeCell ref="J19:J20"/>
    <mergeCell ref="J21:J22"/>
    <mergeCell ref="J23:J24"/>
    <mergeCell ref="J31:J32"/>
    <mergeCell ref="J29:J30"/>
    <mergeCell ref="J25:J26"/>
    <mergeCell ref="J27:J28"/>
    <mergeCell ref="K19:K20"/>
    <mergeCell ref="K21:K22"/>
    <mergeCell ref="K23:K24"/>
    <mergeCell ref="K25:K26"/>
    <mergeCell ref="K27:K28"/>
    <mergeCell ref="K29:K30"/>
    <mergeCell ref="K31:K32"/>
    <mergeCell ref="N31:O32"/>
    <mergeCell ref="N29:O30"/>
    <mergeCell ref="C18:D32"/>
    <mergeCell ref="A9:A32"/>
    <mergeCell ref="B18:B32"/>
    <mergeCell ref="H27:I28"/>
    <mergeCell ref="H31:I32"/>
    <mergeCell ref="H29:I30"/>
    <mergeCell ref="E31:G32"/>
    <mergeCell ref="E29:G30"/>
    <mergeCell ref="E27:G28"/>
  </mergeCells>
  <printOptions horizontalCentered="1"/>
  <pageMargins left="0.511811023622047" right="0.511811023622047" top="0.748031496062992" bottom="0.748031496062992" header="0.196850393700787" footer="0.196850393700787"/>
  <pageSetup paperSize="9" firstPageNumber="4294963191" copies="0" scale="95"/>
  <headerFooter/>
  <drawing r:id="rId1"/>
  <extLst/>
</worksheet>
</file>

<file path=xl/worksheets/sheet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R11"/>
  <sheetViews>
    <sheetView topLeftCell="A1" workbookViewId="0" showGridLines="0">
      <pane topLeftCell="A1"/>
      <selection activeCellId="0" activeCell="C7" sqref="C7"/>
    </sheetView>
  </sheetViews>
  <sheetFormatPr defaultColWidth="8.88" defaultRowHeight="14.25" customHeight="1"/>
  <cols>
    <col min="1" max="1" width="18.38" customWidth="1" style="73"/>
    <col min="2" max="2" width="19.38" customWidth="1" style="73"/>
    <col min="3" max="3" width="21.5" customWidth="1" style="73"/>
    <col min="4" max="4" width="7.88" customWidth="1" style="73"/>
    <col min="5" max="7" width="14.13" customWidth="1" style="73"/>
    <col min="8" max="12" width="11" customWidth="1" style="73"/>
    <col min="13" max="13" width="16.38" customWidth="1" style="73"/>
    <col min="14" max="14" width="11" customWidth="1" style="73"/>
    <col min="15" max="15" width="20.13" customWidth="1" style="73"/>
    <col min="16" max="16" width="16.38" customWidth="1" style="118"/>
    <col min="17" max="16384" width="8.88" style="73"/>
  </cols>
  <sheetData>
    <row r="1" ht="32.25" customHeight="1" customFormat="1" s="49">
      <c r="A1" s="327" t="s">
        <v>119</v>
      </c>
      <c s="327" t="s">
        <v>120</v>
      </c>
      <c s="327" t="s">
        <v>121</v>
      </c>
      <c s="327"/>
      <c s="121" t="s">
        <v>122</v>
      </c>
      <c s="121" t="s">
        <v>123</v>
      </c>
      <c s="121" t="s">
        <v>123</v>
      </c>
      <c s="121" t="s">
        <v>124</v>
      </c>
      <c s="121" t="s">
        <v>125</v>
      </c>
      <c s="121" t="s">
        <v>125</v>
      </c>
      <c s="121" t="s">
        <v>126</v>
      </c>
      <c s="121" t="s">
        <v>126</v>
      </c>
      <c s="121" t="s">
        <v>127</v>
      </c>
      <c s="121" t="s">
        <v>128</v>
      </c>
      <c s="121" t="s">
        <v>129</v>
      </c>
      <c s="328" t="s">
        <v>130</v>
      </c>
      <c s="121" t="s">
        <v>131</v>
      </c>
      <c s="121" t="s">
        <v>132</v>
      </c>
    </row>
    <row r="2" customHeight="1">
      <c r="A2" s="359" t="s">
        <v>25</v>
      </c>
      <c s="120">
        <v>656.1</v>
      </c>
      <c s="120">
        <v>656.1</v>
      </c>
      <c s="359"/>
      <c s="359" t="s">
        <v>133</v>
      </c>
      <c s="130" t="s">
        <v>134</v>
      </c>
      <c s="186">
        <v>0</v>
      </c>
      <c s="359"/>
      <c s="359" t="s">
        <v>135</v>
      </c>
      <c s="120">
        <v>0</v>
      </c>
      <c s="359" t="s">
        <v>136</v>
      </c>
      <c s="120">
        <v>0</v>
      </c>
      <c s="359"/>
      <c s="120">
        <v>1</v>
      </c>
      <c r="P2" s="122">
        <v>0.2</v>
      </c>
      <c s="122"/>
      <c s="359"/>
    </row>
    <row r="3" customHeight="1">
      <c r="A3" s="359" t="s">
        <v>137</v>
      </c>
      <c s="120">
        <v>253.7</v>
      </c>
      <c s="120">
        <v>253.7</v>
      </c>
      <c s="359"/>
      <c s="359" t="s">
        <v>138</v>
      </c>
      <c s="130" t="s">
        <v>25</v>
      </c>
      <c s="186">
        <v>1</v>
      </c>
      <c s="359" t="s">
        <v>139</v>
      </c>
      <c s="359" t="s">
        <v>140</v>
      </c>
      <c s="120">
        <v>1</v>
      </c>
      <c s="359" t="s">
        <v>141</v>
      </c>
      <c s="120">
        <v>1</v>
      </c>
      <c s="209">
        <v>0.02</v>
      </c>
      <c s="120">
        <v>2</v>
      </c>
      <c s="120">
        <v>1</v>
      </c>
      <c s="122">
        <v>0.5</v>
      </c>
      <c s="120">
        <v>1</v>
      </c>
      <c s="120">
        <v>0.5</v>
      </c>
    </row>
    <row r="4" customHeight="1">
      <c r="A4" s="359" t="s">
        <v>142</v>
      </c>
      <c s="359" t="s">
        <v>143</v>
      </c>
      <c s="359" t="s">
        <v>143</v>
      </c>
      <c s="359"/>
      <c s="359"/>
      <c s="130" t="s">
        <v>144</v>
      </c>
      <c s="186">
        <v>2</v>
      </c>
      <c s="359"/>
      <c s="359" t="s">
        <v>145</v>
      </c>
      <c s="120">
        <v>2</v>
      </c>
      <c s="359" t="s">
        <v>146</v>
      </c>
      <c s="120">
        <v>2</v>
      </c>
      <c s="120">
        <v>0.1</v>
      </c>
      <c s="120">
        <v>3</v>
      </c>
      <c s="120">
        <v>2</v>
      </c>
      <c s="323" t="s">
        <v>147</v>
      </c>
      <c s="120">
        <v>2</v>
      </c>
      <c s="120">
        <v>1</v>
      </c>
    </row>
    <row r="5" customHeight="1">
      <c r="A5" s="359" t="s">
        <v>24</v>
      </c>
      <c s="359" t="s">
        <v>148</v>
      </c>
      <c s="359" t="s">
        <v>148</v>
      </c>
      <c s="359"/>
      <c s="359"/>
      <c s="359"/>
      <c s="359"/>
      <c s="359"/>
      <c s="359" t="s">
        <v>149</v>
      </c>
      <c s="120">
        <v>3</v>
      </c>
      <c s="359" t="s">
        <v>150</v>
      </c>
      <c s="120">
        <v>3</v>
      </c>
      <c s="120">
        <v>0.2</v>
      </c>
      <c s="120">
        <v>4</v>
      </c>
      <c s="359"/>
      <c s="323" t="s">
        <v>151</v>
      </c>
      <c s="120">
        <v>3</v>
      </c>
      <c s="120">
        <v>2</v>
      </c>
    </row>
    <row r="6" customHeight="1">
      <c r="A6" s="359" t="s">
        <v>39</v>
      </c>
      <c s="359" t="s">
        <v>152</v>
      </c>
      <c s="359"/>
      <c s="359"/>
      <c s="359"/>
      <c s="359"/>
      <c s="359"/>
      <c s="359"/>
      <c s="359" t="s">
        <v>153</v>
      </c>
      <c s="120">
        <v>4</v>
      </c>
      <c s="359" t="s">
        <v>154</v>
      </c>
      <c s="120">
        <v>4</v>
      </c>
      <c s="120">
        <v>0.5</v>
      </c>
      <c s="120">
        <v>5</v>
      </c>
      <c s="359"/>
      <c s="323" t="s">
        <v>155</v>
      </c>
      <c s="120">
        <v>4</v>
      </c>
      <c s="359"/>
    </row>
    <row r="7" customHeight="1">
      <c r="A7" s="359" t="s">
        <v>45</v>
      </c>
      <c s="359" t="s">
        <v>156</v>
      </c>
      <c s="359"/>
      <c s="359"/>
      <c s="359"/>
      <c s="359"/>
      <c s="359"/>
      <c s="359"/>
      <c s="359"/>
      <c s="359"/>
      <c s="359" t="s">
        <v>157</v>
      </c>
      <c s="359"/>
      <c s="120">
        <v>1</v>
      </c>
      <c s="359"/>
      <c s="359"/>
      <c s="122"/>
      <c s="120">
        <v>5</v>
      </c>
      <c s="359"/>
    </row>
    <row r="8" customHeight="1">
      <c r="A8" s="359" t="s">
        <v>47</v>
      </c>
      <c s="359" t="s">
        <v>158</v>
      </c>
      <c s="359"/>
      <c s="359"/>
      <c s="359"/>
      <c s="359"/>
      <c s="359"/>
      <c s="359"/>
      <c s="359"/>
      <c s="359"/>
      <c s="359"/>
      <c s="359"/>
      <c s="120">
        <v>2</v>
      </c>
      <c s="359"/>
      <c s="359"/>
      <c s="122"/>
      <c s="359"/>
      <c s="359"/>
    </row>
    <row r="9" customHeight="1">
      <c r="A9" s="358" t="s">
        <v>159</v>
      </c>
      <c s="372">
        <v>350313257235</v>
      </c>
      <c s="359" t="s">
        <v>160</v>
      </c>
      <c s="372"/>
      <c s="359"/>
      <c s="359"/>
      <c s="359"/>
      <c s="359"/>
      <c s="359"/>
      <c s="359"/>
      <c s="359"/>
      <c s="359"/>
      <c s="120">
        <v>5</v>
      </c>
      <c s="359"/>
      <c s="359"/>
      <c s="122"/>
      <c s="359"/>
      <c s="359"/>
    </row>
    <row r="10" customHeight="1">
      <c r="A10" s="359" t="s">
        <v>161</v>
      </c>
      <c s="120">
        <v>220</v>
      </c>
      <c s="359"/>
      <c s="359"/>
      <c s="359"/>
      <c s="359"/>
      <c s="359"/>
      <c s="359"/>
      <c s="359"/>
      <c s="359"/>
      <c s="359"/>
      <c s="359"/>
      <c s="359"/>
      <c s="359"/>
      <c s="359"/>
      <c s="122"/>
      <c s="359"/>
      <c s="359"/>
    </row>
    <row r="11" customHeight="1">
      <c r="A11" s="359" t="s">
        <v>162</v>
      </c>
      <c s="372">
        <v>340360</v>
      </c>
      <c s="359"/>
      <c s="359"/>
      <c s="359"/>
      <c s="359"/>
      <c s="359"/>
      <c s="359"/>
      <c s="359"/>
      <c s="359"/>
      <c s="359"/>
      <c s="359"/>
      <c s="359"/>
      <c s="359"/>
      <c s="359"/>
      <c s="122"/>
      <c s="359"/>
      <c s="359"/>
    </row>
  </sheetData>
  <printOptions/>
  <pageMargins left="0.7" right="0.7" top="0.75" bottom="0.75" header="0.3" footer="0.3"/>
  <pageSetup firstPageNumber="4294963191" copies="0"/>
  <headerFooter/>
  <extLst/>
</worksheet>
</file>

<file path=xl/worksheets/sheet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Q38"/>
  <sheetViews>
    <sheetView workbookViewId="0" zoomScale="85" showGridLines="0" zoomScaleNormal="85">
      <pane topLeftCell="A2" activePane="bottomLeft" state="frozen" ySplit="1"/>
      <selection activeCellId="0" pane="bottomLeft" activeCell="P80" sqref="P80"/>
    </sheetView>
  </sheetViews>
  <sheetFormatPr defaultColWidth="9" defaultRowHeight="14.25" customHeight="1"/>
  <cols>
    <col min="1" max="1" width="10" customWidth="1" style="107"/>
    <col min="2" max="2" width="13.63" customWidth="1" style="107"/>
    <col min="3" max="3" width="7.88" customWidth="1" style="107"/>
    <col min="4" max="4" width="15.38" customWidth="1" style="108"/>
    <col min="5" max="8" width="9" style="147"/>
    <col min="9" max="9" width="17.25" customWidth="1" style="147"/>
    <col min="10" max="10" width="9" style="147"/>
    <col min="11" max="11" width="10" customWidth="1" style="147"/>
    <col min="12" max="13" width="9" style="147"/>
    <col min="14" max="14" width="10" customWidth="1" style="107"/>
    <col min="15" max="15" width="5.75" customWidth="1" style="147"/>
    <col min="16" max="16" width="36.63" customWidth="1" style="107"/>
    <col min="17" max="17" width="11.63" customWidth="1" style="147"/>
    <col min="18" max="16384" width="9" style="147"/>
  </cols>
  <sheetData>
    <row r="1" customHeight="1">
      <c r="A1" s="325" t="s">
        <v>163</v>
      </c>
      <c s="325" t="s">
        <v>164</v>
      </c>
      <c s="325" t="s">
        <v>121</v>
      </c>
      <c s="356" t="s">
        <v>27</v>
      </c>
      <c s="356" t="s">
        <v>165</v>
      </c>
      <c s="356" t="s">
        <v>166</v>
      </c>
      <c s="356" t="s">
        <v>167</v>
      </c>
      <c s="124" t="s">
        <v>7</v>
      </c>
      <c s="204" t="s">
        <v>8</v>
      </c>
      <c s="124" t="s">
        <v>9</v>
      </c>
      <c s="124" t="s">
        <v>168</v>
      </c>
      <c s="124" t="s">
        <v>169</v>
      </c>
      <c s="124" t="s">
        <v>170</v>
      </c>
      <c s="325" t="s">
        <v>171</v>
      </c>
      <c s="356" t="s">
        <v>172</v>
      </c>
      <c s="325" t="s">
        <v>173</v>
      </c>
      <c s="119"/>
    </row>
    <row r="2" ht="28.5">
      <c r="A2" s="357">
        <v>1001</v>
      </c>
      <c s="123" t="str">
        <f ca="1" ref="B2:B37" t="shared" si="0">MID(_xlfn.SINGLE(CELL("filename")),FIND("[",_xlfn.SINGLE(CELL("filename")),1)+1,FIND(".",_xlfn.SINGLE(CELL("filename")),1)-FIND("[",_xlfn.SINGLE(CELL("filename")),1)-1)</f>
        <v>Model-FixedSlit</v>
      </c>
      <c s="112"/>
      <c s="369" t="e">
        <f>'波长拟合'!$C2&amp;";"&amp;'波长拟合'!#REF!&amp;";"&amp;'波长拟合'!#REF!</f>
        <v>#REF!</v>
      </c>
      <c s="369" t="e">
        <f>'波长拟合'!#REF!</f>
        <v>#REF!</v>
      </c>
      <c s="369" t="e">
        <f>'波长拟合'!#REF!</f>
        <v>#REF!</v>
      </c>
      <c s="369" t="e">
        <f>'波长拟合'!#REF!</f>
        <v>#REF!</v>
      </c>
      <c s="152">
        <f>Report!$F$5</f>
      </c>
      <c s="115">
        <f ca="1" ref="I2:I37" t="shared" si="1">NOW()</f>
        <v>45554.62568958333</v>
      </c>
      <c s="152">
        <f>Report!$N$5</f>
      </c>
      <c s="152"/>
      <c s="152">
        <f>Report!$C$6</f>
      </c>
      <c s="152">
        <f>Report!$H$6</f>
      </c>
      <c s="344" t="e">
        <f>'波长拟合'!#REF!</f>
        <v>#REF!</v>
      </c>
      <c s="152"/>
      <c s="186">
        <v>1001</v>
      </c>
    </row>
    <row r="3" ht="28.5">
      <c r="A3" s="344">
        <v>1002</v>
      </c>
      <c s="123" t="str">
        <f ca="1" t="shared" si="0"/>
        <v>Model-FixedSlit</v>
      </c>
      <c s="112"/>
      <c s="369" t="e">
        <f>'波长拟合'!$C3&amp;";"&amp;'波长拟合'!#REF!&amp;";"&amp;'波长拟合'!#REF!</f>
        <v>#REF!</v>
      </c>
      <c s="369" t="e">
        <f>'波长拟合'!#REF!</f>
        <v>#REF!</v>
      </c>
      <c s="369" t="e">
        <f>'波长拟合'!#REF!</f>
        <v>#REF!</v>
      </c>
      <c s="369" t="e">
        <f>'波长拟合'!#REF!</f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>'波长拟合'!#REF!</f>
        <v>#REF!</v>
      </c>
      <c s="152"/>
      <c s="186">
        <v>1002</v>
      </c>
    </row>
    <row r="4" ht="28.5">
      <c r="A4" s="344">
        <v>1003</v>
      </c>
      <c s="123" t="str">
        <f ca="1" t="shared" si="0"/>
        <v>Model-FixedSlit</v>
      </c>
      <c s="112"/>
      <c s="369" t="e">
        <f>'波长拟合'!$C4&amp;";"&amp;'波长拟合'!#REF!&amp;";"&amp;'波长拟合'!#REF!</f>
        <v>#REF!</v>
      </c>
      <c s="369" t="e">
        <f>'波长拟合'!#REF!</f>
        <v>#REF!</v>
      </c>
      <c s="369" t="e">
        <f>'波长拟合'!#REF!</f>
        <v>#REF!</v>
      </c>
      <c s="369" t="e">
        <f>'波长拟合'!#REF!</f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>'波长拟合'!#REF!</f>
        <v>#REF!</v>
      </c>
      <c s="152"/>
      <c s="186">
        <v>1003</v>
      </c>
    </row>
    <row r="5" ht="28.5">
      <c r="A5" s="344">
        <v>1008</v>
      </c>
      <c s="123" t="str">
        <f ca="1" t="shared" si="0"/>
        <v>Model-FixedSlit</v>
      </c>
      <c s="112"/>
      <c s="369" t="e">
        <f>'波长拟合'!$C5&amp;";"&amp;'波长拟合'!#REF!&amp;";"&amp;'波长拟合'!#REF!</f>
        <v>#REF!</v>
      </c>
      <c s="369" t="e">
        <f>'波长拟合'!#REF!</f>
        <v>#REF!</v>
      </c>
      <c s="369" t="e">
        <f>'波长拟合'!#REF!</f>
        <v>#REF!</v>
      </c>
      <c s="369" t="e">
        <f>'波长拟合'!#REF!</f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>'波长拟合'!#REF!</f>
        <v>#REF!</v>
      </c>
      <c s="152"/>
      <c s="186">
        <v>1004</v>
      </c>
    </row>
    <row r="6" ht="28.5">
      <c r="A6" s="344">
        <v>1009</v>
      </c>
      <c s="123" t="str">
        <f ca="1" t="shared" si="0"/>
        <v>Model-FixedSlit</v>
      </c>
      <c s="112"/>
      <c s="369" t="e">
        <f>'波长拟合'!$C6&amp;";"&amp;'波长拟合'!#REF!&amp;";"&amp;'波长拟合'!#REF!</f>
        <v>#REF!</v>
      </c>
      <c s="369" t="e">
        <f>'波长拟合'!#REF!</f>
        <v>#REF!</v>
      </c>
      <c s="369" t="e">
        <f>'波长拟合'!#REF!</f>
        <v>#REF!</v>
      </c>
      <c s="369" t="e">
        <f>'波长拟合'!#REF!</f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>'波长拟合'!#REF!</f>
        <v>#REF!</v>
      </c>
      <c s="152"/>
      <c s="186">
        <v>1004</v>
      </c>
    </row>
    <row r="7" ht="28.5">
      <c r="A7" s="344">
        <v>1010</v>
      </c>
      <c s="123" t="str">
        <f ca="1" t="shared" si="0"/>
        <v>Model-FixedSlit</v>
      </c>
      <c s="112"/>
      <c s="369" t="e">
        <f>'波长拟合'!$C7&amp;";"&amp;'波长拟合'!#REF!&amp;";"&amp;'波长拟合'!#REF!</f>
        <v>#REF!</v>
      </c>
      <c s="369" t="e">
        <f>'波长拟合'!#REF!</f>
        <v>#REF!</v>
      </c>
      <c s="369" t="e">
        <f>'波长拟合'!#REF!</f>
        <v>#REF!</v>
      </c>
      <c s="369" t="e">
        <f>'波长拟合'!#REF!</f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>'波长拟合'!#REF!</f>
        <v>#REF!</v>
      </c>
      <c s="152"/>
      <c s="186">
        <v>1004</v>
      </c>
    </row>
    <row r="8" ht="28.5">
      <c r="A8" s="344">
        <v>1011</v>
      </c>
      <c s="123" t="str">
        <f ca="1" t="shared" si="0"/>
        <v>Model-FixedSlit</v>
      </c>
      <c s="112"/>
      <c s="369" t="e">
        <f>'波长拟合'!$C8&amp;";"&amp;'波长拟合'!#REF!&amp;";"&amp;'波长拟合'!#REF!</f>
        <v>#REF!</v>
      </c>
      <c s="369" t="e">
        <f>'波长拟合'!#REF!</f>
        <v>#REF!</v>
      </c>
      <c s="369" t="e">
        <f>'波长拟合'!#REF!</f>
        <v>#REF!</v>
      </c>
      <c s="369" t="e">
        <f>'波长拟合'!#REF!</f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>'波长拟合'!#REF!</f>
        <v>#REF!</v>
      </c>
      <c s="152"/>
      <c s="186">
        <v>1004</v>
      </c>
    </row>
    <row r="9" ht="28.5">
      <c r="A9" s="344">
        <v>1012</v>
      </c>
      <c s="123" t="str">
        <f ca="1" t="shared" si="0"/>
        <v>Model-FixedSlit</v>
      </c>
      <c s="112"/>
      <c s="369" t="e">
        <f>'波长拟合'!$C9&amp;";"&amp;'波长拟合'!#REF!&amp;";"&amp;'波长拟合'!#REF!</f>
        <v>#REF!</v>
      </c>
      <c s="369" t="e">
        <f>'波长拟合'!#REF!</f>
        <v>#REF!</v>
      </c>
      <c s="369" t="e">
        <f>'波长拟合'!#REF!</f>
        <v>#REF!</v>
      </c>
      <c s="369" t="e">
        <f>'波长拟合'!#REF!</f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>'波长拟合'!#REF!</f>
        <v>#REF!</v>
      </c>
      <c s="152"/>
      <c s="186">
        <v>1004</v>
      </c>
    </row>
    <row r="10" ht="28.5">
      <c r="A10" s="344">
        <v>1013</v>
      </c>
      <c s="123" t="str">
        <f ca="1" t="shared" si="0"/>
        <v>Model-FixedSlit</v>
      </c>
      <c s="112"/>
      <c s="369" t="e">
        <f>'波长拟合'!$C10&amp;";"&amp;'波长拟合'!#REF!&amp;";"&amp;'波长拟合'!#REF!</f>
        <v>#REF!</v>
      </c>
      <c s="369" t="e">
        <f>'波长拟合'!#REF!</f>
        <v>#REF!</v>
      </c>
      <c s="369" t="e">
        <f>'波长拟合'!#REF!</f>
        <v>#REF!</v>
      </c>
      <c s="369" t="e">
        <f>'波长拟合'!#REF!</f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>'波长拟合'!#REF!</f>
        <v>#REF!</v>
      </c>
      <c s="152"/>
      <c s="186">
        <v>1004</v>
      </c>
    </row>
    <row r="11" ht="28.5">
      <c r="A11" s="344">
        <v>2001</v>
      </c>
      <c s="123" t="str">
        <f ca="1" t="shared" si="0"/>
        <v>Model-FixedSlit</v>
      </c>
      <c s="344" t="e">
        <f ref="C11:C25" t="shared" si="2">#REF!</f>
        <v>#REF!</v>
      </c>
      <c s="369" t="e">
        <f ref="D11:D25" t="shared" si="3">#REF!&amp;";"&amp;#REF!&amp;";"&amp;#REF!</f>
        <v>#REF!</v>
      </c>
      <c s="369" t="e">
        <f ref="E11:E23" t="shared" si="4">#REF!</f>
        <v>#REF!</v>
      </c>
      <c s="369" t="e">
        <f ref="F11:F23" t="shared" si="5">#REF!</f>
        <v>#REF!</v>
      </c>
      <c s="369" t="e">
        <f ref="G11:G23" t="shared" si="6">#REF!</f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ref="N11:N25" t="shared" si="7">#REF!</f>
        <v>#REF!</v>
      </c>
      <c s="152"/>
      <c s="344">
        <v>2001</v>
      </c>
    </row>
    <row r="12" ht="28.5">
      <c r="A12" s="344">
        <v>2002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344">
        <v>2001</v>
      </c>
    </row>
    <row r="13" ht="28.5">
      <c r="A13" s="344">
        <v>2003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344">
        <v>2001</v>
      </c>
    </row>
    <row r="14" ht="28.5">
      <c r="A14" s="344">
        <v>2004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344">
        <v>2001</v>
      </c>
    </row>
    <row r="15" ht="28.5">
      <c r="A15" s="344">
        <v>2005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344">
        <v>2002</v>
      </c>
    </row>
    <row r="16" ht="28.5">
      <c r="A16" s="344">
        <v>2006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344">
        <v>2002</v>
      </c>
    </row>
    <row r="17" ht="28.5">
      <c r="A17" s="344">
        <v>2007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344">
        <v>2002</v>
      </c>
    </row>
    <row r="18" ht="28.5">
      <c r="A18" s="344">
        <v>2008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114">
        <v>2003</v>
      </c>
    </row>
    <row r="19" ht="28.5">
      <c r="A19" s="344">
        <v>2009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114">
        <v>2003</v>
      </c>
    </row>
    <row r="20" ht="28.5">
      <c r="A20" s="344">
        <v>2010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114">
        <v>2003</v>
      </c>
    </row>
    <row r="21" ht="28.5">
      <c r="A21" s="344">
        <v>2011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344">
        <v>2004</v>
      </c>
    </row>
    <row r="22" ht="28.5">
      <c r="A22" s="344">
        <v>2012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344">
        <v>2004</v>
      </c>
    </row>
    <row r="23" ht="28.5">
      <c r="A23" s="344">
        <v>2013</v>
      </c>
      <c s="123" t="str">
        <f ca="1" t="shared" si="0"/>
        <v>Model-FixedSlit</v>
      </c>
      <c s="344" t="e">
        <f t="shared" si="2"/>
        <v>#REF!</v>
      </c>
      <c s="369" t="e">
        <f t="shared" si="3"/>
        <v>#REF!</v>
      </c>
      <c s="369" t="e">
        <f t="shared" si="4"/>
        <v>#REF!</v>
      </c>
      <c s="369" t="e">
        <f t="shared" si="5"/>
        <v>#REF!</v>
      </c>
      <c s="369" t="e">
        <f t="shared" si="6"/>
        <v>#REF!</v>
      </c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344">
        <v>2004</v>
      </c>
    </row>
    <row r="24" ht="28.5">
      <c r="A24" s="344">
        <v>3001</v>
      </c>
      <c s="123" t="str">
        <f ca="1" t="shared" si="0"/>
        <v>Model-FixedSlit</v>
      </c>
      <c s="344" t="e">
        <f t="shared" si="2"/>
        <v>#REF!</v>
      </c>
      <c s="355" t="e">
        <f t="shared" si="3"/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344">
        <v>3001</v>
      </c>
    </row>
    <row r="25" ht="28.5">
      <c r="A25" s="344">
        <v>3002</v>
      </c>
      <c s="123" t="str">
        <f ca="1" t="shared" si="0"/>
        <v>Model-FixedSlit</v>
      </c>
      <c s="344" t="e">
        <f t="shared" si="2"/>
        <v>#REF!</v>
      </c>
      <c s="355" t="e">
        <f t="shared" si="3"/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7"/>
        <v>#REF!</v>
      </c>
      <c s="152"/>
      <c s="344">
        <v>3002</v>
      </c>
    </row>
    <row r="26" ht="28.5">
      <c r="A26" s="344">
        <v>4001</v>
      </c>
      <c s="123" t="str">
        <f ca="1" t="shared" si="0"/>
        <v>Model-FixedSlit</v>
      </c>
      <c s="112"/>
      <c s="152">
        <f>'样品池重复性'!$B$2</f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112">
        <f>'样品池重复性'!$D$2</f>
      </c>
      <c s="152"/>
      <c s="344">
        <v>4001</v>
      </c>
    </row>
    <row r="27" ht="28.5">
      <c r="A27" s="344">
        <v>5001</v>
      </c>
      <c s="123" t="str">
        <f ca="1" t="shared" si="0"/>
        <v>Model-FixedSlit</v>
      </c>
      <c s="112"/>
      <c s="152" t="str">
        <f>'能量扫描'!$B$3</f>
        <v>656.1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>'能量扫描'!#REF!</f>
        <v>#REF!</v>
      </c>
      <c s="152"/>
      <c s="344">
        <v>5001</v>
      </c>
    </row>
    <row r="28" ht="28.5">
      <c r="A28" s="344">
        <v>6002</v>
      </c>
      <c s="123" t="str">
        <f ca="1" t="shared" si="0"/>
        <v>Model-FixedSlit</v>
      </c>
      <c s="344" t="e">
        <f ref="C28:C37" t="shared" si="8">#REF!</f>
        <v>#REF!</v>
      </c>
      <c s="369" t="e">
        <f ref="D28:D37" t="shared" si="9">#REF!</f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ref="N28:N37" t="shared" si="10">#REF!</f>
        <v>#REF!</v>
      </c>
      <c s="152"/>
      <c s="344">
        <v>6001</v>
      </c>
    </row>
    <row r="29" ht="28.5">
      <c r="A29" s="344">
        <v>7001</v>
      </c>
      <c s="123" t="str">
        <f ca="1" t="shared" si="0"/>
        <v>Model-FixedSlit</v>
      </c>
      <c s="344" t="e">
        <f t="shared" si="8"/>
        <v>#REF!</v>
      </c>
      <c s="369" t="e">
        <f t="shared" si="9"/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10"/>
        <v>#REF!</v>
      </c>
      <c s="152"/>
      <c s="344">
        <v>7001</v>
      </c>
    </row>
    <row r="30" ht="28.5">
      <c r="A30" s="344">
        <v>7002</v>
      </c>
      <c s="123" t="str">
        <f ca="1" t="shared" si="0"/>
        <v>Model-FixedSlit</v>
      </c>
      <c s="344" t="e">
        <f t="shared" si="8"/>
        <v>#REF!</v>
      </c>
      <c s="369" t="e">
        <f t="shared" si="9"/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10"/>
        <v>#REF!</v>
      </c>
      <c s="152"/>
      <c s="344">
        <v>7002</v>
      </c>
    </row>
    <row r="31" ht="28.5">
      <c r="A31" s="344">
        <v>7003</v>
      </c>
      <c s="123" t="str">
        <f ca="1" t="shared" si="0"/>
        <v>Model-FixedSlit</v>
      </c>
      <c s="344" t="e">
        <f t="shared" si="8"/>
        <v>#REF!</v>
      </c>
      <c s="369" t="e">
        <f t="shared" si="9"/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10"/>
        <v>#REF!</v>
      </c>
      <c s="152"/>
      <c s="344">
        <v>7003</v>
      </c>
    </row>
    <row r="32" ht="28.5">
      <c r="A32" s="344">
        <v>7004</v>
      </c>
      <c s="123" t="str">
        <f ca="1" t="shared" si="0"/>
        <v>Model-FixedSlit</v>
      </c>
      <c s="344" t="e">
        <f t="shared" si="8"/>
        <v>#REF!</v>
      </c>
      <c s="369" t="e">
        <f t="shared" si="9"/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10"/>
        <v>#REF!</v>
      </c>
      <c s="152"/>
      <c s="344">
        <v>7004</v>
      </c>
    </row>
    <row r="33" ht="28.5">
      <c r="A33" s="344">
        <v>8001</v>
      </c>
      <c s="123" t="str">
        <f ca="1" t="shared" si="0"/>
        <v>Model-FixedSlit</v>
      </c>
      <c s="344" t="e">
        <f t="shared" si="8"/>
        <v>#REF!</v>
      </c>
      <c s="369" t="e">
        <f t="shared" si="9"/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10"/>
        <v>#REF!</v>
      </c>
      <c s="152"/>
      <c s="344">
        <v>8001</v>
      </c>
    </row>
    <row r="34" ht="28.5">
      <c r="A34" s="344">
        <v>8002</v>
      </c>
      <c s="123" t="str">
        <f ca="1" t="shared" si="0"/>
        <v>Model-FixedSlit</v>
      </c>
      <c s="344" t="e">
        <f t="shared" si="8"/>
        <v>#REF!</v>
      </c>
      <c s="369" t="e">
        <f t="shared" si="9"/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10"/>
        <v>#REF!</v>
      </c>
      <c s="152"/>
      <c s="344">
        <v>8002</v>
      </c>
    </row>
    <row r="35" ht="28.5">
      <c r="A35" s="344">
        <v>8003</v>
      </c>
      <c s="123" t="str">
        <f ca="1" t="shared" si="0"/>
        <v>Model-FixedSlit</v>
      </c>
      <c s="344" t="e">
        <f t="shared" si="8"/>
        <v>#REF!</v>
      </c>
      <c s="369" t="e">
        <f t="shared" si="9"/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10"/>
        <v>#REF!</v>
      </c>
      <c s="152"/>
      <c s="344">
        <v>8003</v>
      </c>
    </row>
    <row r="36" ht="28.5">
      <c r="A36" s="120">
        <v>8004</v>
      </c>
      <c s="123" t="str">
        <f ca="1" t="shared" si="0"/>
        <v>Model-FixedSlit</v>
      </c>
      <c s="344" t="e">
        <f t="shared" si="8"/>
        <v>#REF!</v>
      </c>
      <c s="369" t="e">
        <f t="shared" si="9"/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10"/>
        <v>#REF!</v>
      </c>
      <c s="152"/>
      <c s="344">
        <v>8004</v>
      </c>
    </row>
    <row r="37" ht="28.5">
      <c r="A37" s="120">
        <v>9001</v>
      </c>
      <c s="123" t="str">
        <f ca="1" t="shared" si="0"/>
        <v>Model-FixedSlit</v>
      </c>
      <c s="344" t="e">
        <f t="shared" si="8"/>
        <v>#REF!</v>
      </c>
      <c s="369" t="e">
        <f t="shared" si="9"/>
        <v>#REF!</v>
      </c>
      <c s="152"/>
      <c s="152"/>
      <c s="152"/>
      <c s="152">
        <f>Report!$F$5</f>
      </c>
      <c s="115">
        <f ca="1" t="shared" si="1"/>
        <v>45554.62568958333</v>
      </c>
      <c s="152">
        <f>Report!$N$5</f>
      </c>
      <c s="152"/>
      <c s="152">
        <f>Report!$C$6</f>
      </c>
      <c s="152">
        <f>Report!$H$6</f>
      </c>
      <c s="344" t="e">
        <f t="shared" si="10"/>
        <v>#REF!</v>
      </c>
      <c s="152"/>
      <c s="344">
        <v>9001</v>
      </c>
    </row>
    <row r="38" customHeight="1">
      <c r="H38" s="354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S38"/>
  <sheetViews>
    <sheetView topLeftCell="C1" workbookViewId="0" showGridLines="0">
      <pane topLeftCell="A1"/>
      <selection activeCellId="0" activeCell="K41" sqref="K41"/>
    </sheetView>
  </sheetViews>
  <sheetFormatPr defaultColWidth="9" defaultRowHeight="14.25" customHeight="1"/>
  <cols>
    <col min="1" max="1" width="9" style="77"/>
    <col min="2" max="2" width="17.25" customWidth="1" style="77"/>
    <col min="3" max="3" width="29.25" customWidth="1" style="77"/>
    <col min="4" max="4" width="12.38" customWidth="1" style="77"/>
    <col min="5" max="5" width="22.63" customWidth="1" style="78"/>
    <col min="6" max="6" width="9" style="77"/>
    <col min="7" max="7" width="16.88" customWidth="1" style="77"/>
    <col min="8" max="8" width="29.25" customWidth="1" style="77"/>
    <col min="9" max="9" width="12.38" customWidth="1" style="77"/>
    <col min="10" max="10" width="3.75" customWidth="1" style="77"/>
    <col min="11" max="11" width="17.25" customWidth="1" style="77"/>
    <col min="12" max="12" width="16.88" customWidth="1" style="77"/>
    <col min="13" max="13" width="12.38" customWidth="1" style="79"/>
    <col min="14" max="14" width="5.75" customWidth="1" style="77"/>
    <col min="15" max="15" width="11.63" customWidth="1" style="77"/>
    <col min="16" max="16" width="5.75" customWidth="1" style="77"/>
    <col min="17" max="17" width="20.38" customWidth="1" style="77"/>
    <col min="18" max="18" width="14.88" customWidth="1" style="77"/>
    <col min="19" max="20" width="13.88" customWidth="1" style="77"/>
    <col min="21" max="21" width="19" customWidth="1" style="77"/>
    <col min="22" max="22" width="7.5" customWidth="1" style="77"/>
    <col min="23" max="23" width="19.38" customWidth="1" style="77"/>
    <col min="24" max="25" width="13.88" customWidth="1" style="77"/>
    <col min="26" max="26" width="14.88" customWidth="1" style="77"/>
    <col min="27" max="16384" width="9" style="77"/>
  </cols>
  <sheetData>
    <row r="1" customHeight="1">
      <c r="A1" s="110" t="s">
        <v>17</v>
      </c>
      <c s="116"/>
      <c s="116"/>
      <c s="116"/>
      <c s="116"/>
      <c s="116"/>
      <c s="116"/>
      <c s="102"/>
      <c r="M1" s="77"/>
      <c r="O1" s="103"/>
    </row>
    <row r="2" customHeight="1">
      <c r="A2" s="133" t="s">
        <v>5</v>
      </c>
      <c s="133" t="s">
        <v>174</v>
      </c>
      <c s="133" t="s">
        <v>175</v>
      </c>
      <c s="133" t="s">
        <v>176</v>
      </c>
      <c s="133" t="s">
        <v>177</v>
      </c>
      <c s="133" t="s">
        <v>120</v>
      </c>
      <c s="132" t="s">
        <v>178</v>
      </c>
      <c s="133" t="s">
        <v>179</v>
      </c>
      <c r="M2" s="77"/>
      <c r="O2" s="103"/>
    </row>
    <row r="3" customHeight="1">
      <c r="A3" s="111" t="s">
        <v>180</v>
      </c>
      <c s="178">
        <v>1E+3</v>
      </c>
      <c s="111" t="s">
        <v>181</v>
      </c>
      <c s="178">
        <v>1001</v>
      </c>
      <c s="326" t="s">
        <v>25</v>
      </c>
      <c s="91" t="s">
        <v>182</v>
      </c>
      <c s="84">
        <v>0.1</v>
      </c>
      <c s="83">
        <v>0.1</v>
      </c>
      <c r="M3" s="77"/>
      <c r="O3" s="103"/>
    </row>
    <row r="4" customHeight="1">
      <c r="A4" s="111" t="s">
        <v>180</v>
      </c>
      <c s="178">
        <v>1E+3</v>
      </c>
      <c s="111" t="s">
        <v>181</v>
      </c>
      <c s="178">
        <v>1002</v>
      </c>
      <c s="326" t="s">
        <v>25</v>
      </c>
      <c s="178">
        <v>486</v>
      </c>
      <c s="84">
        <v>0.3</v>
      </c>
      <c s="83">
        <v>0.1</v>
      </c>
      <c r="M4" s="77"/>
      <c r="O4" s="103"/>
    </row>
    <row r="5" customHeight="1">
      <c r="A5" s="111" t="s">
        <v>180</v>
      </c>
      <c s="178">
        <v>1E+3</v>
      </c>
      <c s="111" t="s">
        <v>181</v>
      </c>
      <c s="178">
        <v>1003</v>
      </c>
      <c s="326" t="s">
        <v>24</v>
      </c>
      <c s="91" t="s">
        <v>183</v>
      </c>
      <c s="84">
        <v>0.3</v>
      </c>
      <c s="83">
        <v>0.1</v>
      </c>
      <c r="J5" s="88"/>
      <c s="88"/>
      <c s="88"/>
      <c s="88"/>
      <c r="S5" s="104"/>
    </row>
    <row r="6" customHeight="1">
      <c r="A6" s="111" t="s">
        <v>180</v>
      </c>
      <c s="178">
        <v>1E+3</v>
      </c>
      <c s="111" t="s">
        <v>181</v>
      </c>
      <c s="178">
        <v>1008</v>
      </c>
      <c s="326" t="s">
        <v>33</v>
      </c>
      <c s="91" t="s">
        <v>184</v>
      </c>
      <c s="84">
        <v>0.3</v>
      </c>
      <c s="83">
        <v>0.1</v>
      </c>
      <c s="113"/>
      <c s="81"/>
      <c s="81"/>
      <c r="M6" s="77"/>
    </row>
    <row r="7" customHeight="1">
      <c r="A7" s="111" t="s">
        <v>180</v>
      </c>
      <c s="178">
        <v>1E+3</v>
      </c>
      <c s="111" t="s">
        <v>181</v>
      </c>
      <c s="178">
        <v>1009</v>
      </c>
      <c s="326" t="s">
        <v>33</v>
      </c>
      <c s="91" t="s">
        <v>185</v>
      </c>
      <c s="84">
        <v>0.3</v>
      </c>
      <c s="83">
        <v>0.1</v>
      </c>
      <c r="J7" s="81"/>
      <c s="81"/>
      <c r="M7" s="77"/>
    </row>
    <row r="8" customHeight="1">
      <c r="A8" s="111" t="s">
        <v>180</v>
      </c>
      <c s="178">
        <v>1E+3</v>
      </c>
      <c s="111" t="s">
        <v>181</v>
      </c>
      <c s="178">
        <v>1010</v>
      </c>
      <c s="326" t="s">
        <v>33</v>
      </c>
      <c s="91" t="s">
        <v>186</v>
      </c>
      <c s="84">
        <v>0.3</v>
      </c>
      <c s="83">
        <v>0.1</v>
      </c>
      <c r="J8" s="81"/>
      <c s="81"/>
      <c r="M8" s="77"/>
    </row>
    <row r="9" customHeight="1">
      <c r="A9" s="111" t="s">
        <v>180</v>
      </c>
      <c s="178">
        <v>1E+3</v>
      </c>
      <c s="111" t="s">
        <v>181</v>
      </c>
      <c s="178">
        <v>1011</v>
      </c>
      <c s="326" t="s">
        <v>33</v>
      </c>
      <c s="91" t="s">
        <v>187</v>
      </c>
      <c s="84">
        <v>0.3</v>
      </c>
      <c s="83">
        <v>0.1</v>
      </c>
      <c r="J9" s="81"/>
      <c s="81"/>
      <c r="M9" s="77"/>
    </row>
    <row r="10" customHeight="1">
      <c r="A10" s="111" t="s">
        <v>180</v>
      </c>
      <c s="178">
        <v>1E+3</v>
      </c>
      <c s="111" t="s">
        <v>181</v>
      </c>
      <c s="178">
        <v>1012</v>
      </c>
      <c s="326" t="s">
        <v>33</v>
      </c>
      <c s="91" t="s">
        <v>188</v>
      </c>
      <c s="84">
        <v>0.3</v>
      </c>
      <c s="83">
        <v>0.1</v>
      </c>
      <c r="J10" s="81"/>
      <c s="81"/>
      <c r="M10" s="77"/>
    </row>
    <row r="11" customHeight="1">
      <c r="A11" s="111" t="s">
        <v>180</v>
      </c>
      <c s="178">
        <v>1E+3</v>
      </c>
      <c s="111" t="s">
        <v>181</v>
      </c>
      <c s="178">
        <v>1013</v>
      </c>
      <c s="326" t="s">
        <v>33</v>
      </c>
      <c s="91" t="s">
        <v>189</v>
      </c>
      <c s="84">
        <v>0.3</v>
      </c>
      <c s="83">
        <v>0.1</v>
      </c>
      <c r="J11" s="81"/>
      <c s="81"/>
      <c r="M11" s="77"/>
    </row>
    <row r="12" ht="14.25" customHeight="1">
      <c r="A12" s="111" t="s">
        <v>180</v>
      </c>
      <c s="178">
        <v>2E+3</v>
      </c>
      <c s="111" t="s">
        <v>190</v>
      </c>
      <c s="178">
        <v>2001</v>
      </c>
      <c s="326" t="s">
        <v>49</v>
      </c>
      <c s="85" t="s">
        <v>191</v>
      </c>
      <c s="87">
        <v>0.3</v>
      </c>
      <c s="87">
        <v>0.1</v>
      </c>
      <c r="J12" s="81"/>
      <c s="113"/>
      <c r="M12" s="77"/>
    </row>
    <row r="13" ht="28.5">
      <c r="A13" s="111" t="s">
        <v>180</v>
      </c>
      <c s="178">
        <v>2E+3</v>
      </c>
      <c s="111" t="s">
        <v>190</v>
      </c>
      <c s="178">
        <v>2002</v>
      </c>
      <c s="326" t="s">
        <v>49</v>
      </c>
      <c s="85" t="s">
        <v>192</v>
      </c>
      <c s="87">
        <v>0.3</v>
      </c>
      <c s="87">
        <v>0.1</v>
      </c>
      <c r="J13" s="81"/>
      <c s="113"/>
      <c r="M13" s="77"/>
    </row>
    <row r="14" ht="28.5">
      <c r="A14" s="111" t="s">
        <v>180</v>
      </c>
      <c s="178">
        <v>2E+3</v>
      </c>
      <c s="111" t="s">
        <v>190</v>
      </c>
      <c s="178">
        <v>2003</v>
      </c>
      <c s="326" t="s">
        <v>49</v>
      </c>
      <c s="85" t="s">
        <v>193</v>
      </c>
      <c s="87">
        <v>0.3</v>
      </c>
      <c s="87">
        <v>0.1</v>
      </c>
      <c r="J14" s="81"/>
      <c s="113"/>
      <c r="M14" s="77"/>
    </row>
    <row r="15" ht="28.5">
      <c r="A15" s="111" t="s">
        <v>180</v>
      </c>
      <c s="178">
        <v>2E+3</v>
      </c>
      <c s="111" t="s">
        <v>190</v>
      </c>
      <c s="178">
        <v>2004</v>
      </c>
      <c s="326" t="s">
        <v>49</v>
      </c>
      <c s="85" t="s">
        <v>194</v>
      </c>
      <c s="87">
        <v>0.3</v>
      </c>
      <c s="87">
        <v>0.1</v>
      </c>
      <c r="J15" s="81"/>
      <c s="113"/>
      <c r="M15" s="77"/>
    </row>
    <row r="16" customHeight="1">
      <c r="A16" s="111" t="s">
        <v>180</v>
      </c>
      <c s="178">
        <v>2E+3</v>
      </c>
      <c s="111" t="s">
        <v>190</v>
      </c>
      <c s="178">
        <v>2005</v>
      </c>
      <c s="85" t="s">
        <v>39</v>
      </c>
      <c s="85" t="s">
        <v>195</v>
      </c>
      <c s="87">
        <v>0.3</v>
      </c>
      <c s="87">
        <v>0.1</v>
      </c>
      <c r="M16" s="77"/>
    </row>
    <row r="17" customHeight="1">
      <c r="A17" s="111" t="s">
        <v>180</v>
      </c>
      <c s="178">
        <v>2E+3</v>
      </c>
      <c s="111" t="s">
        <v>190</v>
      </c>
      <c s="178">
        <v>2006</v>
      </c>
      <c s="85" t="s">
        <v>39</v>
      </c>
      <c s="85" t="s">
        <v>196</v>
      </c>
      <c s="87">
        <v>0.3</v>
      </c>
      <c s="87">
        <v>0.1</v>
      </c>
      <c r="M17" s="77"/>
    </row>
    <row r="18" customHeight="1">
      <c r="A18" s="111" t="s">
        <v>180</v>
      </c>
      <c s="178">
        <v>2E+3</v>
      </c>
      <c s="111" t="s">
        <v>190</v>
      </c>
      <c s="178">
        <v>2007</v>
      </c>
      <c s="85" t="s">
        <v>39</v>
      </c>
      <c s="85" t="s">
        <v>197</v>
      </c>
      <c s="87">
        <v>0.3</v>
      </c>
      <c s="87">
        <v>0.1</v>
      </c>
      <c r="M18" s="77"/>
    </row>
    <row r="19" customHeight="1">
      <c r="A19" s="111" t="s">
        <v>180</v>
      </c>
      <c s="178">
        <v>2E+3</v>
      </c>
      <c s="111" t="s">
        <v>190</v>
      </c>
      <c s="178">
        <v>2008</v>
      </c>
      <c s="85" t="s">
        <v>45</v>
      </c>
      <c s="85" t="s">
        <v>195</v>
      </c>
      <c s="87">
        <v>0.3</v>
      </c>
      <c s="87">
        <v>0.1</v>
      </c>
      <c r="M19" s="77"/>
    </row>
    <row r="20" customHeight="1">
      <c r="A20" s="111" t="s">
        <v>180</v>
      </c>
      <c s="178">
        <v>2E+3</v>
      </c>
      <c s="111" t="s">
        <v>190</v>
      </c>
      <c s="178">
        <v>2009</v>
      </c>
      <c s="85" t="s">
        <v>45</v>
      </c>
      <c s="85" t="s">
        <v>196</v>
      </c>
      <c s="87">
        <v>0.3</v>
      </c>
      <c s="87">
        <v>0.1</v>
      </c>
      <c r="M20" s="77"/>
    </row>
    <row r="21" customHeight="1">
      <c r="A21" s="111" t="s">
        <v>180</v>
      </c>
      <c s="178">
        <v>2E+3</v>
      </c>
      <c s="111" t="s">
        <v>190</v>
      </c>
      <c s="178">
        <v>2010</v>
      </c>
      <c s="85" t="s">
        <v>45</v>
      </c>
      <c s="85" t="s">
        <v>197</v>
      </c>
      <c s="87">
        <v>0.3</v>
      </c>
      <c s="87">
        <v>0.1</v>
      </c>
      <c r="M21" s="77"/>
    </row>
    <row r="22" customHeight="1">
      <c r="A22" s="111" t="s">
        <v>180</v>
      </c>
      <c s="178">
        <v>2E+3</v>
      </c>
      <c s="111" t="s">
        <v>190</v>
      </c>
      <c s="178">
        <v>2011</v>
      </c>
      <c s="85" t="s">
        <v>47</v>
      </c>
      <c s="85" t="s">
        <v>195</v>
      </c>
      <c s="87">
        <v>0.3</v>
      </c>
      <c s="87">
        <v>0.1</v>
      </c>
      <c r="M22" s="77"/>
    </row>
    <row r="23" customHeight="1">
      <c r="A23" s="111" t="s">
        <v>180</v>
      </c>
      <c s="178">
        <v>2E+3</v>
      </c>
      <c s="111" t="s">
        <v>190</v>
      </c>
      <c s="178">
        <v>2012</v>
      </c>
      <c s="85" t="s">
        <v>47</v>
      </c>
      <c s="85" t="s">
        <v>196</v>
      </c>
      <c s="87">
        <v>0.3</v>
      </c>
      <c s="87">
        <v>0.1</v>
      </c>
      <c r="M23" s="77"/>
    </row>
    <row r="24" customHeight="1">
      <c r="A24" s="111" t="s">
        <v>180</v>
      </c>
      <c s="178">
        <v>2E+3</v>
      </c>
      <c s="111" t="s">
        <v>190</v>
      </c>
      <c s="178">
        <v>2013</v>
      </c>
      <c s="85" t="s">
        <v>47</v>
      </c>
      <c s="85" t="s">
        <v>197</v>
      </c>
      <c s="87">
        <v>0.3</v>
      </c>
      <c s="87">
        <v>0.1</v>
      </c>
      <c r="M24" s="77"/>
    </row>
    <row r="25" customHeight="1">
      <c r="A25" s="111" t="s">
        <v>180</v>
      </c>
      <c s="178">
        <v>3E+3</v>
      </c>
      <c s="111" t="s">
        <v>198</v>
      </c>
      <c s="178">
        <v>3001</v>
      </c>
      <c s="180" t="s">
        <v>56</v>
      </c>
      <c s="89" t="s">
        <v>54</v>
      </c>
      <c s="101">
        <v>0.01</v>
      </c>
      <c s="111"/>
      <c r="M25" s="77"/>
    </row>
    <row r="26" customHeight="1">
      <c r="A26" s="111" t="s">
        <v>180</v>
      </c>
      <c s="178">
        <v>3E+3</v>
      </c>
      <c s="111" t="s">
        <v>198</v>
      </c>
      <c s="178">
        <v>3002</v>
      </c>
      <c s="180" t="s">
        <v>60</v>
      </c>
      <c s="89" t="s">
        <v>58</v>
      </c>
      <c s="101">
        <v>0.02</v>
      </c>
      <c s="111"/>
      <c r="M26" s="77"/>
    </row>
    <row r="27" customHeight="1">
      <c r="A27" s="111" t="s">
        <v>180</v>
      </c>
      <c s="178">
        <v>4E+3</v>
      </c>
      <c s="111" t="s">
        <v>199</v>
      </c>
      <c s="178">
        <v>4001</v>
      </c>
      <c s="180" t="s">
        <v>61</v>
      </c>
      <c s="111"/>
      <c s="93">
        <v>0.0005</v>
      </c>
      <c s="111"/>
      <c r="M27" s="77"/>
    </row>
    <row r="28" customHeight="1">
      <c r="A28" s="111" t="s">
        <v>180</v>
      </c>
      <c s="178">
        <v>5E+3</v>
      </c>
      <c s="111" t="s">
        <v>200</v>
      </c>
      <c s="178">
        <v>5001</v>
      </c>
      <c s="180" t="s">
        <v>64</v>
      </c>
      <c s="111"/>
      <c s="94">
        <v>0.1</v>
      </c>
      <c s="111"/>
      <c r="M28" s="77"/>
    </row>
    <row r="29" customHeight="1">
      <c r="A29" s="111" t="s">
        <v>180</v>
      </c>
      <c s="178">
        <v>6E+3</v>
      </c>
      <c s="111" t="s">
        <v>201</v>
      </c>
      <c s="178">
        <v>6002</v>
      </c>
      <c s="180" t="s">
        <v>69</v>
      </c>
      <c s="92">
        <v>656.1</v>
      </c>
      <c s="95">
        <v>20</v>
      </c>
      <c s="111"/>
      <c r="M29" s="77"/>
    </row>
    <row r="30" customHeight="1">
      <c r="A30" s="111" t="s">
        <v>180</v>
      </c>
      <c s="178">
        <v>7E+3</v>
      </c>
      <c s="111" t="s">
        <v>202</v>
      </c>
      <c s="178">
        <v>7001</v>
      </c>
      <c s="179" t="s">
        <v>203</v>
      </c>
      <c s="109">
        <v>500</v>
      </c>
      <c s="96">
        <v>0.05</v>
      </c>
      <c s="111"/>
      <c r="M30" s="77"/>
    </row>
    <row r="31" customHeight="1">
      <c r="A31" s="111" t="s">
        <v>180</v>
      </c>
      <c s="178">
        <v>7E+3</v>
      </c>
      <c s="111" t="s">
        <v>202</v>
      </c>
      <c s="178">
        <v>7002</v>
      </c>
      <c s="179" t="s">
        <v>204</v>
      </c>
      <c s="109">
        <v>500</v>
      </c>
      <c s="97">
        <v>0.005</v>
      </c>
      <c s="111"/>
      <c r="M31" s="77"/>
    </row>
    <row r="32" customHeight="1">
      <c r="A32" s="111" t="s">
        <v>180</v>
      </c>
      <c s="178">
        <v>7E+3</v>
      </c>
      <c s="111" t="s">
        <v>202</v>
      </c>
      <c s="178">
        <v>7003</v>
      </c>
      <c s="179" t="s">
        <v>205</v>
      </c>
      <c s="109">
        <v>250</v>
      </c>
      <c s="96">
        <v>0.05</v>
      </c>
      <c s="111"/>
      <c r="M32" s="77"/>
    </row>
    <row r="33" customHeight="1">
      <c r="A33" s="111" t="s">
        <v>180</v>
      </c>
      <c s="178">
        <v>7E+3</v>
      </c>
      <c s="111" t="s">
        <v>202</v>
      </c>
      <c s="178">
        <v>7004</v>
      </c>
      <c s="179" t="s">
        <v>206</v>
      </c>
      <c s="109">
        <v>250</v>
      </c>
      <c s="97">
        <v>0.005</v>
      </c>
      <c s="111"/>
      <c r="M33" s="77"/>
    </row>
    <row r="34" customHeight="1">
      <c r="A34" s="111" t="s">
        <v>180</v>
      </c>
      <c s="178">
        <v>8E+3</v>
      </c>
      <c s="111" t="s">
        <v>207</v>
      </c>
      <c s="178">
        <v>8001</v>
      </c>
      <c s="179" t="s">
        <v>208</v>
      </c>
      <c s="109">
        <v>1090</v>
      </c>
      <c s="99">
        <v>0.1</v>
      </c>
      <c s="111"/>
      <c r="M34" s="77"/>
    </row>
    <row r="35" customHeight="1">
      <c r="A35" s="111" t="s">
        <v>180</v>
      </c>
      <c s="178">
        <v>8E+3</v>
      </c>
      <c s="111" t="s">
        <v>207</v>
      </c>
      <c s="178">
        <v>8002</v>
      </c>
      <c s="179" t="s">
        <v>209</v>
      </c>
      <c s="109">
        <v>1090</v>
      </c>
      <c s="96">
        <v>0.02</v>
      </c>
      <c s="111"/>
      <c r="M35" s="77"/>
    </row>
    <row r="36" customHeight="1">
      <c r="A36" s="111" t="s">
        <v>180</v>
      </c>
      <c s="178">
        <v>8E+3</v>
      </c>
      <c s="111" t="s">
        <v>207</v>
      </c>
      <c s="178">
        <v>8003</v>
      </c>
      <c s="179" t="s">
        <v>210</v>
      </c>
      <c s="109">
        <v>200</v>
      </c>
      <c s="99">
        <v>0.1</v>
      </c>
      <c s="111"/>
      <c r="M36" s="77"/>
    </row>
    <row r="37" customHeight="1">
      <c r="A37" s="111" t="s">
        <v>180</v>
      </c>
      <c s="158">
        <v>8E+3</v>
      </c>
      <c s="376" t="s">
        <v>207</v>
      </c>
      <c s="158">
        <v>8004</v>
      </c>
      <c s="90" t="s">
        <v>211</v>
      </c>
      <c s="109">
        <v>200</v>
      </c>
      <c s="96">
        <v>0.02</v>
      </c>
      <c s="376"/>
      <c r="M37" s="77"/>
    </row>
    <row r="38" customHeight="1">
      <c r="A38" s="111" t="s">
        <v>180</v>
      </c>
      <c s="158">
        <v>9E+3</v>
      </c>
      <c s="376" t="s">
        <v>212</v>
      </c>
      <c s="158">
        <v>9001</v>
      </c>
      <c s="180" t="s">
        <v>212</v>
      </c>
      <c s="90" t="s">
        <v>213</v>
      </c>
      <c s="98">
        <v>0.1</v>
      </c>
      <c s="376"/>
      <c r="M38" s="77"/>
    </row>
  </sheetData>
  <mergeCells>
    <mergeCell ref="A1:H1"/>
  </mergeCells>
  <printOptions/>
  <pageMargins left="0.7" right="0.7" top="0.75" bottom="0.75" header="0.3" footer="0.3"/>
  <pageSetup paperSize="9" firstPageNumber="4294963191" copies="0"/>
  <headerFooter/>
  <extLst/>
</worksheet>
</file>

<file path=xl/worksheets/sheet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1"/>
  <sheetViews>
    <sheetView topLeftCell="A1" workbookViewId="0">
      <pane topLeftCell="A1"/>
      <selection activeCellId="0" activeCell="A6" sqref="A6"/>
    </sheetView>
  </sheetViews>
  <sheetFormatPr defaultColWidth="9" defaultRowHeight="14.25" customHeight="1"/>
  <cols>
    <col min="1" max="1" width="10.13" customWidth="1" style="73"/>
    <col min="2" max="2" width="12.5" customWidth="1" style="73"/>
    <col min="3" max="3" width="9" style="147"/>
    <col min="4" max="4" width="29.25" customWidth="1" style="147"/>
    <col min="5" max="5" width="12.38" customWidth="1" style="147"/>
    <col min="6" max="6" width="9" customWidth="1" style="147"/>
    <col min="7" max="16384" width="9" style="147"/>
  </cols>
  <sheetData>
    <row r="1" customHeight="1">
      <c r="A1" s="327" t="s">
        <v>6</v>
      </c>
      <c s="327" t="s">
        <v>5</v>
      </c>
      <c r="D1" s="75" t="s">
        <v>175</v>
      </c>
      <c s="75" t="s">
        <v>174</v>
      </c>
    </row>
    <row r="2" customHeight="1">
      <c r="A2" s="130" t="s">
        <v>214</v>
      </c>
      <c s="130" t="s">
        <v>215</v>
      </c>
      <c r="D2" s="111" t="s">
        <v>181</v>
      </c>
      <c s="178">
        <v>1E+3</v>
      </c>
    </row>
    <row r="3" customHeight="1">
      <c r="A3" s="130" t="s">
        <v>216</v>
      </c>
      <c s="130" t="s">
        <v>217</v>
      </c>
      <c r="D3" s="111" t="s">
        <v>190</v>
      </c>
      <c s="178">
        <v>2E+3</v>
      </c>
    </row>
    <row r="4" customHeight="1">
      <c r="A4" s="130" t="s">
        <v>218</v>
      </c>
      <c s="130" t="s">
        <v>219</v>
      </c>
      <c r="D4" s="111" t="s">
        <v>198</v>
      </c>
      <c s="178">
        <v>3E+3</v>
      </c>
    </row>
    <row r="5" customHeight="1">
      <c r="A5" s="130" t="s">
        <v>220</v>
      </c>
      <c s="130" t="s">
        <v>221</v>
      </c>
      <c r="D5" s="111" t="s">
        <v>199</v>
      </c>
      <c s="178">
        <v>4E+3</v>
      </c>
    </row>
    <row r="6" customHeight="1">
      <c r="A6" s="130" t="s">
        <v>222</v>
      </c>
      <c s="130" t="s">
        <v>223</v>
      </c>
      <c r="D6" s="111" t="s">
        <v>200</v>
      </c>
      <c s="178">
        <v>5E+3</v>
      </c>
    </row>
    <row r="7" customHeight="1">
      <c r="A7" s="130" t="s">
        <v>224</v>
      </c>
      <c s="130" t="s">
        <v>225</v>
      </c>
      <c r="D7" s="111" t="s">
        <v>201</v>
      </c>
      <c s="178">
        <v>6E+3</v>
      </c>
    </row>
    <row r="8" customHeight="1">
      <c r="A8" s="130" t="s">
        <v>226</v>
      </c>
      <c s="130" t="s">
        <v>180</v>
      </c>
      <c r="D8" s="111" t="s">
        <v>202</v>
      </c>
      <c s="178">
        <v>7E+3</v>
      </c>
    </row>
    <row r="9" customHeight="1">
      <c r="A9" s="100" t="s">
        <v>227</v>
      </c>
      <c s="100" t="s">
        <v>228</v>
      </c>
      <c r="D9" s="376" t="s">
        <v>207</v>
      </c>
      <c s="158">
        <v>8E+3</v>
      </c>
    </row>
    <row r="10" customHeight="1">
      <c r="A10" s="359"/>
      <c s="359"/>
      <c r="D10" s="376" t="s">
        <v>212</v>
      </c>
      <c s="158">
        <v>9E+3</v>
      </c>
    </row>
    <row r="11" customHeight="1">
      <c r="A11" s="359"/>
      <c s="359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AD29"/>
  <sheetViews>
    <sheetView topLeftCell="A1" tabSelected="1" workbookViewId="0" showGridLines="0">
      <pane topLeftCell="A1"/>
      <selection activeCellId="0" activeCell="C8" sqref="A1:XFD1048576"/>
    </sheetView>
  </sheetViews>
  <sheetFormatPr defaultColWidth="8.88" defaultRowHeight="14.25" customHeight="1"/>
  <cols>
    <col min="1" max="1" width="29.25" customWidth="1" style="48"/>
    <col min="2" max="2" width="18.38" customWidth="1" style="47"/>
    <col min="3" max="3" width="21.5" customWidth="1" style="47"/>
    <col min="4" max="4" width="40" customWidth="1" style="47"/>
    <col min="5" max="5" width="46.5" customWidth="1" style="47"/>
    <col min="6" max="6" width="8.88" style="47"/>
    <col min="7" max="7" width="10.5" customWidth="1" style="47"/>
    <col min="8" max="8" width="20.13" customWidth="1" style="47"/>
    <col min="9" max="9" width="79.5" customWidth="1" hidden="1" style="47"/>
    <col min="10" max="10" width="15.38" customWidth="1" style="47"/>
    <col min="11" max="11" width="11.5" customWidth="1" style="47"/>
    <col min="12" max="12" width="9.63" customWidth="1" style="47"/>
    <col min="13" max="13" width="8.5" customWidth="1" style="47"/>
    <col min="14" max="14" width="9.88" customWidth="1" style="47"/>
    <col min="15" max="15" width="10" customWidth="1" style="47"/>
    <col min="16" max="16" width="9.63" customWidth="1" style="47"/>
    <col min="17" max="17" width="8.5" customWidth="1" style="47"/>
    <col min="18" max="18" width="9.13" customWidth="1" style="47"/>
    <col min="19" max="19" width="9.5" customWidth="1" style="47"/>
    <col min="20" max="21" width="9.63" customWidth="1" style="47"/>
    <col min="22" max="22" width="18" customWidth="1" style="47"/>
    <col min="23" max="23" width="12.38" customWidth="1" style="47"/>
    <col min="24" max="24" width="18.5" customWidth="1" style="47"/>
    <col min="25" max="25" width="19.38" customWidth="1" style="47"/>
    <col min="26" max="26" width="15.13" customWidth="1" hidden="1" style="49"/>
    <col min="27" max="27" width="21.25" customWidth="1" style="49"/>
    <col min="28" max="28" width="17.25" customWidth="1" style="50"/>
    <col min="29" max="16384" width="8.88" style="47"/>
  </cols>
  <sheetData>
    <row r="1" ht="40.5" customFormat="1" s="59">
      <c r="A1" s="76" t="s">
        <v>229</v>
      </c>
      <c s="76" t="s">
        <v>230</v>
      </c>
      <c s="76" t="s">
        <v>231</v>
      </c>
      <c s="76" t="s">
        <v>232</v>
      </c>
      <c s="76" t="s">
        <v>233</v>
      </c>
      <c s="76" t="s">
        <v>128</v>
      </c>
      <c s="76" t="s">
        <v>234</v>
      </c>
      <c s="76" t="s">
        <v>120</v>
      </c>
      <c s="327" t="s">
        <v>235</v>
      </c>
      <c s="76" t="s">
        <v>235</v>
      </c>
      <c s="61" t="s">
        <v>123</v>
      </c>
      <c s="61" t="s">
        <v>236</v>
      </c>
      <c s="61" t="s">
        <v>126</v>
      </c>
      <c s="61" t="s">
        <v>237</v>
      </c>
      <c s="61" t="s">
        <v>238</v>
      </c>
      <c s="61" t="s">
        <v>239</v>
      </c>
      <c s="61" t="s">
        <v>131</v>
      </c>
      <c s="61" t="s">
        <v>66</v>
      </c>
      <c s="61" t="s">
        <v>240</v>
      </c>
      <c s="61" t="s">
        <v>241</v>
      </c>
      <c s="61" t="s">
        <v>132</v>
      </c>
      <c s="76" t="s">
        <v>122</v>
      </c>
      <c s="76" t="s">
        <v>242</v>
      </c>
      <c s="76" t="s">
        <v>243</v>
      </c>
      <c s="76" t="s">
        <v>244</v>
      </c>
      <c s="76" t="s">
        <v>174</v>
      </c>
      <c s="76" t="s">
        <v>176</v>
      </c>
      <c s="56" t="s">
        <v>121</v>
      </c>
    </row>
    <row r="2" ht="44.25" customHeight="1" customFormat="1" s="47">
      <c r="A2" s="74" t="s">
        <v>245</v>
      </c>
      <c s="197" t="s">
        <v>25</v>
      </c>
      <c s="434"/>
      <c s="74" t="str">
        <f>_xlfn.SINGLE(IF(L2="","",'[1]字段对应'!$B$10&amp;"="&amp;VLOOKUP(L2,'[1]基础信息'!$I$2:$J$6,2,0)&amp;";"))&amp;_xlfn.SINGLE(IF(M2="","",'[1]字段对应'!$B$11&amp;"="&amp;VLOOKUP(M2,'[1]基础信息'!$K$2:$L$6,2,0)&amp;";"))&amp;_xlfn.SINGLE(IF(N2="","",'[1]字段对应'!$C$2&amp;"="&amp;N2&amp;","&amp;O2&amp;","&amp;P2&amp;";"))&amp;_xlfn.SINGLE(IF(Q2="","",'[1]字段对应'!$B$13&amp;"="&amp;Q2&amp;";"))&amp;_xlfn.SINGLE(IF(R2="","",'[1]字段对应'!$B$14&amp;"="&amp;R2&amp;";"))&amp;_xlfn.SINGLE(IF(U2="","",'[1]字段对应'!$B$22&amp;"="&amp;U2&amp;";"))&amp;_xlfn.SINGLE(IF(K2="","",'[1]字段对应'!$B$21&amp;"="&amp;VLOOKUP(K2,'[1]基础信息'!$F$2:$G$4,2,0)))</f>
        <v>PhotoMode=2;ScanSpeed=2;WlRange=660,480,0.1;Gain=4;Slit1=2.0;LampPos=1</v>
      </c>
      <c s="74" t="str">
        <f>_xlfn.SINGLE(IF(W2="","",'[1]检测项信息'!W2&amp;":"&amp;'[1]字段对应'!$B$16&amp;"|"))&amp;IF(X2="","",X2&amp;":"&amp;IF(V2="是",'[1]字段对应'!$C$17,'[1]字段对应'!$B$17&amp;";"&amp;_xlfn.SINGLE(IF(H2="","",'[1]字段对应'!$B$15&amp;"="&amp;'[1]检测项信息'!H2)))&amp;"|")&amp;_xlfn.SINGLE(IF(Y2="",":",Y2&amp;":"))&amp;IF(V2="是",'[1]字段对应'!$C$18,'[1]字段对应'!$B$18&amp;";"&amp;_xlfn.SINGLE(IF(H2="","",'[1]字段对应'!$B$15&amp;"="&amp;'[1]检测项信息'!H2))&amp;_xlfn.SINGLE(IF(AND(T2="",S2=""),"",";"&amp;'[1]字段对应'!$B$20&amp;"="&amp;T2&amp;";"&amp;'[1]字段对应'!$B$19&amp;"="&amp;S2)))</f>
        <v>空气:Scan</v>
      </c>
      <c s="60">
        <v>1</v>
      </c>
      <c s="74"/>
      <c s="435" t="s">
        <v>246</v>
      </c>
      <c s="74" t="str">
        <f>VLOOKUP(J2,'[1]字段对应'!$D$2:$E$8,2,0)</f>
        <v>Validation.ViewModel.DataStructure.FindPeakAndAverageUVTestTool</v>
      </c>
      <c s="74" t="s">
        <v>247</v>
      </c>
      <c s="53" t="s">
        <v>25</v>
      </c>
      <c s="53" t="s">
        <v>145</v>
      </c>
      <c s="53" t="s">
        <v>146</v>
      </c>
      <c s="436">
        <v>660</v>
      </c>
      <c s="436">
        <v>480</v>
      </c>
      <c s="436">
        <v>0.1</v>
      </c>
      <c s="436">
        <v>4</v>
      </c>
      <c s="53" t="s">
        <v>151</v>
      </c>
      <c s="53"/>
      <c s="53"/>
      <c s="53"/>
      <c s="74" t="s">
        <v>133</v>
      </c>
      <c s="74"/>
      <c s="74"/>
      <c s="74" t="s">
        <v>248</v>
      </c>
      <c s="60" t="e">
        <f>VLOOKUP(A2,'[1]对应信息'!$D$2:$E$10,2,0)</f>
        <v>#N/A</v>
      </c>
      <c s="60" t="e">
        <f ref="AA2:AA9" t="shared" si="0">IF(Z1=Z2,AA1+1,Z2+1)</f>
        <v>#N/A</v>
      </c>
      <c s="68"/>
    </row>
    <row r="3" ht="44.25" customHeight="1" customFormat="1" s="47">
      <c r="A3" s="74" t="s">
        <v>245</v>
      </c>
      <c s="197" t="s">
        <v>144</v>
      </c>
      <c s="434"/>
      <c s="74" t="str">
        <f>_xlfn.SINGLE(IF(L3="","",'[1]字段对应'!$B$10&amp;"="&amp;VLOOKUP(L3,'[1]基础信息'!$I$2:$J$6,2,0)&amp;";"))&amp;_xlfn.SINGLE(IF(M3="","",'[1]字段对应'!$B$11&amp;"="&amp;VLOOKUP(M3,'[1]基础信息'!$K$2:$L$6,2,0)&amp;";"))&amp;_xlfn.SINGLE(IF(N3="","",'[1]字段对应'!$C$2&amp;"="&amp;N3&amp;","&amp;O3&amp;","&amp;P3&amp;";"))&amp;_xlfn.SINGLE(IF(Q3="","",'[1]字段对应'!$B$13&amp;"="&amp;Q3&amp;";"))&amp;_xlfn.SINGLE(IF(R3="","",'[1]字段对应'!$B$14&amp;"="&amp;R3&amp;";"))&amp;_xlfn.SINGLE(IF(U3="","",'[1]字段对应'!$B$22&amp;"="&amp;U3&amp;";"))&amp;_xlfn.SINGLE(IF(K3="","",'[1]字段对应'!$B$21&amp;"="&amp;VLOOKUP(K3,'[1]基础信息'!$F$2:$G$4,2,0)))</f>
        <v>PhotoMode=2;ScanSpeed=2;WlRange=550,290,0.1;Gain=3;Slit1=2.0;LampPos=2</v>
      </c>
      <c s="74" t="str">
        <f>_xlfn.SINGLE(IF(W3="","",'[1]检测项信息'!W3&amp;":"&amp;'[1]字段对应'!$B$16&amp;"|"))&amp;IF(X3="","",X3&amp;":"&amp;IF(V3="是",'[1]字段对应'!$C$17,'[1]字段对应'!$B$17&amp;";"&amp;_xlfn.SINGLE(IF(H3="","",'[1]字段对应'!$B$15&amp;"="&amp;'[1]检测项信息'!H3)))&amp;"|")&amp;_xlfn.SINGLE(IF(Y3="",":",Y3&amp;":"))&amp;IF(V3="是",'[1]字段对应'!$C$18,'[1]字段对应'!$B$18&amp;";"&amp;_xlfn.SINGLE(IF(H3="","",'[1]字段对应'!$B$15&amp;"="&amp;'[1]检测项信息'!H3))&amp;_xlfn.SINGLE(IF(AND(T3="",S3=""),"",";"&amp;'[1]字段对应'!$B$20&amp;"="&amp;T3&amp;";"&amp;'[1]字段对应'!$B$19&amp;"="&amp;S3)))</f>
        <v>空气:Scan</v>
      </c>
      <c s="60">
        <v>1</v>
      </c>
      <c s="74"/>
      <c s="197" t="s">
        <v>249</v>
      </c>
      <c s="74" t="str">
        <f>VLOOKUP(J3,'[1]字段对应'!$D$2:$E$8,2,0)</f>
        <v>Validation.ViewModel.DataStructure.FindPeakAndAverageUVTestTool</v>
      </c>
      <c s="74" t="s">
        <v>247</v>
      </c>
      <c s="53" t="s">
        <v>144</v>
      </c>
      <c s="53" t="s">
        <v>145</v>
      </c>
      <c s="53" t="s">
        <v>146</v>
      </c>
      <c s="436">
        <v>550</v>
      </c>
      <c s="436">
        <v>290</v>
      </c>
      <c s="436">
        <v>0.1</v>
      </c>
      <c s="436">
        <v>3</v>
      </c>
      <c s="53" t="s">
        <v>151</v>
      </c>
      <c s="53"/>
      <c s="53"/>
      <c s="53"/>
      <c s="74" t="s">
        <v>133</v>
      </c>
      <c s="74"/>
      <c s="74"/>
      <c s="74" t="s">
        <v>248</v>
      </c>
      <c s="60" t="e">
        <f>VLOOKUP(A3,'[1]对应信息'!$D$2:$E$10,2,0)</f>
        <v>#N/A</v>
      </c>
      <c s="60" t="e">
        <f t="shared" si="0"/>
        <v>#N/A</v>
      </c>
      <c s="68"/>
    </row>
    <row r="4" ht="46.5" customHeight="1" customFormat="1" s="47">
      <c r="A4" s="74" t="s">
        <v>245</v>
      </c>
      <c s="74" t="s">
        <v>24</v>
      </c>
      <c s="74"/>
      <c s="74" t="str">
        <f>_xlfn.SINGLE(IF(L4="","",'[1]字段对应'!$B$10&amp;"="&amp;VLOOKUP(L4,'[1]基础信息'!$I$2:$J$6,2,0)&amp;";"))&amp;_xlfn.SINGLE(IF(M4="","",'[1]字段对应'!$B$11&amp;"="&amp;VLOOKUP(M4,'[1]基础信息'!$K$2:$L$6,2,0)&amp;";"))&amp;_xlfn.SINGLE(IF(N4="","",'[1]字段对应'!$C$2&amp;"="&amp;N4&amp;","&amp;O4&amp;","&amp;P4&amp;";"))&amp;_xlfn.SINGLE(IF(Q4="","",'[1]字段对应'!$B$13&amp;"="&amp;Q4&amp;";"))&amp;_xlfn.SINGLE(IF(R4="","",'[1]字段对应'!$B$14&amp;"="&amp;R4&amp;";"))&amp;_xlfn.SINGLE(IF(U4="","",'[1]字段对应'!$B$22&amp;"="&amp;U4&amp;";"))&amp;_xlfn.SINGLE(IF(K4="","",'[1]字段对应'!$B$21&amp;"="&amp;VLOOKUP(K4,'[1]基础信息'!$F$2:$G$4,2,0)))</f>
        <v>PhotoMode=0;ScanSpeed=2;WlRange=810,800,0.1;Slit1=2.0;</v>
      </c>
      <c s="74" t="str">
        <f>_xlfn.SINGLE(IF(W4="","",'[1]检测项信息'!W4&amp;":"&amp;'[1]字段对应'!$B$16&amp;"|"))&amp;IF(X4="","",X4&amp;":"&amp;IF(V4="是",'[1]字段对应'!$C$17,'[1]字段对应'!$B$17&amp;";"&amp;_xlfn.SINGLE(IF(H4="","",'[1]字段对应'!$B$15&amp;"="&amp;'[1]检测项信息'!H4)))&amp;"|")&amp;_xlfn.SINGLE(IF(Y4="",":",Y4&amp;":"))&amp;IF(V4="是",'[1]字段对应'!$C$18,'[1]字段对应'!$B$18&amp;";"&amp;_xlfn.SINGLE(IF(H4="","",'[1]字段对应'!$B$15&amp;"="&amp;'[1]检测项信息'!H4))&amp;_xlfn.SINGLE(IF(AND(T4="",S4=""),"",";"&amp;'[1]字段对应'!$B$20&amp;"="&amp;T4&amp;";"&amp;'[1]字段对应'!$B$19&amp;"="&amp;S4)))</f>
        <v>黑挡块:Dark|空气:BaseLine|镨钕滤光片:Scan</v>
      </c>
      <c s="60">
        <v>1</v>
      </c>
      <c s="74"/>
      <c s="74" t="s">
        <v>183</v>
      </c>
      <c s="74" t="str">
        <f>VLOOKUP(J4,'[1]字段对应'!$D$2:$E$8,2,0)</f>
        <v>Validation.ViewModel.DataStructure.FindPeakAndAverageUVTestTool</v>
      </c>
      <c s="74" t="s">
        <v>247</v>
      </c>
      <c s="53"/>
      <c s="53" t="s">
        <v>135</v>
      </c>
      <c s="53" t="s">
        <v>146</v>
      </c>
      <c s="436">
        <v>810</v>
      </c>
      <c s="436">
        <v>800</v>
      </c>
      <c s="436">
        <v>0.1</v>
      </c>
      <c s="53"/>
      <c s="53" t="s">
        <v>151</v>
      </c>
      <c s="53"/>
      <c s="53"/>
      <c s="53"/>
      <c s="74" t="s">
        <v>133</v>
      </c>
      <c s="74" t="s">
        <v>250</v>
      </c>
      <c s="74" t="s">
        <v>248</v>
      </c>
      <c s="74" t="s">
        <v>24</v>
      </c>
      <c s="60" t="e">
        <f>VLOOKUP(A4,'[1]对应信息'!$D$2:$E$10,2,0)</f>
        <v>#N/A</v>
      </c>
      <c s="60" t="e">
        <f t="shared" si="0"/>
        <v>#N/A</v>
      </c>
      <c s="68"/>
    </row>
    <row r="5" ht="44.25" customHeight="1" customFormat="1" s="47">
      <c r="A5" s="74" t="s">
        <v>245</v>
      </c>
      <c s="197" t="s">
        <v>33</v>
      </c>
      <c s="74"/>
      <c s="74" t="str">
        <f>_xlfn.SINGLE(IF(L5="","",'[1]字段对应'!$B$10&amp;"="&amp;VLOOKUP(L5,'[1]基础信息'!$I$2:$J$6,2,0)&amp;";"))&amp;_xlfn.SINGLE(IF(M5="","",'[1]字段对应'!$B$11&amp;"="&amp;VLOOKUP(M5,'[1]基础信息'!$K$2:$L$6,2,0)&amp;";"))&amp;_xlfn.SINGLE(IF(N5="","",'[1]字段对应'!$C$2&amp;"="&amp;N5&amp;","&amp;O5&amp;","&amp;P5&amp;";"))&amp;_xlfn.SINGLE(IF(Q5="","",'[1]字段对应'!$B$13&amp;"="&amp;Q5&amp;";"))&amp;_xlfn.SINGLE(IF(R5="","",'[1]字段对应'!$B$14&amp;"="&amp;R5&amp;";"))&amp;_xlfn.SINGLE(IF(U5="","",'[1]字段对应'!$B$22&amp;"="&amp;U5&amp;";"))&amp;_xlfn.SINGLE(IF(K5="","",'[1]字段对应'!$B$21&amp;"="&amp;VLOOKUP(K5,'[1]基础信息'!$F$2:$G$4,2,0)))</f>
        <v>PhotoMode=0;ScanSpeed=2;WlRange=645,235,0.1;Slit1=2.0;</v>
      </c>
      <c s="74" t="str">
        <f>_xlfn.SINGLE(IF(W5="","",'[1]检测项信息'!W5&amp;":"&amp;'[1]字段对应'!$B$16&amp;"|"))&amp;IF(X5="","",X5&amp;":"&amp;IF(V5="是",'[1]字段对应'!$C$17,'[1]字段对应'!$B$17&amp;";"&amp;_xlfn.SINGLE(IF(H5="","",'[1]字段对应'!$B$15&amp;"="&amp;'[1]检测项信息'!H5)))&amp;"|")&amp;_xlfn.SINGLE(IF(Y5="",":",Y5&amp;":"))&amp;IF(V5="是",'[1]字段对应'!$C$18,'[1]字段对应'!$B$18&amp;";"&amp;_xlfn.SINGLE(IF(H5="","",'[1]字段对应'!$B$15&amp;"="&amp;'[1]检测项信息'!H5))&amp;_xlfn.SINGLE(IF(AND(T5="",S5=""),"",";"&amp;'[1]字段对应'!$B$20&amp;"="&amp;T5&amp;";"&amp;'[1]字段对应'!$B$19&amp;"="&amp;S5)))</f>
        <v>黑挡块:Dark|空气:BaseLine|钬溶液:Scan</v>
      </c>
      <c s="60">
        <v>1</v>
      </c>
      <c s="74"/>
      <c s="197" t="s">
        <v>251</v>
      </c>
      <c s="74" t="str">
        <f>VLOOKUP(J5,'[1]字段对应'!$D$2:$E$8,2,0)</f>
        <v>Validation.ViewModel.DataStructure.FindPeakAndAverageUVTestTool</v>
      </c>
      <c s="74" t="s">
        <v>247</v>
      </c>
      <c s="55"/>
      <c s="53" t="s">
        <v>135</v>
      </c>
      <c s="53" t="s">
        <v>146</v>
      </c>
      <c s="436">
        <v>645</v>
      </c>
      <c s="436">
        <v>235</v>
      </c>
      <c s="436">
        <v>0.1</v>
      </c>
      <c s="53"/>
      <c s="53" t="s">
        <v>151</v>
      </c>
      <c s="53"/>
      <c s="53"/>
      <c s="53"/>
      <c s="74" t="s">
        <v>133</v>
      </c>
      <c s="74" t="s">
        <v>250</v>
      </c>
      <c s="74" t="s">
        <v>248</v>
      </c>
      <c s="74" t="s">
        <v>33</v>
      </c>
      <c s="60" t="e">
        <f>VLOOKUP(A5,'[1]对应信息'!$D$2:$E$10,2,0)</f>
        <v>#N/A</v>
      </c>
      <c s="60" t="e">
        <f t="shared" si="0"/>
        <v>#N/A</v>
      </c>
      <c s="68"/>
    </row>
    <row r="6" ht="28.5" customFormat="1" s="47">
      <c r="A6" s="74" t="s">
        <v>252</v>
      </c>
      <c s="197" t="s">
        <v>253</v>
      </c>
      <c s="74"/>
      <c s="74" t="str">
        <f>_xlfn.SINGLE(IF(L6="","",'[1]字段对应'!$B$10&amp;"="&amp;VLOOKUP(L6,'[1]基础信息'!$I$2:$J$6,2,0)&amp;";"))&amp;_xlfn.SINGLE(IF(M6="","",'[1]字段对应'!$B$11&amp;"="&amp;VLOOKUP(M6,'[1]基础信息'!$K$2:$L$6,2,0)&amp;";"))&amp;_xlfn.SINGLE(IF(N6="","",'[1]字段对应'!$C$2&amp;"="&amp;N6&amp;","&amp;O6&amp;","&amp;P6&amp;";"))&amp;_xlfn.SINGLE(IF(Q6="","",'[1]字段对应'!$B$13&amp;"="&amp;Q6&amp;";"))&amp;_xlfn.SINGLE(IF(R6="","",'[1]字段对应'!$B$14&amp;"="&amp;R6&amp;";"))&amp;_xlfn.SINGLE(IF(U6="","",'[1]字段对应'!$B$22&amp;"="&amp;U6&amp;";"))&amp;_xlfn.SINGLE(IF(K6="","",'[1]字段对应'!$B$21&amp;"="&amp;VLOOKUP(K6,'[1]基础信息'!$F$2:$G$4,2,0)))</f>
        <v>PhotoMode=1;ScanSpeed=2;WlRange=660,650,0.1;Slit1=2.0;LampPos=1</v>
      </c>
      <c s="74" t="str">
        <f>_xlfn.SINGLE(IF(W6="","",'[1]检测项信息'!W6&amp;":"&amp;'[1]字段对应'!$B$16&amp;"|"))&amp;IF(X6="","",X6&amp;":"&amp;IF(V6="是",'[1]字段对应'!$C$17,'[1]字段对应'!$B$17&amp;";"&amp;_xlfn.SINGLE(IF(H6="","",'[1]字段对应'!$B$15&amp;"="&amp;'[1]检测项信息'!H6)))&amp;"|")&amp;_xlfn.SINGLE(IF(Y6="",":",Y6&amp;":"))&amp;IF(V6="是",'[1]字段对应'!$C$18,'[1]字段对应'!$B$18&amp;";"&amp;_xlfn.SINGLE(IF(H6="","",'[1]字段对应'!$B$15&amp;"="&amp;'[1]检测项信息'!H6))&amp;_xlfn.SINGLE(IF(AND(T6="",S6=""),"",";"&amp;'[1]字段对应'!$B$20&amp;"="&amp;T6&amp;";"&amp;'[1]字段对应'!$B$19&amp;"="&amp;S6)))</f>
        <v>空气:Scan</v>
      </c>
      <c s="60">
        <v>1</v>
      </c>
      <c s="74"/>
      <c s="60">
        <v>656.1</v>
      </c>
      <c s="74" t="str">
        <f>VLOOKUP(J6,'[1]字段对应'!$D$2:$E$8,2,0)</f>
        <v>Validation.ViewModel.DataStructure.FindMaxOffsetUVTestTool</v>
      </c>
      <c s="74" t="s">
        <v>254</v>
      </c>
      <c s="53" t="s">
        <v>25</v>
      </c>
      <c s="53" t="s">
        <v>140</v>
      </c>
      <c s="53" t="s">
        <v>146</v>
      </c>
      <c s="436">
        <v>660</v>
      </c>
      <c s="436">
        <v>650</v>
      </c>
      <c s="436">
        <v>0.1</v>
      </c>
      <c s="53"/>
      <c s="53" t="s">
        <v>151</v>
      </c>
      <c s="53"/>
      <c s="53"/>
      <c s="53"/>
      <c s="74" t="s">
        <v>133</v>
      </c>
      <c s="74"/>
      <c s="74"/>
      <c s="74" t="s">
        <v>248</v>
      </c>
      <c s="60" t="e">
        <f>VLOOKUP(A6,'[1]对应信息'!$D$2:$E$10,2,0)</f>
        <v>#N/A</v>
      </c>
      <c s="60" t="e">
        <f t="shared" si="0"/>
        <v>#N/A</v>
      </c>
      <c s="105" t="s">
        <v>151</v>
      </c>
    </row>
    <row r="7" ht="28.5" customFormat="1" s="47">
      <c r="A7" s="74" t="s">
        <v>255</v>
      </c>
      <c s="317" t="s">
        <v>256</v>
      </c>
      <c s="74"/>
      <c s="74" t="str">
        <f>_xlfn.SINGLE(IF(L7="","",'[1]字段对应'!$B$10&amp;"="&amp;VLOOKUP(L7,'[1]基础信息'!$I$2:$J$6,2,0)&amp;";"))&amp;_xlfn.SINGLE(IF(M7="","",'[1]字段对应'!$B$11&amp;"="&amp;VLOOKUP(M7,'[1]基础信息'!$K$2:$L$6,2,0)&amp;";"))&amp;_xlfn.SINGLE(IF(N7="","",'[1]字段对应'!$C$2&amp;"="&amp;N7&amp;","&amp;O7&amp;","&amp;P7&amp;";"))&amp;_xlfn.SINGLE(IF(Q7="","",'[1]字段对应'!$B$13&amp;"="&amp;Q7&amp;";"))&amp;_xlfn.SINGLE(IF(R7="","",'[1]字段对应'!$B$14&amp;"="&amp;R7&amp;";"))&amp;_xlfn.SINGLE(IF(U7="","",'[1]字段对应'!$B$22&amp;"="&amp;U7&amp;";"))&amp;_xlfn.SINGLE(IF(K7="","",'[1]字段对应'!$B$21&amp;"="&amp;VLOOKUP(K7,'[1]基础信息'!$F$2:$G$4,2,0)))</f>
        <v>PhotoMode=1;ScanSpeed=2;WlRange=1090,200,1;Slit1=2.0;</v>
      </c>
      <c s="74" t="str">
        <f>_xlfn.SINGLE(IF(W7="","",'[1]检测项信息'!W7&amp;":"&amp;'[1]字段对应'!$B$16&amp;"|"))&amp;IF(X7="","",X7&amp;":"&amp;IF(V7="是",'[1]字段对应'!$C$17,'[1]字段对应'!$B$17&amp;";"&amp;_xlfn.SINGLE(IF(H7="","",'[1]字段对应'!$B$15&amp;"="&amp;'[1]检测项信息'!H7)))&amp;"|")&amp;_xlfn.SINGLE(IF(Y7="",":",Y7&amp;":"))&amp;IF(V7="是",'[1]字段对应'!$C$18,'[1]字段对应'!$B$18&amp;";"&amp;_xlfn.SINGLE(IF(H7="","",'[1]字段对应'!$B$15&amp;"="&amp;'[1]检测项信息'!H7))&amp;_xlfn.SINGLE(IF(AND(T7="",S7=""),"",";"&amp;'[1]字段对应'!$B$20&amp;"="&amp;T7&amp;";"&amp;'[1]字段对应'!$B$19&amp;"="&amp;S7)))</f>
        <v>黑挡块:Dark|空气:BaseLine|空气:Scan</v>
      </c>
      <c s="60">
        <v>1</v>
      </c>
      <c s="74"/>
      <c s="60">
        <v>486</v>
      </c>
      <c s="74" t="str">
        <f>VLOOKUP(J7,'[1]字段对应'!$D$2:$E$8,2,0)</f>
        <v>Validation.ViewModel.DataStructure.GetMaxDIstanceUVTestTool</v>
      </c>
      <c s="74" t="s">
        <v>257</v>
      </c>
      <c s="53"/>
      <c s="53" t="s">
        <v>140</v>
      </c>
      <c s="53" t="s">
        <v>146</v>
      </c>
      <c s="436">
        <v>1090</v>
      </c>
      <c s="436">
        <v>200</v>
      </c>
      <c s="436">
        <v>1</v>
      </c>
      <c s="53"/>
      <c s="53" t="s">
        <v>151</v>
      </c>
      <c s="53"/>
      <c s="53"/>
      <c s="53"/>
      <c s="74" t="s">
        <v>133</v>
      </c>
      <c s="74" t="s">
        <v>250</v>
      </c>
      <c s="74" t="s">
        <v>248</v>
      </c>
      <c s="74" t="s">
        <v>248</v>
      </c>
      <c s="60" t="e">
        <f>VLOOKUP(A7,'[1]对应信息'!$D$2:$E$10,2,0)</f>
        <v>#N/A</v>
      </c>
      <c s="60" t="e">
        <f t="shared" si="0"/>
        <v>#N/A</v>
      </c>
      <c s="68"/>
    </row>
    <row r="8" ht="37.5" customHeight="1" customFormat="1" s="47">
      <c r="A8" s="74" t="s">
        <v>255</v>
      </c>
      <c s="317" t="s">
        <v>258</v>
      </c>
      <c s="74"/>
      <c s="74" t="str">
        <f>_xlfn.SINGLE(IF(L8="","",'[1]字段对应'!$B$10&amp;"="&amp;VLOOKUP(L8,'[1]基础信息'!$I$2:$J$6,2,0)&amp;";"))&amp;_xlfn.SINGLE(IF(M8="","",'[1]字段对应'!$B$11&amp;"="&amp;VLOOKUP(M8,'[1]基础信息'!$K$2:$L$6,2,0)&amp;";"))&amp;_xlfn.SINGLE(IF(N8="","",'[1]字段对应'!$C$2&amp;"="&amp;N8&amp;","&amp;O8&amp;","&amp;P8&amp;";"))&amp;_xlfn.SINGLE(IF(Q8="","",'[1]字段对应'!$B$13&amp;"="&amp;Q8&amp;";"))&amp;_xlfn.SINGLE(IF(R8="","",'[1]字段对应'!$B$14&amp;"="&amp;R8&amp;";"))&amp;_xlfn.SINGLE(IF(U8="","",'[1]字段对应'!$B$22&amp;"="&amp;U8&amp;";"))&amp;_xlfn.SINGLE(IF(K8="","",'[1]字段对应'!$B$21&amp;"="&amp;VLOOKUP(K8,'[1]基础信息'!$F$2:$G$4,2,0)))</f>
        <v>PhotoMode=1;ScanSpeed=2;WlRange=1090,200,1;Slit1=2.0;</v>
      </c>
      <c s="74" t="str">
        <f>_xlfn.SINGLE(IF(W8="","",'[1]检测项信息'!W8&amp;":"&amp;'[1]字段对应'!$B$16&amp;"|"))&amp;IF(X8="","",X8&amp;":"&amp;IF(V8="是",'[1]字段对应'!$C$17,'[1]字段对应'!$B$17&amp;";"&amp;_xlfn.SINGLE(IF(H8="","",'[1]字段对应'!$B$15&amp;"="&amp;'[1]检测项信息'!H8)))&amp;"|")&amp;_xlfn.SINGLE(IF(Y8="",":",Y8&amp;":"))&amp;IF(V8="是",'[1]字段对应'!$C$18,'[1]字段对应'!$B$18&amp;";"&amp;_xlfn.SINGLE(IF(H8="","",'[1]字段对应'!$B$15&amp;"="&amp;'[1]检测项信息'!H8))&amp;_xlfn.SINGLE(IF(AND(T8="",S8=""),"",";"&amp;'[1]字段对应'!$B$20&amp;"="&amp;T8&amp;";"&amp;'[1]字段对应'!$B$19&amp;"="&amp;S8)))</f>
        <v>黑挡块:Dark|空气:BaseLine|空气:Scan</v>
      </c>
      <c s="60">
        <v>1</v>
      </c>
      <c s="74"/>
      <c s="60">
        <v>656.1</v>
      </c>
      <c s="74" t="str">
        <f>VLOOKUP(J8,'[1]字段对应'!$D$2:$E$8,2,0)</f>
        <v>Validation.ViewModel.DataStructure.GetMaxDIstanceUVTestTool</v>
      </c>
      <c s="74" t="s">
        <v>257</v>
      </c>
      <c s="53"/>
      <c s="53" t="s">
        <v>140</v>
      </c>
      <c s="53" t="s">
        <v>146</v>
      </c>
      <c s="436">
        <v>1090</v>
      </c>
      <c s="436">
        <v>200</v>
      </c>
      <c s="436">
        <v>1</v>
      </c>
      <c s="53"/>
      <c s="53" t="s">
        <v>151</v>
      </c>
      <c s="53"/>
      <c s="53"/>
      <c s="53"/>
      <c s="74" t="s">
        <v>133</v>
      </c>
      <c s="74" t="s">
        <v>250</v>
      </c>
      <c s="74" t="s">
        <v>248</v>
      </c>
      <c s="74" t="s">
        <v>248</v>
      </c>
      <c s="60" t="e">
        <f>VLOOKUP(A8,'[1]对应信息'!$D$2:$E$10,2,0)</f>
        <v>#N/A</v>
      </c>
      <c s="60" t="e">
        <f t="shared" si="0"/>
        <v>#N/A</v>
      </c>
      <c s="68"/>
    </row>
    <row r="9" ht="51" customHeight="1" customFormat="1" s="47">
      <c r="A9" s="74" t="s">
        <v>255</v>
      </c>
      <c s="317" t="s">
        <v>134</v>
      </c>
      <c s="74"/>
      <c s="74" t="str">
        <f>_xlfn.SINGLE(IF(L9="","",'[1]字段对应'!$B$10&amp;"="&amp;VLOOKUP(L9,'[1]基础信息'!$I$2:$J$6,2,0)&amp;";"))&amp;_xlfn.SINGLE(IF(M9="","",'[1]字段对应'!$B$11&amp;"="&amp;VLOOKUP(M9,'[1]基础信息'!$K$2:$L$6,2,0)&amp;";"))&amp;_xlfn.SINGLE(IF(N9="","",'[1]字段对应'!$C$2&amp;"="&amp;N9&amp;","&amp;O9&amp;","&amp;P9&amp;";"))&amp;_xlfn.SINGLE(IF(Q9="","",'[1]字段对应'!$B$13&amp;"="&amp;Q9&amp;";"))&amp;_xlfn.SINGLE(IF(R9="","",'[1]字段对应'!$B$14&amp;"="&amp;R9&amp;";"))&amp;_xlfn.SINGLE(IF(U9="","",'[1]字段对应'!$B$22&amp;"="&amp;U9&amp;";"))&amp;_xlfn.SINGLE(IF(K9="","",'[1]字段对应'!$B$21&amp;"="&amp;VLOOKUP(K9,'[1]基础信息'!$F$2:$G$4,2,0)))</f>
        <v>PhotoMode=1;ScanSpeed=2;Slit1=2.0;ResponseTime=1;LampPos=0</v>
      </c>
      <c s="74" t="str">
        <f>_xlfn.SINGLE(IF(W9="","",'[1]检测项信息'!W9&amp;":"&amp;'[1]字段对应'!$B$16&amp;"|"))&amp;IF(X9="","",X9&amp;":"&amp;IF(V9="是",'[1]字段对应'!$C$17,'[1]字段对应'!$B$17&amp;";"&amp;_xlfn.SINGLE(IF(H9="","",'[1]字段对应'!$B$15&amp;"="&amp;'[1]检测项信息'!H9)))&amp;"|")&amp;_xlfn.SINGLE(IF(Y9="",":",Y9&amp;":"))&amp;IF(V9="是",'[1]字段对应'!$C$18,'[1]字段对应'!$B$18&amp;";"&amp;_xlfn.SINGLE(IF(H9="","",'[1]字段对应'!$B$15&amp;"="&amp;'[1]检测项信息'!H9))&amp;_xlfn.SINGLE(IF(AND(T9="",S9=""),"",";"&amp;'[1]字段对应'!$B$20&amp;"="&amp;T9&amp;";"&amp;'[1]字段对应'!$B$19&amp;"="&amp;S9)))</f>
        <v>黑挡块:Dark|空气:BaseLine|空气:Scan</v>
      </c>
      <c s="60">
        <v>1</v>
      </c>
      <c s="74"/>
      <c s="60">
        <v>500</v>
      </c>
      <c s="74" t="str">
        <f>VLOOKUP(J9,'[1]字段对应'!$D$2:$E$8,2,0)</f>
        <v>Validation.ViewModel.DataStructure.GetMaxDIstanceUVTestTool</v>
      </c>
      <c s="74" t="s">
        <v>257</v>
      </c>
      <c s="53" t="s">
        <v>134</v>
      </c>
      <c s="53" t="s">
        <v>140</v>
      </c>
      <c s="53" t="s">
        <v>146</v>
      </c>
      <c s="53"/>
      <c s="53"/>
      <c s="53"/>
      <c s="53"/>
      <c s="53" t="s">
        <v>151</v>
      </c>
      <c s="436">
        <v>1</v>
      </c>
      <c s="436">
        <v>120</v>
      </c>
      <c s="436">
        <v>1</v>
      </c>
      <c s="74" t="s">
        <v>133</v>
      </c>
      <c s="74" t="s">
        <v>250</v>
      </c>
      <c s="74" t="s">
        <v>248</v>
      </c>
      <c s="74" t="s">
        <v>248</v>
      </c>
      <c s="60" t="e">
        <f>VLOOKUP(A9,'[1]对应信息'!$D$2:$E$10,2,0)</f>
        <v>#N/A</v>
      </c>
      <c s="60" t="e">
        <f t="shared" si="0"/>
        <v>#N/A</v>
      </c>
      <c s="68"/>
    </row>
    <row r="10" customHeight="1" customFormat="1" s="47">
      <c r="A10" s="86"/>
      <c s="86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86"/>
      <c s="350"/>
      <c s="86"/>
      <c s="86"/>
      <c s="69"/>
      <c s="433"/>
      <c s="433"/>
    </row>
    <row r="11" customHeight="1" customFormat="1" s="47">
      <c r="A11" s="86"/>
      <c s="86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86"/>
      <c s="86"/>
      <c s="86"/>
      <c s="86"/>
      <c s="69"/>
      <c s="433"/>
      <c s="433"/>
    </row>
    <row r="12" customHeight="1" customFormat="1" s="47">
      <c r="A12" s="86"/>
      <c s="86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86"/>
      <c s="350"/>
      <c s="86"/>
      <c s="86"/>
      <c s="69"/>
      <c s="433"/>
      <c s="433"/>
    </row>
    <row r="13" customHeight="1" customFormat="1" s="47">
      <c r="A13" s="86"/>
      <c s="86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86"/>
      <c s="86"/>
      <c s="86"/>
      <c s="86"/>
      <c s="69"/>
      <c s="433"/>
      <c s="433"/>
    </row>
    <row r="14" customHeight="1" customFormat="1" s="47">
      <c r="A14" s="86"/>
      <c s="86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86"/>
      <c s="350"/>
      <c s="86"/>
      <c s="86"/>
      <c s="69"/>
      <c s="433"/>
      <c s="433"/>
    </row>
    <row r="15" customHeight="1" customFormat="1" s="47">
      <c r="A15" s="86"/>
      <c s="86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86"/>
      <c s="86"/>
      <c s="86"/>
      <c s="86"/>
      <c s="69"/>
      <c s="433"/>
      <c s="433"/>
    </row>
    <row r="16" customHeight="1" customFormat="1" s="47">
      <c r="A16" s="86"/>
      <c s="86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86"/>
      <c s="350"/>
      <c s="86"/>
      <c s="86"/>
      <c s="69"/>
      <c s="433"/>
      <c s="433"/>
    </row>
    <row r="17" ht="39.75" customHeight="1" customFormat="1" s="47">
      <c r="A17" s="86"/>
      <c s="350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350"/>
      <c s="86"/>
      <c s="86"/>
      <c s="86"/>
      <c s="69"/>
      <c s="433"/>
      <c s="433"/>
    </row>
    <row r="18" customHeight="1" customFormat="1" s="47">
      <c r="A18" s="86"/>
      <c s="350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437"/>
      <c s="64"/>
      <c s="64"/>
      <c s="64"/>
      <c s="86"/>
      <c s="86"/>
      <c s="350"/>
      <c s="86"/>
      <c s="86"/>
      <c s="86"/>
      <c s="69"/>
      <c s="433"/>
      <c s="433"/>
    </row>
    <row r="19" customHeight="1" customFormat="1" s="47">
      <c r="A19" s="86"/>
      <c s="86"/>
      <c s="86"/>
      <c s="86"/>
      <c s="86"/>
      <c s="86"/>
      <c s="86"/>
      <c s="350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65"/>
      <c s="86"/>
      <c s="86"/>
      <c s="86"/>
      <c s="70"/>
      <c s="433"/>
      <c s="433"/>
    </row>
    <row r="20" customHeight="1" customFormat="1" s="47">
      <c r="A20" s="86"/>
      <c s="86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86"/>
      <c s="86"/>
      <c s="86"/>
      <c s="86"/>
      <c s="70"/>
      <c s="433"/>
      <c s="433"/>
    </row>
    <row r="21" customHeight="1" customFormat="1" s="47">
      <c r="A21" s="86"/>
      <c s="86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86"/>
      <c s="86"/>
      <c s="86"/>
      <c s="86"/>
      <c s="70"/>
      <c s="433"/>
      <c s="433"/>
    </row>
    <row r="22" ht="40.5" customHeight="1" customFormat="1" s="47">
      <c r="A22" s="86"/>
      <c s="86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86"/>
      <c s="86"/>
      <c s="86"/>
      <c s="86"/>
      <c s="70"/>
      <c s="433"/>
      <c s="433"/>
    </row>
    <row r="23" customHeight="1" customFormat="1" s="47">
      <c r="A23" s="86"/>
      <c s="350"/>
      <c s="86"/>
      <c s="86"/>
      <c s="86"/>
      <c s="86"/>
      <c s="86"/>
      <c s="86"/>
      <c s="86"/>
      <c s="86"/>
      <c s="64"/>
      <c s="64"/>
      <c s="64"/>
      <c s="64"/>
      <c s="64"/>
      <c s="64"/>
      <c s="64"/>
      <c s="64"/>
      <c s="64"/>
      <c s="64"/>
      <c s="64"/>
      <c s="86"/>
      <c s="86"/>
      <c s="86"/>
      <c s="86"/>
      <c s="86"/>
      <c s="86"/>
      <c s="69"/>
      <c s="433"/>
      <c s="433"/>
    </row>
    <row r="24" customHeight="1" customFormat="1" s="47">
      <c r="A24" s="117"/>
      <c s="433"/>
      <c s="433"/>
      <c s="433"/>
      <c s="433"/>
      <c s="433"/>
      <c s="433"/>
      <c s="433"/>
      <c s="433"/>
      <c s="433"/>
      <c s="433"/>
      <c s="433"/>
      <c s="433"/>
      <c s="433"/>
      <c s="433"/>
      <c s="433"/>
      <c s="433"/>
      <c s="433"/>
      <c s="433"/>
      <c s="433"/>
      <c s="433"/>
      <c s="433"/>
      <c s="433"/>
      <c s="433"/>
      <c s="433"/>
      <c s="86"/>
      <c s="86"/>
      <c s="69"/>
      <c s="433"/>
      <c s="433"/>
    </row>
    <row r="29" customHeight="1" customFormat="1" s="47">
      <c r="A29" s="58"/>
      <c r="E29" s="54"/>
      <c r="Z29" s="57"/>
      <c s="57"/>
      <c s="71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7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8"/>
  <sheetViews>
    <sheetView topLeftCell="A1" workbookViewId="0">
      <pane topLeftCell="A1"/>
      <selection activeCellId="0" activeCell="C15" sqref="C15"/>
    </sheetView>
  </sheetViews>
  <sheetFormatPr defaultColWidth="9" defaultRowHeight="14.25" customHeight="1"/>
  <cols>
    <col min="1" max="1" width="22.63" customWidth="1" style="147"/>
    <col min="2" max="2" width="44.63" customWidth="1" style="147"/>
    <col min="3" max="3" width="22.63" customWidth="1" style="147"/>
    <col min="4" max="5" width="5.5" customWidth="1" style="147"/>
    <col min="6" max="9" width="22.63" customWidth="1" style="147"/>
    <col min="10" max="16384" width="9" style="147"/>
  </cols>
  <sheetData>
    <row r="1" customHeight="1">
      <c r="A1" s="72" t="s">
        <v>259</v>
      </c>
      <c s="72" t="s">
        <v>260</v>
      </c>
      <c s="72" t="s">
        <v>261</v>
      </c>
      <c s="72" t="s">
        <v>262</v>
      </c>
      <c s="72" t="s">
        <v>263</v>
      </c>
    </row>
    <row r="2" customHeight="1">
      <c r="A2" s="51" t="str">
        <f ca="1" ref="A2:A18" t="shared" si="0">MID(_xlfn.SINGLE(CELL("filename")),FIND("[",_xlfn.SINGLE(CELL("filename")),1)+1,FIND(".",_xlfn.SINGLE(CELL("filename")),1)-FIND("[",_xlfn.SINGLE(CELL("filename")),1)-1)</f>
        <v>Model-FixedSlit</v>
      </c>
      <c s="52" t="s">
        <v>264</v>
      </c>
      <c s="45"/>
      <c s="51"/>
      <c s="51"/>
    </row>
    <row r="3" customHeight="1">
      <c r="A3" s="51" t="str">
        <f ca="1" t="shared" si="0"/>
        <v>Model-FixedSlit</v>
      </c>
      <c s="67" t="s">
        <v>265</v>
      </c>
      <c s="45"/>
      <c s="51"/>
      <c s="51"/>
    </row>
    <row r="4" customHeight="1">
      <c r="A4" s="51" t="str">
        <f ca="1" t="shared" si="0"/>
        <v>Model-FixedSlit</v>
      </c>
      <c s="67" t="s">
        <v>266</v>
      </c>
      <c s="45"/>
      <c s="51"/>
      <c s="51"/>
    </row>
    <row r="5" customHeight="1">
      <c r="A5" s="51" t="str">
        <f ca="1" t="shared" si="0"/>
        <v>Model-FixedSlit</v>
      </c>
      <c s="67" t="s">
        <v>267</v>
      </c>
      <c s="45"/>
      <c s="51"/>
      <c s="51"/>
    </row>
    <row r="6" customHeight="1">
      <c r="A6" s="51" t="str">
        <f ca="1" t="shared" si="0"/>
        <v>Model-FixedSlit</v>
      </c>
      <c s="67" t="s">
        <v>268</v>
      </c>
      <c s="45"/>
      <c s="51"/>
      <c s="51"/>
    </row>
    <row r="7" customHeight="1">
      <c r="A7" s="51" t="str">
        <f ca="1" t="shared" si="0"/>
        <v>Model-FixedSlit</v>
      </c>
      <c s="67" t="s">
        <v>269</v>
      </c>
      <c s="45"/>
      <c s="51"/>
      <c s="51"/>
    </row>
    <row r="8" customHeight="1">
      <c r="A8" s="51" t="str">
        <f ca="1" t="shared" si="0"/>
        <v>Model-FixedSlit</v>
      </c>
      <c s="67" t="s">
        <v>270</v>
      </c>
      <c s="45"/>
      <c s="51"/>
      <c s="51"/>
    </row>
    <row r="9" customHeight="1">
      <c r="A9" s="51" t="str">
        <f ca="1" t="shared" si="0"/>
        <v>Model-FixedSlit</v>
      </c>
      <c s="67" t="s">
        <v>271</v>
      </c>
      <c s="45"/>
      <c s="51"/>
      <c s="51"/>
    </row>
    <row r="10" customHeight="1">
      <c r="A10" s="51" t="str">
        <f ca="1" t="shared" si="0"/>
        <v>Model-FixedSlit</v>
      </c>
      <c s="52" t="s">
        <v>272</v>
      </c>
      <c s="45"/>
      <c s="43">
        <v>1001</v>
      </c>
      <c s="43">
        <v>1001</v>
      </c>
    </row>
    <row r="11" customHeight="1">
      <c r="A11" s="51" t="str">
        <f ca="1" t="shared" si="0"/>
        <v>Model-FixedSlit</v>
      </c>
      <c s="52" t="s">
        <v>273</v>
      </c>
      <c s="45"/>
      <c s="43">
        <v>1002</v>
      </c>
      <c s="43">
        <v>1002</v>
      </c>
    </row>
    <row r="12" customHeight="1">
      <c r="A12" s="51" t="str">
        <f ca="1" t="shared" si="0"/>
        <v>Model-FixedSlit</v>
      </c>
      <c s="52" t="s">
        <v>274</v>
      </c>
      <c s="45"/>
      <c s="43">
        <v>2001</v>
      </c>
      <c s="43">
        <v>2001</v>
      </c>
    </row>
    <row r="13" customHeight="1">
      <c r="A13" s="51" t="str">
        <f ca="1" t="shared" si="0"/>
        <v>Model-FixedSlit</v>
      </c>
      <c s="52" t="s">
        <v>275</v>
      </c>
      <c s="45"/>
      <c s="43">
        <v>2002</v>
      </c>
      <c s="43">
        <v>2001</v>
      </c>
    </row>
    <row r="14" customHeight="1">
      <c r="A14" s="51" t="str">
        <f ca="1" t="shared" si="0"/>
        <v>Model-FixedSlit</v>
      </c>
      <c s="52" t="s">
        <v>276</v>
      </c>
      <c s="45"/>
      <c s="43">
        <v>2003</v>
      </c>
      <c s="43">
        <v>2001</v>
      </c>
    </row>
    <row r="15" customHeight="1">
      <c r="A15" s="51" t="str">
        <f ca="1" t="shared" si="0"/>
        <v>Model-FixedSlit</v>
      </c>
      <c s="52" t="s">
        <v>277</v>
      </c>
      <c s="45"/>
      <c s="43">
        <v>2004</v>
      </c>
      <c s="43">
        <v>2001</v>
      </c>
    </row>
    <row r="16" customHeight="1">
      <c r="A16" s="51" t="str">
        <f ca="1" t="shared" si="0"/>
        <v>Model-FixedSlit</v>
      </c>
      <c s="52" t="s">
        <v>278</v>
      </c>
      <c s="45"/>
      <c s="43">
        <v>3001</v>
      </c>
      <c s="43">
        <v>3001</v>
      </c>
    </row>
    <row r="17" customHeight="1">
      <c r="A17" s="51" t="str">
        <f ca="1" t="shared" si="0"/>
        <v>Model-FixedSlit</v>
      </c>
      <c s="52" t="s">
        <v>279</v>
      </c>
      <c s="45"/>
      <c s="43">
        <v>3002</v>
      </c>
      <c s="43">
        <v>3002</v>
      </c>
    </row>
    <row r="18" customHeight="1">
      <c r="A18" s="51" t="str">
        <f ca="1" t="shared" si="0"/>
        <v>Model-FixedSlit</v>
      </c>
      <c s="42" t="s">
        <v>280</v>
      </c>
      <c s="45"/>
      <c s="43">
        <v>4001</v>
      </c>
      <c s="43">
        <v>4001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8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"/>
  <sheetViews>
    <sheetView topLeftCell="A1" workbookViewId="0">
      <pane topLeftCell="A1"/>
      <selection activeCellId="0" activeCell="D7" sqref="D7"/>
    </sheetView>
  </sheetViews>
  <sheetFormatPr defaultColWidth="9" defaultRowHeight="14.25" customHeight="1"/>
  <cols>
    <col min="1" max="1" width="35.75" customWidth="1" style="147"/>
    <col min="2" max="16384" width="9" style="147"/>
  </cols>
  <sheetData>
    <row r="1" ht="189.75" customHeight="1">
      <c r="A1" s="46"/>
    </row>
  </sheetData>
  <printOptions/>
  <pageMargins left="0.7" right="0.7" top="0.75" bottom="0.75" header="0.3" footer="0.3"/>
  <pageSetup firstPageNumber="4294963191" copies="0"/>
  <headerFooter/>
  <extLst/>
</worksheet>
</file>

<file path=xl/worksheets/sheet9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23"/>
  <sheetViews>
    <sheetView topLeftCell="A1" workbookViewId="0" showGridLines="0">
      <pane topLeftCell="A1"/>
      <selection activeCellId="0" activeCell="A25" sqref="A25"/>
    </sheetView>
  </sheetViews>
  <sheetFormatPr defaultColWidth="9" defaultRowHeight="14.25" customHeight="1"/>
  <cols>
    <col min="1" max="1" width="35.38" customWidth="1" style="147"/>
    <col min="2" max="2" width="27.5" customWidth="1" style="147"/>
    <col min="3" max="3" width="15.75" customWidth="1" style="147"/>
    <col min="4" max="4" width="20.25" customWidth="1" style="147"/>
    <col min="5" max="16384" width="9" style="147"/>
  </cols>
  <sheetData>
    <row r="1" customHeight="1">
      <c r="A1" s="41" t="s">
        <v>281</v>
      </c>
      <c s="41" t="s">
        <v>23</v>
      </c>
      <c s="41" t="s">
        <v>120</v>
      </c>
      <c s="33" t="s">
        <v>50</v>
      </c>
    </row>
    <row r="2" customHeight="1">
      <c r="A2" s="40" t="s">
        <v>190</v>
      </c>
      <c s="80" t="s">
        <v>49</v>
      </c>
      <c s="36" t="s">
        <v>191</v>
      </c>
      <c s="28">
        <v>23.2</v>
      </c>
    </row>
    <row r="3" customHeight="1">
      <c r="A3" s="40"/>
      <c s="44"/>
      <c s="36" t="s">
        <v>192</v>
      </c>
      <c s="28">
        <v>51.58</v>
      </c>
    </row>
    <row r="4" ht="12" customHeight="1">
      <c r="A4" s="40"/>
      <c s="44"/>
      <c s="266" t="s">
        <v>193</v>
      </c>
      <c s="28">
        <v>14.06</v>
      </c>
    </row>
    <row r="5" customHeight="1">
      <c r="A5" s="40"/>
      <c s="106"/>
      <c s="266" t="s">
        <v>194</v>
      </c>
      <c s="28">
        <v>18.42</v>
      </c>
    </row>
    <row r="6" customHeight="1">
      <c r="A6" s="40"/>
      <c s="32" t="s">
        <v>39</v>
      </c>
      <c s="36" t="s">
        <v>195</v>
      </c>
      <c s="28">
        <v>7.62</v>
      </c>
    </row>
    <row r="7" customHeight="1">
      <c r="A7" s="40"/>
      <c s="149"/>
      <c s="36" t="s">
        <v>196</v>
      </c>
      <c s="28">
        <v>11.03</v>
      </c>
    </row>
    <row r="8" customHeight="1">
      <c r="A8" s="40"/>
      <c s="267"/>
      <c s="36" t="s">
        <v>197</v>
      </c>
      <c s="28">
        <v>11.46</v>
      </c>
    </row>
    <row r="9" customHeight="1">
      <c r="A9" s="40"/>
      <c s="32" t="s">
        <v>45</v>
      </c>
      <c s="36" t="s">
        <v>195</v>
      </c>
      <c s="28">
        <v>17.64</v>
      </c>
    </row>
    <row r="10" customHeight="1">
      <c r="A10" s="40"/>
      <c s="149"/>
      <c s="36" t="s">
        <v>196</v>
      </c>
      <c s="28">
        <v>21.74</v>
      </c>
    </row>
    <row r="11" customHeight="1">
      <c r="A11" s="40"/>
      <c s="267"/>
      <c s="36" t="s">
        <v>197</v>
      </c>
      <c s="28">
        <v>21.92</v>
      </c>
    </row>
    <row r="12" customHeight="1">
      <c r="A12" s="40"/>
      <c s="32" t="s">
        <v>47</v>
      </c>
      <c s="36" t="s">
        <v>195</v>
      </c>
      <c s="28">
        <v>23.59</v>
      </c>
    </row>
    <row r="13" customHeight="1">
      <c r="A13" s="40"/>
      <c s="149"/>
      <c s="36" t="s">
        <v>196</v>
      </c>
      <c s="28">
        <v>29.32</v>
      </c>
    </row>
    <row r="14" customHeight="1">
      <c r="A14" s="38"/>
      <c s="267"/>
      <c s="36" t="s">
        <v>197</v>
      </c>
      <c s="28">
        <v>29.91</v>
      </c>
    </row>
    <row r="15" customHeight="1">
      <c r="A15" s="80" t="s">
        <v>245</v>
      </c>
      <c s="317" t="s">
        <v>24</v>
      </c>
      <c s="31" t="s">
        <v>183</v>
      </c>
      <c s="31"/>
    </row>
    <row r="16" customHeight="1">
      <c r="A16" s="44"/>
      <c s="150" t="s">
        <v>33</v>
      </c>
      <c s="31" t="s">
        <v>282</v>
      </c>
      <c s="31"/>
    </row>
    <row r="17" customHeight="1">
      <c r="A17" s="44"/>
      <c s="30"/>
      <c s="31" t="s">
        <v>283</v>
      </c>
      <c s="31"/>
    </row>
    <row r="18" customHeight="1">
      <c r="A18" s="44"/>
      <c s="30"/>
      <c s="31" t="s">
        <v>284</v>
      </c>
      <c s="31"/>
    </row>
    <row r="19" customHeight="1">
      <c r="A19" s="44"/>
      <c s="30"/>
      <c s="31" t="s">
        <v>285</v>
      </c>
      <c s="31"/>
    </row>
    <row r="20" customHeight="1">
      <c r="A20" s="44"/>
      <c s="30"/>
      <c s="31" t="s">
        <v>286</v>
      </c>
      <c s="31"/>
    </row>
    <row r="21" customHeight="1">
      <c r="A21" s="106"/>
      <c s="34"/>
      <c s="31" t="s">
        <v>287</v>
      </c>
      <c s="31"/>
    </row>
    <row r="23" customHeight="1">
      <c r="A23" s="63" t="s">
        <v>288</v>
      </c>
      <c s="63"/>
      <c s="63"/>
      <c s="63"/>
    </row>
  </sheetData>
  <mergeCells>
    <mergeCell ref="A23:D23"/>
    <mergeCell ref="A2:A14"/>
    <mergeCell ref="A15:A21"/>
    <mergeCell ref="B2:B5"/>
    <mergeCell ref="B6:B8"/>
    <mergeCell ref="B9:B11"/>
    <mergeCell ref="B12:B14"/>
    <mergeCell ref="B16:B21"/>
  </mergeCells>
  <printOptions/>
  <pageMargins left="0.7" right="0.7" top="0.75" bottom="0.75" header="0.3" footer="0.3"/>
  <pageSetup firstPageNumber="4294963191" copies="0"/>
  <headerFooter/>
  <extLst/>
</worksheet>
</file>

<file path=xl/worksheets/sheet10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22"/>
  <sheetViews>
    <sheetView topLeftCell="A1" workbookViewId="0">
      <pane topLeftCell="A1"/>
      <selection activeCellId="0" activeCell="G7" sqref="G7:G8"/>
    </sheetView>
  </sheetViews>
  <sheetFormatPr defaultColWidth="9" defaultRowHeight="14.25" customHeight="1"/>
  <cols>
    <col min="1" max="2" width="16.13" customWidth="1" style="147"/>
    <col min="3" max="3" width="9" style="147"/>
    <col min="4" max="4" width="13.88" customWidth="1" style="147"/>
    <col min="5" max="5" width="69.88" customWidth="1" style="147"/>
    <col min="6" max="16384" width="9" style="147"/>
  </cols>
  <sheetData>
    <row r="1" customHeight="1">
      <c r="A1" s="75" t="s">
        <v>289</v>
      </c>
      <c s="75" t="s">
        <v>290</v>
      </c>
      <c r="D1" s="75" t="s">
        <v>291</v>
      </c>
      <c s="75" t="s">
        <v>292</v>
      </c>
    </row>
    <row r="2" customHeight="1">
      <c r="A2" s="112" t="s">
        <v>237</v>
      </c>
      <c s="112" t="s">
        <v>293</v>
      </c>
      <c s="112" t="s">
        <v>294</v>
      </c>
      <c s="359" t="s">
        <v>247</v>
      </c>
      <c s="82" t="s">
        <v>295</v>
      </c>
    </row>
    <row r="3" customHeight="1">
      <c r="A3" s="112" t="s">
        <v>238</v>
      </c>
      <c s="112" t="s">
        <v>296</v>
      </c>
      <c r="D3" s="112" t="s">
        <v>297</v>
      </c>
      <c s="82" t="s">
        <v>298</v>
      </c>
    </row>
    <row r="4" customHeight="1">
      <c r="A4" s="112" t="s">
        <v>128</v>
      </c>
      <c s="112" t="s">
        <v>299</v>
      </c>
      <c r="D4" s="359" t="s">
        <v>300</v>
      </c>
      <c s="82" t="s">
        <v>301</v>
      </c>
    </row>
    <row r="5" customHeight="1">
      <c r="A5" s="112" t="s">
        <v>234</v>
      </c>
      <c s="112" t="s">
        <v>302</v>
      </c>
      <c r="D5" s="359" t="s">
        <v>254</v>
      </c>
      <c s="82" t="s">
        <v>303</v>
      </c>
    </row>
    <row r="6" customHeight="1">
      <c r="A6" s="112" t="s">
        <v>232</v>
      </c>
      <c s="112" t="s">
        <v>304</v>
      </c>
      <c r="D6" s="359" t="s">
        <v>305</v>
      </c>
      <c s="82" t="s">
        <v>306</v>
      </c>
    </row>
    <row r="7" customHeight="1">
      <c r="A7" s="112" t="s">
        <v>233</v>
      </c>
      <c s="112" t="s">
        <v>307</v>
      </c>
      <c r="D7" s="130" t="s">
        <v>257</v>
      </c>
      <c s="82" t="s">
        <v>308</v>
      </c>
    </row>
    <row r="8" customHeight="1">
      <c r="A8" s="112" t="s">
        <v>309</v>
      </c>
      <c s="112" t="s">
        <v>310</v>
      </c>
      <c r="D8" s="359" t="s">
        <v>311</v>
      </c>
      <c s="82" t="s">
        <v>312</v>
      </c>
    </row>
    <row r="9" customHeight="1">
      <c r="A9" s="112" t="s">
        <v>230</v>
      </c>
      <c s="112" t="s">
        <v>313</v>
      </c>
    </row>
    <row r="10" customHeight="1">
      <c r="A10" s="112" t="s">
        <v>236</v>
      </c>
      <c s="112" t="s">
        <v>314</v>
      </c>
    </row>
    <row r="11" customHeight="1">
      <c r="A11" s="112" t="s">
        <v>126</v>
      </c>
      <c s="112" t="s">
        <v>315</v>
      </c>
    </row>
    <row r="12" customHeight="1">
      <c r="A12" s="112" t="s">
        <v>239</v>
      </c>
      <c s="112" t="s">
        <v>316</v>
      </c>
    </row>
    <row r="13" customHeight="1">
      <c r="A13" s="112" t="s">
        <v>131</v>
      </c>
      <c s="112" t="s">
        <v>317</v>
      </c>
    </row>
    <row r="14" customHeight="1">
      <c r="A14" s="112" t="s">
        <v>66</v>
      </c>
      <c s="112" t="s">
        <v>318</v>
      </c>
    </row>
    <row r="15" customHeight="1">
      <c r="A15" s="112" t="s">
        <v>120</v>
      </c>
      <c s="112" t="s">
        <v>319</v>
      </c>
    </row>
    <row r="16" customHeight="1">
      <c r="A16" s="112" t="s">
        <v>320</v>
      </c>
      <c s="112" t="s">
        <v>321</v>
      </c>
    </row>
    <row r="17" customHeight="1">
      <c r="A17" s="112" t="s">
        <v>322</v>
      </c>
      <c s="112" t="s">
        <v>323</v>
      </c>
      <c s="112" t="s">
        <v>324</v>
      </c>
    </row>
    <row r="18" customHeight="1">
      <c r="A18" s="112" t="s">
        <v>325</v>
      </c>
      <c s="112" t="s">
        <v>326</v>
      </c>
      <c s="112" t="s">
        <v>327</v>
      </c>
    </row>
    <row r="19" customHeight="1">
      <c r="A19" s="112" t="s">
        <v>240</v>
      </c>
      <c s="82" t="s">
        <v>328</v>
      </c>
    </row>
    <row r="20" customHeight="1">
      <c r="A20" s="112" t="s">
        <v>241</v>
      </c>
      <c s="112" t="s">
        <v>329</v>
      </c>
      <c r="D20" s="112"/>
    </row>
    <row r="21" customHeight="1">
      <c r="A21" s="112" t="s">
        <v>123</v>
      </c>
      <c s="82" t="s">
        <v>330</v>
      </c>
    </row>
    <row r="22" customHeight="1">
      <c r="A22" s="112" t="s">
        <v>132</v>
      </c>
      <c s="82" t="s">
        <v>331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1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C4"/>
  <sheetViews>
    <sheetView topLeftCell="A1" workbookViewId="0" showGridLines="0">
      <pane topLeftCell="A1"/>
      <selection activeCellId="0" activeCell="C8" sqref="A1:AB9"/>
    </sheetView>
  </sheetViews>
  <sheetFormatPr defaultColWidth="9" defaultRowHeight="14.25" customHeight="1"/>
  <cols>
    <col min="1" max="1" width="12.25" customWidth="1" style="147"/>
    <col min="2" max="2" width="12.75" customWidth="1" style="21"/>
    <col min="3" max="3" width="13.25" customWidth="1" style="22"/>
    <col min="4" max="16384" width="9" style="147"/>
  </cols>
  <sheetData>
    <row r="1" ht="30" customHeight="1">
      <c r="A1" s="41" t="s">
        <v>230</v>
      </c>
      <c s="41" t="s">
        <v>332</v>
      </c>
      <c s="23" t="s">
        <v>27</v>
      </c>
    </row>
    <row r="2" ht="18" customHeight="1">
      <c r="A2" s="317" t="s">
        <v>256</v>
      </c>
      <c s="31" t="s">
        <v>333</v>
      </c>
      <c s="26"/>
    </row>
    <row r="3" customHeight="1">
      <c r="A3" s="317" t="s">
        <v>258</v>
      </c>
      <c s="31" t="s">
        <v>182</v>
      </c>
      <c s="26"/>
    </row>
    <row r="4" customHeight="1">
      <c r="A4" s="317" t="s">
        <v>134</v>
      </c>
      <c s="31"/>
      <c s="26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1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C7"/>
  <sheetViews>
    <sheetView topLeftCell="A1" workbookViewId="0" showGridLines="0">
      <pane topLeftCell="A1"/>
      <selection activeCellId="0" activeCell="H25" sqref="H25"/>
    </sheetView>
  </sheetViews>
  <sheetFormatPr defaultColWidth="9" defaultRowHeight="14.25" customHeight="1"/>
  <cols>
    <col min="1" max="1" width="11.75" customWidth="1" style="147"/>
    <col min="2" max="2" width="16.13" customWidth="1" style="15"/>
    <col min="3" max="3" width="17.5" customWidth="1" style="147"/>
    <col min="4" max="4" width="12.25" customWidth="1" style="147"/>
    <col min="5" max="16384" width="9" style="147"/>
  </cols>
  <sheetData>
    <row r="1" ht="30" customHeight="1">
      <c r="A1" s="41" t="s">
        <v>230</v>
      </c>
      <c s="17" t="s">
        <v>63</v>
      </c>
      <c s="41"/>
    </row>
    <row r="2" customHeight="1">
      <c r="A2" s="24" t="s">
        <v>334</v>
      </c>
      <c s="16"/>
      <c s="75"/>
    </row>
    <row r="3" customHeight="1">
      <c r="A3" s="24" t="s">
        <v>335</v>
      </c>
      <c s="16"/>
      <c s="75"/>
    </row>
    <row r="4" customHeight="1">
      <c r="A4" s="24" t="s">
        <v>336</v>
      </c>
      <c s="16"/>
      <c s="75"/>
    </row>
    <row r="5" customHeight="1">
      <c r="A5" s="24" t="s">
        <v>337</v>
      </c>
      <c s="16"/>
      <c s="75"/>
    </row>
    <row r="6" customHeight="1">
      <c r="A6" s="24" t="s">
        <v>338</v>
      </c>
      <c s="16"/>
      <c s="75"/>
    </row>
    <row r="7" ht="19.5">
      <c r="B7" s="18"/>
    </row>
  </sheetData>
  <conditionalFormatting sqref="C2">
    <cfRule dxfId="1" priority="5" type="cellIs" operator="equal">
      <formula>"不合格"</formula>
    </cfRule>
  </conditionalFormatting>
  <conditionalFormatting sqref="C3">
    <cfRule dxfId="1" priority="4" type="cellIs" operator="equal">
      <formula>"不合格"</formula>
    </cfRule>
  </conditionalFormatting>
  <conditionalFormatting sqref="C4">
    <cfRule dxfId="1" priority="3" type="cellIs" operator="equal">
      <formula>"不合格"</formula>
    </cfRule>
  </conditionalFormatting>
  <conditionalFormatting sqref="C5">
    <cfRule dxfId="1" priority="2" type="cellIs" operator="equal">
      <formula>"不合格"</formula>
    </cfRule>
  </conditionalFormatting>
  <conditionalFormatting sqref="C6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F19"/>
  <sheetViews>
    <sheetView topLeftCell="A1" workbookViewId="0" showGridLines="0">
      <pane topLeftCell="A1"/>
      <selection activeCellId="0" activeCell="K21" sqref="K21"/>
    </sheetView>
  </sheetViews>
  <sheetFormatPr defaultColWidth="9" defaultRowHeight="14.25" customHeight="1"/>
  <cols>
    <col min="1" max="1" width="11.5" customWidth="1" style="9"/>
    <col min="2" max="2" width="9.13" customWidth="1" style="13"/>
    <col min="3" max="3" width="8.5" customWidth="1" style="2"/>
    <col min="4" max="4" width="10.5" customWidth="1" style="3"/>
    <col min="5" max="5" width="9" style="9"/>
    <col min="6" max="6" width="9.63" customWidth="1" style="9"/>
    <col min="7" max="16384" width="9" style="9"/>
  </cols>
  <sheetData>
    <row r="1" ht="28.5">
      <c r="A1" s="41" t="s">
        <v>230</v>
      </c>
      <c s="41" t="s">
        <v>332</v>
      </c>
      <c s="23" t="s">
        <v>339</v>
      </c>
      <c s="23" t="s">
        <v>131</v>
      </c>
      <c s="23" t="s">
        <v>340</v>
      </c>
      <c s="23" t="s">
        <v>27</v>
      </c>
    </row>
    <row r="2" ht="15" customHeight="1">
      <c r="A2" s="193" t="s">
        <v>25</v>
      </c>
      <c s="5">
        <v>656.1</v>
      </c>
      <c s="26" t="s">
        <v>145</v>
      </c>
      <c s="26">
        <v>4</v>
      </c>
      <c s="26" t="s">
        <v>25</v>
      </c>
      <c s="26"/>
    </row>
    <row r="3" ht="15" customHeight="1">
      <c r="A3" s="264"/>
      <c s="5">
        <v>486</v>
      </c>
      <c s="26" t="s">
        <v>145</v>
      </c>
      <c s="26">
        <v>4</v>
      </c>
      <c s="26" t="s">
        <v>25</v>
      </c>
      <c s="26"/>
    </row>
    <row r="4" ht="15" customHeight="1">
      <c r="A4" s="35" t="s">
        <v>144</v>
      </c>
      <c s="168">
        <v>296.7</v>
      </c>
      <c s="26" t="s">
        <v>145</v>
      </c>
      <c s="26">
        <v>3</v>
      </c>
      <c s="26" t="s">
        <v>144</v>
      </c>
      <c s="26"/>
    </row>
    <row r="5" ht="12" customHeight="1">
      <c r="A5" s="10"/>
      <c s="168">
        <v>404.7</v>
      </c>
      <c s="26" t="s">
        <v>145</v>
      </c>
      <c s="26">
        <v>3</v>
      </c>
      <c s="26" t="s">
        <v>144</v>
      </c>
      <c s="26"/>
    </row>
    <row r="6" customHeight="1">
      <c r="A6" s="10"/>
      <c s="168">
        <v>435.8</v>
      </c>
      <c s="26" t="s">
        <v>145</v>
      </c>
      <c s="26">
        <v>3</v>
      </c>
      <c s="26" t="s">
        <v>144</v>
      </c>
      <c s="26"/>
    </row>
    <row r="7" customHeight="1">
      <c r="A7" s="7"/>
      <c s="5">
        <v>546.1</v>
      </c>
      <c s="26" t="s">
        <v>145</v>
      </c>
      <c s="26">
        <v>3</v>
      </c>
      <c s="26" t="s">
        <v>144</v>
      </c>
      <c s="6"/>
    </row>
    <row r="8" ht="15" customHeight="1">
      <c r="A8" s="317" t="s">
        <v>24</v>
      </c>
      <c s="5">
        <v>807.4</v>
      </c>
      <c s="26" t="s">
        <v>135</v>
      </c>
      <c s="26"/>
      <c s="26"/>
      <c s="26"/>
    </row>
    <row r="9" ht="15" customHeight="1">
      <c r="A9" s="11" t="s">
        <v>33</v>
      </c>
      <c s="5">
        <v>241</v>
      </c>
      <c s="26" t="s">
        <v>135</v>
      </c>
      <c s="26"/>
      <c s="26"/>
      <c s="26"/>
    </row>
    <row r="10" ht="15" customHeight="1">
      <c r="A10" s="265"/>
      <c s="5">
        <v>361</v>
      </c>
      <c s="26" t="s">
        <v>135</v>
      </c>
      <c s="26"/>
      <c s="26"/>
      <c s="26"/>
    </row>
    <row r="11" ht="15" customHeight="1">
      <c r="A11" s="146"/>
      <c s="5">
        <v>640.7</v>
      </c>
      <c s="26" t="s">
        <v>135</v>
      </c>
      <c s="26"/>
      <c s="26"/>
      <c s="26"/>
    </row>
    <row r="17" customHeight="1">
      <c r="D17" s="8"/>
    </row>
    <row r="18" customHeight="1">
      <c r="D18" s="8"/>
    </row>
    <row r="19" customHeight="1">
      <c r="D19" s="8"/>
    </row>
  </sheetData>
  <sortState ref="B5:B10">
    <sortCondition ref="B5:B10"/>
  </sortState>
  <mergeCells>
    <mergeCell ref="A2:A3"/>
    <mergeCell ref="A4:A7"/>
    <mergeCell ref="A9:A11"/>
  </mergeCells>
  <dataValidations>
    <dataValidation type="list" allowBlank="1" showInputMessage="1" showErrorMessage="1" sqref="C1:C11 C17:C18 C19:C1048576">
      <formula1>"Abs,T%,Er,Es"</formula1>
    </dataValidation>
    <dataValidation type="list" allowBlank="1" showInputMessage="1" showErrorMessage="1" sqref="D1:D11 D17:D18 D19:D1048576">
      <formula1>"1,2,3,4"</formula1>
    </dataValidation>
    <dataValidation type="list" allowBlank="1" showInputMessage="1" showErrorMessage="1" sqref="E1:E11 E17:E18 E19:E1048576">
      <formula1>"氘灯,钨灯,汞灯"</formula1>
    </dataValidation>
  </dataValidations>
  <printOptions/>
  <pageMargins left="0.7" right="0.7" top="0.75" bottom="0.75" header="0.3" footer="0.3"/>
  <pageSetup paperSize="9" firstPageNumber="4294963191" copies="0"/>
  <headerFooter/>
  <extLst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99153</dc:creator>
  <cp:lastModifiedBy>寻</cp:lastModifiedBy>
  <cp:revision>0</cp:revision>
  <dcterms:created xsi:type="dcterms:W3CDTF">2006-09-16T08:00:00+08:00</dcterms:created>
  <dcterms:modified xsi:type="dcterms:W3CDTF">2024-09-19T02:53:37+08:00</dcterms:modified>
</cp:coreProperties>
</file>