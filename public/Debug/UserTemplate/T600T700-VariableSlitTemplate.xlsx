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7" lowestEdited="5" rupBuild="26731"/>
  <workbookPr/>
  <bookViews>
    <workbookView showSheetTabs="0" xWindow="0" yWindow="0" windowWidth="28800" windowHeight="11010" tabRatio="517" firstSheet="9"/>
  </bookViews>
  <sheets>
    <sheet name="Report" sheetId="21" r:id="rId2"/>
    <sheet name="基础信息" sheetId="13" r:id="rId3"/>
    <sheet name="测量结果表" sheetId="20" r:id="rId4"/>
    <sheet name="管理表" sheetId="19" r:id="rId5"/>
    <sheet name="对应信息" sheetId="17" r:id="rId6"/>
    <sheet name="仪器状态" sheetId="23" r:id="rId7"/>
    <sheet name="检测项信息" sheetId="14" r:id="rId8"/>
    <sheet name="标准值" sheetId="16" r:id="rId9"/>
    <sheet name="字段对应" sheetId="15" r:id="rId10"/>
    <sheet name="波长示值误差与重复性校验" sheetId="3" r:id="rId11"/>
    <sheet name="透射比示值误差与重复性校验" sheetId="4" r:id="rId12"/>
    <sheet name="杂散光校验" sheetId="5" r:id="rId13"/>
    <sheet name="基线平直度检验" sheetId="6" r:id="rId14"/>
    <sheet name="基线暗噪声检验" sheetId="7" r:id="rId15"/>
    <sheet name="光谱带宽与仪器最小光谱带宽" sheetId="8" r:id="rId16"/>
    <sheet name="噪声检验" sheetId="9" r:id="rId17"/>
    <sheet name="波长边缘噪声" sheetId="10" r:id="rId18"/>
    <sheet name="漂移检验" sheetId="11" r:id="rId19"/>
  </sheets>
  <definedNames>
    <definedName name="OLE_LINK10" localSheetId="0">Report!#REF!</definedName>
  </definedNames>
  <calcPr calcId="18102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<sst xmlns="http://schemas.openxmlformats.org/spreadsheetml/2006/main" uniqueCount="443">
  <si>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</si>
  <si>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</si>
  <si>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</si>
  <si>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</si>
  <si>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</si>
  <si>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</si>
  <si>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</si>
  <si>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</si>
  <si>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</si>
  <si>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</si>
  <si>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检验结果</t>
  </si>
  <si>
    <t>序号</t>
  </si>
  <si>
    <t>检验项目</t>
  </si>
  <si>
    <t>结果</t>
  </si>
  <si>
    <t>波长段</t>
  </si>
  <si>
    <t>检测工具</t>
  </si>
  <si>
    <t>镨钕滤光片</t>
  </si>
  <si>
    <t>氘灯</t>
  </si>
  <si>
    <t>型号</t>
  </si>
  <si>
    <t>测量点</t>
  </si>
  <si>
    <t>杂散光</t>
  </si>
  <si>
    <t>检验工具</t>
  </si>
  <si>
    <t>220nm</t>
  </si>
  <si>
    <t>碘化钠标准溶液</t>
  </si>
  <si>
    <t>360nm</t>
  </si>
  <si>
    <t>亚硝酸钠标准溶液</t>
  </si>
  <si>
    <t>基线平直度</t>
  </si>
  <si>
    <t>测量值（Abs）</t>
  </si>
  <si>
    <t>基线暗噪声</t>
  </si>
  <si>
    <t>测量值（%）</t>
  </si>
  <si>
    <t>光谱带宽</t>
  </si>
  <si>
    <t>不超过标称光谱带宽的±20%</t>
  </si>
  <si>
    <t>≤0.05%</t>
  </si>
  <si>
    <t>≤0.005%</t>
  </si>
  <si>
    <t>≤0.1%</t>
  </si>
  <si>
    <t>≤0.02%</t>
  </si>
  <si>
    <t>漂移</t>
  </si>
  <si>
    <t>电源电压的适应性</t>
  </si>
  <si>
    <t>电压</t>
  </si>
  <si>
    <t>220V</t>
  </si>
  <si>
    <t>242V</t>
  </si>
  <si>
    <t>调压器，数字万用表</t>
  </si>
  <si>
    <t>介电强度</t>
  </si>
  <si>
    <t>无击穿和飞弧现象</t>
  </si>
  <si>
    <t>检验工具：耐压测试仪</t>
  </si>
  <si>
    <t>接触电流</t>
  </si>
  <si>
    <t>检验工具：泄漏电流测试仪</t>
  </si>
  <si>
    <t>保护接地</t>
  </si>
  <si>
    <t>≤0.1Ω</t>
  </si>
  <si>
    <t>检验工具：程控接地电阻测试仪</t>
  </si>
  <si>
    <t>测量值（Ω）</t>
  </si>
  <si>
    <t>绝缘电阻</t>
  </si>
  <si>
    <t>检验工具：绝缘电阻测试仪</t>
  </si>
  <si>
    <t>外观和结构</t>
  </si>
  <si>
    <t>检验结论</t>
  </si>
  <si>
    <t>备注</t>
  </si>
  <si>
    <t>名称</t>
  </si>
  <si>
    <t>特征值</t>
  </si>
  <si>
    <t>标准值</t>
  </si>
  <si>
    <t>是否为光谱扫描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</si>
  <si>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</si>
  <si>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</si>
  <si>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</si>
  <si>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</si>
  <si>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</si>
  <si>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</si>
  <si>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</si>
  <si>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</si>
  <si>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</si>
  <si>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</si>
  <si>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</si>
  <si>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</si>
  <si>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</si>
  <si>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</si>
  <si>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</si>
  <si>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</si>
  <si>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</si>
  <si>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</si>
  <si>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</si>
  <si>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</si>
  <si>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739.2,,807.4</t>
  </si>
  <si>
    <t>Er</t>
  </si>
  <si>
    <t>快速</t>
  </si>
  <si>
    <t>10%中性滤光片</t>
  </si>
  <si>
    <t>635.0,546.0,440.0</t>
  </si>
  <si>
    <t>R%</t>
  </si>
  <si>
    <t>极快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</si>
  <si>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</si>
  <si>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</si>
  <si>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</si>
  <si>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</si>
  <si>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</si>
  <si>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</si>
  <si>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</si>
  <si>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</si>
  <si>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</si>
  <si>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</si>
  <si>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</si>
  <si>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</si>
  <si>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</si>
  <si>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</si>
  <si>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</si>
  <si>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</si>
  <si>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</si>
  <si>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</si>
  <si>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</si>
  <si>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</si>
  <si>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</si>
  <si>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</si>
  <si>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</si>
  <si>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</si>
  <si>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波长示值误差与重复性校验</t>
  </si>
  <si>
    <t>807.4</t>
  </si>
  <si>
    <t>寻峰</t>
  </si>
  <si>
    <t>黑挡块</t>
  </si>
  <si>
    <t>空气</t>
  </si>
  <si>
    <t>656.1</t>
  </si>
  <si>
    <t>透射比示值误差与重复性校验</t>
  </si>
  <si>
    <t>635,546,440</t>
  </si>
  <si>
    <t>求平均</t>
  </si>
  <si>
    <t>紫外分光光度计标准物质GBW(E)130066</t>
  </si>
  <si>
    <t>杂散光校验</t>
  </si>
  <si>
    <t>220</t>
  </si>
  <si>
    <t>多次测量</t>
  </si>
  <si>
    <t>360</t>
  </si>
  <si>
    <t>基线平直度检验</t>
  </si>
  <si>
    <t>求最大偏移量</t>
  </si>
  <si>
    <t>基线暗噪声检验</t>
  </si>
  <si>
    <t>光谱带宽与仪器最小光谱带宽</t>
  </si>
  <si>
    <t>氘灯5.0</t>
  </si>
  <si>
    <t>求半峰宽</t>
  </si>
  <si>
    <t>氘灯2.0</t>
  </si>
  <si>
    <t>氘灯1.0</t>
  </si>
  <si>
    <t>氘灯0.5</t>
  </si>
  <si>
    <t>氘灯0.2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</si>
  <si>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</si>
  <si>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</si>
  <si>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</si>
  <si>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</si>
  <si>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</si>
  <si>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</si>
  <si>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</si>
  <si>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</si>
  <si>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</si>
  <si>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</si>
  <si>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</si>
  <si>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仪器预热1小时之后进行检验</t>
  </si>
  <si>
    <t>求漂移</t>
  </si>
  <si>
    <t>仪器方法标记</t>
  </si>
  <si>
    <t>仪器方法字段</t>
  </si>
  <si>
    <t>算法标记</t>
  </si>
  <si>
    <t>算法字段</t>
  </si>
  <si>
    <t>StartWl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</si>
  <si>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</si>
  <si>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</si>
  <si>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</si>
  <si>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</si>
  <si>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</si>
  <si>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</si>
  <si>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</si>
  <si>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</si>
  <si>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</si>
  <si>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</si>
  <si>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</si>
  <si>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</si>
  <si>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</si>
  <si>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Validation.ViewModel.DataStructure.GetDriftUVTestTool</t>
  </si>
  <si>
    <t>Name</t>
  </si>
  <si>
    <t>PhotoMode</t>
  </si>
  <si>
    <t>ScanWlInterval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</si>
  <si>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</si>
  <si>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</si>
  <si>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</si>
  <si>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</si>
  <si>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</si>
  <si>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</si>
  <si>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</si>
  <si>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</si>
  <si>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</si>
  <si>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</si>
  <si>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平均值（nm）</t>
  </si>
  <si>
    <t>误差值（nm）</t>
  </si>
  <si>
    <t>波长示值误差(nm)</t>
  </si>
  <si>
    <t>波长重复性</t>
  </si>
  <si>
    <t>判定结果</t>
  </si>
  <si>
    <t>透射比示值误差</t>
  </si>
  <si>
    <t>透射比重复性</t>
  </si>
  <si>
    <t>635nm</t>
  </si>
  <si>
    <t>546nm</t>
  </si>
  <si>
    <t>440nm</t>
  </si>
  <si>
    <t>350nm</t>
  </si>
  <si>
    <t>313nm</t>
  </si>
  <si>
    <t>257nm</t>
  </si>
  <si>
    <t>235nm</t>
  </si>
  <si>
    <t>测量值（nm）</t>
  </si>
  <si>
    <t>垂直距离范围</t>
  </si>
  <si>
    <t>500nm</t>
  </si>
  <si>
    <t>220nm杂散光</t>
  </si>
  <si>
    <t>360nm杂散光</t>
  </si>
  <si>
    <t>totalcount</t>
  </si>
  <si>
    <t>timeinterval</t>
  </si>
  <si>
    <t>测量波长</t>
  </si>
  <si>
    <t>最大最小值差</t>
  </si>
  <si>
    <t>WlRange</t>
  </si>
  <si>
    <t>灯状态</t>
  </si>
  <si>
    <t>钨灯</t>
  </si>
  <si>
    <t>汞灯</t>
  </si>
  <si>
    <t>钬溶液</t>
  </si>
  <si>
    <t>486</t>
  </si>
  <si>
    <t>误差范围（%）</t>
  </si>
  <si>
    <t>测试项</t>
  </si>
  <si>
    <t>U1601</t>
  </si>
  <si>
    <t>U1602</t>
  </si>
  <si>
    <t>U1603</t>
  </si>
  <si>
    <t>T600B</t>
  </si>
  <si>
    <t>T700A</t>
  </si>
  <si>
    <t>仪器ID</t>
  </si>
  <si>
    <t>项目编号</t>
  </si>
  <si>
    <t>平均值</t>
  </si>
  <si>
    <t>检验地点</t>
  </si>
  <si>
    <t>温度</t>
  </si>
  <si>
    <t>湿度</t>
  </si>
  <si>
    <t>其他</t>
  </si>
  <si>
    <t>T700S</t>
  </si>
  <si>
    <t>重复性</t>
  </si>
  <si>
    <t>父项目编号</t>
  </si>
  <si>
    <t>父项目名称</t>
  </si>
  <si>
    <t>子项目编号</t>
  </si>
  <si>
    <t>子项目名称</t>
  </si>
  <si>
    <t>可允许误差范围</t>
  </si>
  <si>
    <t>640.79</t>
  </si>
  <si>
    <t>536.86</t>
  </si>
  <si>
    <t>416.57</t>
  </si>
  <si>
    <t>361.12</t>
  </si>
  <si>
    <t>287.52</t>
  </si>
  <si>
    <t>241.12</t>
  </si>
  <si>
    <t>误差值</t>
  </si>
  <si>
    <t>提示</t>
  </si>
  <si>
    <t>修改标准值时，该仪器对应的模板文件必须未打开，同时修改后光标要在未修改的单元格内！方可保存成功！</t>
  </si>
  <si>
    <t>2.0</t>
  </si>
  <si>
    <t>1.0</t>
  </si>
  <si>
    <t>响应时间</t>
  </si>
  <si>
    <t>ResponseTime</t>
  </si>
  <si>
    <t>波长点</t>
  </si>
  <si>
    <t>指标要求</t>
  </si>
  <si>
    <t xml:space="preserve">透射比示值误差与
重复性
（紫外区）
</t>
  </si>
  <si>
    <t>透射比示值误差与重复性
(可见区）</t>
  </si>
  <si>
    <t>重复性(nm)</t>
  </si>
  <si>
    <t>误差值(nm)</t>
  </si>
  <si>
    <t>平均值(nm)</t>
  </si>
  <si>
    <t>标准值(nm)</t>
  </si>
  <si>
    <t xml:space="preserve">
波长示值误差
钬溶液：
±0.3nm
波长重复性
≤0.1nm </t>
  </si>
  <si>
    <t xml:space="preserve">波长示值误差与重复性
</t>
  </si>
  <si>
    <t>波长示值误差与重复性</t>
  </si>
  <si>
    <t>紫外分光光度计标准物质空白溶液</t>
  </si>
  <si>
    <t>5.0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</si>
  <si>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</si>
  <si>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</si>
  <si>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 xml:space="preserve">  有 □        无 □</t>
  </si>
  <si>
    <t>198V</t>
  </si>
  <si>
    <t>温度(℃)</t>
  </si>
  <si>
    <t>相对湿度(%)</t>
  </si>
  <si>
    <t xml:space="preserve">
波长示值误差
氘灯：
±0.1nm
镨钕：
±0.3nm
波长重复性
≤0.1nm 
</t>
  </si>
  <si>
    <t>B段</t>
  </si>
  <si>
    <t>测量值(nm)</t>
  </si>
  <si>
    <t>10%中性滤光片、20%中性滤光片、30%中性滤光片
（以标定的标准值为准）</t>
  </si>
  <si>
    <t>标准值(%)</t>
  </si>
  <si>
    <t>测量值(%)</t>
  </si>
  <si>
    <t>平均值(%)</t>
  </si>
  <si>
    <t>误差值(%)</t>
  </si>
  <si>
    <t>重复性(%)</t>
  </si>
  <si>
    <t>标准值（%）</t>
  </si>
  <si>
    <t>&lt;0.01%</t>
  </si>
  <si>
    <t>≤±0.1%</t>
  </si>
  <si>
    <t>光谱带宽（nm）</t>
  </si>
  <si>
    <t>偏差（%）</t>
  </si>
  <si>
    <t>噪声500nm</t>
  </si>
  <si>
    <t>噪声250nm</t>
  </si>
  <si>
    <t>±0.2%</t>
  </si>
  <si>
    <t>500nm测量值（%）</t>
  </si>
  <si>
    <t>500nm处的透射比变化（%）</t>
  </si>
  <si>
    <t>250nm测量值（%）</t>
  </si>
  <si>
    <t>250nm处的透射比变化（%）</t>
  </si>
  <si>
    <t>正常条件≤0.5mA</t>
  </si>
  <si>
    <t>测量值（mA）</t>
  </si>
  <si>
    <t>单一故障≤3.5mA</t>
  </si>
  <si>
    <t>≥20MΩ</t>
  </si>
  <si>
    <t>测量值（MΩ）</t>
  </si>
  <si>
    <t>合格 □                 不合格 □</t>
  </si>
  <si>
    <t xml:space="preserve">透射比示值误差
±0.3%
透射比重复性
≤0.1%
</t>
  </si>
  <si>
    <t>透射比示值误差
±0.3%
透射比重复性
≤0.1%</t>
  </si>
  <si>
    <t>边缘噪声
1090 nm</t>
  </si>
  <si>
    <t>边缘噪声200nm</t>
  </si>
  <si>
    <t>测量值
（%）</t>
  </si>
  <si>
    <t>640.7</t>
  </si>
  <si>
    <t>536.8</t>
  </si>
  <si>
    <t>416.5</t>
  </si>
  <si>
    <t>361.0</t>
  </si>
  <si>
    <t>287.4</t>
  </si>
  <si>
    <t>241.0</t>
  </si>
  <si>
    <t>子项目编号-与检测项信息对应的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</si>
  <si>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</si>
  <si>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</si>
  <si>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</si>
  <si>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</si>
  <si>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</si>
  <si>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</si>
  <si>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</si>
  <si>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仪器id</t>
  </si>
  <si>
    <t>项目</t>
  </si>
  <si>
    <t>能量</t>
  </si>
  <si>
    <t>关灯，增益1下的RSD值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</si>
  <si>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</si>
  <si>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</si>
  <si>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</si>
  <si>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</si>
  <si>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</si>
  <si>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</si>
  <si>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</si>
  <si>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</si>
  <si>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</si>
  <si>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id</t>
  </si>
  <si>
    <t>父id</t>
  </si>
  <si>
    <t>ScanSpeed</t>
  </si>
  <si>
    <t>Gain</t>
  </si>
  <si>
    <t>LampPos</t>
  </si>
  <si>
    <t>氘灯(656.1)</t>
  </si>
  <si>
    <t>氘灯(486.0)</t>
  </si>
  <si>
    <t>平均值（%）</t>
  </si>
  <si>
    <t>误差值（%）</t>
  </si>
  <si>
    <t>重复性（%）</t>
  </si>
  <si>
    <t>特征值（nm）</t>
  </si>
  <si>
    <t>重复性（nm）</t>
  </si>
  <si>
    <t>U1604</t>
  </si>
  <si>
    <t>U1701</t>
  </si>
  <si>
    <t>U1702</t>
  </si>
  <si>
    <t>U1703</t>
  </si>
  <si>
    <t>U1704</t>
  </si>
  <si>
    <t>T600A</t>
  </si>
  <si>
    <t>T600S</t>
  </si>
  <si>
    <t>T600AS</t>
  </si>
  <si>
    <t>T700B</t>
  </si>
  <si>
    <t>T700AS</t>
  </si>
  <si>
    <t>350,313,257,235</t>
  </si>
  <si>
    <t>特征值(nm)</t>
  </si>
  <si>
    <t>≤±0.0005（2.0nm光谱带宽）</t>
  </si>
  <si>
    <t>500nm ≤0.1%/h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</si>
  <si>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</si>
  <si>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23.2,51.58,14.06,18.42</t>
  </si>
  <si>
    <t>7.57,10.1,10.07</t>
  </si>
  <si>
    <t>18.89,20.09,20.91</t>
  </si>
  <si>
    <t>29.96,30.43,28.88</t>
  </si>
  <si>
    <t>氘灯656.1</t>
  </si>
  <si>
    <t>氘灯486</t>
  </si>
  <si>
    <t>640.7,536.8,416.5,361.0,287.4,241.0</t>
  </si>
  <si>
    <t>碘化钠空白溶液</t>
  </si>
  <si>
    <t>亚硝酸钠空白溶液</t>
  </si>
  <si>
    <t>UVWin版本号</t>
  </si>
  <si>
    <t>UVTouch版本号</t>
  </si>
  <si>
    <t>32805,924215,1039,928518;32805,923969,1039,928321;32804,923644,1039,928016</t>
  </si>
  <si>
    <t>31U1703-98-0012</t>
  </si>
  <si>
    <t>24301,244138,1039,246466;24303,244101,1039,246406;24303,244048,1039,246350</t>
  </si>
  <si>
    <t>54500,1122473,1378,1150164;54450,1152500,1378,1180739;54400,1182898,1378,1211674;54350,1212186,1378,1241495;54300,1240579,1378,1270370;54250,1268367,1378,1298667;54200,1297551,1378,1328381;54150,1328116,1378,1359437;54100,1359657,1378,1391547;54050,1390468,1378,1422838;54000,1422577,1378,1455482;53950,1457381,1378,1490867;53900,1494972,1378,1529075;53850,1533382,1378,1568055;53800,1570978,1378,1606243;53750,1607943,1378,1643731;53700,1646871,1378,1683245;53650,1685601,1378,1722492;53600,1729654,1378,1767162;53550,1771053,1378,1809081;53500,1810989,1378,1849520;53450,1801576,1384,1839474;53400,480053,1553,487760;53350,490596,1553,498331;53300,501394,1553,509203;53250,512972,1553,520806;53200,526237,1553,534188;53150,540632,1553,548728;53100,555411,1553,563709;53050,570134,1553,578545;53000,585522,1553,594088;52950,601773,1553,610450;52900,619717,1553,628565;52850,638377,1553,647385;52800,656570,1553,665671;52750,674339,1553,683481;52700,692663,1553,701823;52650,711461,1553,720641;52600,729361,1553,738597;52550,746323,1553,755612;52500,763621,1553,772932;52450,781224,1553,790554;52400,799308,1553,808663;52350,816647,1553,826022;52300,832841,1553,842220;52250,848676,1553,858055;52200,865228,1553,874596;52150,882079,1553,891446;52100,898929,1553,908246;52050,915610,1553,924884;52000,932687,1553,941960;51950,950570,1553,959777;51900,969600,1553,978721;51850,988279,1553,997328;51800,1005940,1553,1014891;51750,1023071,1553,1031949;51700,1040952,1553,1049759;51650,1058644,1553,1067360;51600,1075949,1553,1084548;51550,1092191,1553,1100678;51500,1108562,1553,1116902;51450,1124817,1553,1133016;51400,1140761,1553,1148807;51350,1155676,1553,1163599;51300,1169334,1553,1177105;51250,1182458,1553,1190093;51200,1195949,1553,1203425;51150,1209647,1553,1216948;51100,1222868,1553,1229975;51050,1235468,1553,1242394;51000,1248469,1553,1255204;50950,1261796,1553,1268316;50900,1275549,1553,1281836;50850,1288937,1553,1294968;50800,1301652,1553,1307415;50750,1314029,1553,1319557;50700,1326482,1553,1331726;50650,1338756,1553,1343711;50600,1350659,1553,1355318;50550,1361680,1553,1366045;50500,1372416,1553,1376489;50450,1382938,1553,1386678;50400,1393148,1553,1396576;50350,1402548,1553,1405636;50300,1410802,1553,1413577;50250,1418431,1553,1420925;50200,1426079,1553,1428251;50150,1433960,1553,1435801;50100,1441916,1553,1443399;50050,1449168,1553,1450281;50000,1456255,1553,1456980;49950,1463497,1553,1463843;49900,1470853,1553,1470772;49850,1477957,1553,1477424;49800,1484600,1553,1483629;49750,1490982,1553,1489573;49700,1497317,1553,1495423;49650,1503327,1553,1500949;49600,1508871,1553,1506010;49550,1514000,1553,1510669;49500,1518993,1553,1515179;49450,1523754,1553,1519428;49400,1528289,1553,1523447;49350,1532400,1553,1527040;49300,1535975,1553,1530118;49250,1539209,1553,1532897;49200,1542390,1553,1535588;49150,1545453,1553,1538141;49100,1548239,1553,1540421;49050,1550842,1553,1542513;49000,1553299,1553,1544429;48950,1555631,1553,1546194;48900,1558053,1553,1547991;48850,1560345,1553,1549676;48800,1562178,1553,1550910;48750,1563698,1553,1551803;48700,1565287,1553,1552732;48650,1566857,1553,1553664;48600,1568272,1553,1554462;48550,1569325,1553,1554896;48500,1570192,1553,1555118;48450,1570902,1553,1555192;48400,1571262,1553,1554899;48350,1571317,1553,1554336;48300,1571329,1553,1553769;48250,1571277,1553,1553120;48200,1571016,1553,1552240;48150,1570748,1553,1551354;48100,1570290,1553,1550279;48050,1569890,1553,1549262;48000,1569396,1553,1548152;47950,1568159,1553,1546268;47900,1566995,1553,1544382;47850,1565788,1553,1542449;47800,1563899,1553,1539873;47750,1562222,1553,1537485;47700,1560967,1553,1535500;47650,1559329,1553,1533128;47600,1557117,1553,1530202;47550,1555550,1553,1527940;47500,1552787,1553,1524457;47450,1550447,1553,1521377;47400,1549518,1553,1519664;47350,1547710,1553,1517123;47300,1545007,1553,1513755;47250,1542012,1553,1510077;47200,1538283,1553,1505661;47150,1535792,1553,1502477;47100,1536186,1553,1502149;47050,1537120,1553,1502363;47000,1536639,1553,1501158;46950,1533693,1553,1497487;46900,1527619,1553,1490692;46850,1521672,1553,1483990;46800,1518290,1553,1479833;46750,1513808,1553,1474586;46700,1509625,1553,1469580;46650,1509030,1553,1468091;46600,1508436,1553,1466604;46550,1507126,1553,1464396;46500,1506551,1553,1462894;46450,1505025,1553,1460459;46400,1502486,1553,1457020;46350,1499693,1553,1453367;46300,1496706,1553,1449582;46250,1493503,1553,1445594;46200,1490240,1553,1441536;46150,1487081,1553,1437599;46100,1484009,1553,1433773;46050,1480914,1553,1429916;46000,1477640,1553,1425827;45950,1473969,1553,1421279;45900,1469852,1553,1416254;45850,1465735,1553,1411238;45800,1461791,1553,1406379;45750,1457721,1553,1401384;45700,1453438,1553,1396132;45650,1449122,1553,1390840;45600,1445122,1553,1385927;45550,1441121,1553,1381006;45500,1436810,1553,1375736;45450,1432351,1553,1370300;45400,1427910,1553,1364911;45350,1423832,1553,1359908;45300,1420109,1553,1355300;45250,1416365,1553,1350704;45200,1412563,1553,1346102;45150,1408642,1553,1341453;45100,1404624,1553,1336682;45050,1400570,1553,1331811;45000,1396304,1553,1326692;44950,1391604,1553,1321069;44900,1387059,1553,1315568;44850,1382778,1553,1310331;44800,1378487,1553,1305125;44750,1374093,1553,1299794;44700,1369540,1553,1294278;44650,1364945,1553,1288737;44600,1360532,1553,1283420;44550,1356141,1553,1278159;44500,1351577,1553,1272717;44450,1346811,1553,1267044;44400,1342188,1553,1261525;44350,1337816,1553,1256341;44300,1333647,1553,1251403;44250,1329509,1553,1246492;44200,1325289,1553,1241514;44150,1321190,1553,1236665;44100,1317339,1553,1232115;44050,1313484,1553,1227590;44000,1309448,1553,1222847;43950,1305134,1553,1217766;43900,1300662,1553,1212494;43850,1296325,1553,1207401;43800,1292188,1553,1202542;43750,1287879,1553,1197506;43700,1283508,1553,1192417;43650,1279317,1553,1187518;43600,1275351,1553,1182912;43550,1271432,1553,1178357;43500,1267485,1553,1173756;43450,1263477,1553,1169114;43400,1259507,1553,1164531;43350,1255824,1553,1160271;43300,1252432,1553,1156342;43250,1249185,1553,1152595;43200,1246053,1553,1148990;43150,1243069,1553,1145544;43100,1240181,1553,1142233;43050,1237371,1553,1139014;43000,1234541,1553,1135793;42950,1231648,1553,1132500;42900,1228718,1553,1129173;42850,1225779,1553,1125815;42800,1222932,1553,1122585;42750,1220205,1553,1119500;42700,1217482,1553,1116437;42650,1214860,1553,1113505;42600,1212512,1553,1110879;42550,1210341,1553,1108449;42500,1208276,1553,1106135;42450,1206245,1553,1103885;42400,1204337,1553,1101784;42350,1202671,1553,1099950;42300,1201237,1553,1098353;42250,1199895,1553,1096909;42200,1198666,1553,1095592;42150,1197578,1553,1094436;42100,1196696,1553,1093500;42050,1195928,1553,1092694;42000,1195212,1553,1091939;41950,1194497,1553,1091240;41900,1193918,1553,1090667;41850,1193473,1553,1090270;41800,1193167,1553,1090026;41750,1192957,1553,1089880;41700,1192871,1553,1089905;41650,1192895,1553,1090081;41600,1192997,1553,1090320;41550,1193271,1553,1090764;41500,1193704,1553,1091377;41450,1194173,1553,1092095;41400,1194896,1553,1093050;41350,1195838,1553,1094212;41300,1196751,1553,1095370;41250,1197761,1553,1096638;41200,1198551,1553,1097747;41150,1199486,1553,1098988;41100,1200948,1553,1100721;41050,1202461,1553,1102494;41000,1203578,1553,1103888;40950,1204843,1553,1105506;40900,1206496,1553,1107543;40850,1208319,1553,1109772;40800,1210218,1553,1112056;40750,1212500,1553,1114741;40700,1214845,1553,1117539;40650,1217286,1553,1120446;40600,1219633,1553,1123256;40550,1222016,1553,1126108;40500,1224507,1553,1129095;40450,1227255,1553,1132402;40400,1230056,1553,1135774;40350,1232725,1553,1138968;40300,1235306,1553,1142049;40250,1237872,1553,1145129;40200,1240580,1553,1148347;40150,1243239,1553,1151535;40100,1245710,1553,1154469;40050,1248165,1553,1157420;40000,1250702,1553,1160420;39950,1253486,1553,1163730;39900,1256436,1553,1167239;39850,1259552,1553,1170946;39800,1262795,1553,1174819;39750,1266184,1553,1178828;39700,1269607,1553,1182923;39650,1272952,1553,1186906;39600,1276201,1553,1190734;39550,1279677,1553,1194851;39500,1283229,1553,1199078;39450,1286917,1553,1203473;39400,1290563,1553,1207747;39350,1293865,1553,1211677;39300,1296993,1553,1215404;39250,1300303,1553,1219303;39200,1303566,1553,1223203;39150,1306764,1553,1226987;39100,1309814,1553,1230605;39050,1312798,1553,1234114;39000,1315608,1553,1237453;38950,1318723,1553,1241152;38900,1322029,1553,1245086;38850,1325483,1553,1249168;38800,1329010,1553,1253345;38750,1332473,1553,1257460;38700,1336171,1553,1261811;38650,1339853,1553,1266180;38600,1343273,1553,1270211;38550,1346727,1553,1274295;38500,1350349,1553,1278573;38450,1354039,1553,1282945;38400,1357611,1553,1287159;38350,1360724,1553,1290905;38300,1363422,1553,1294171;38250,1365895,1553,1297256;38200,1368603,1553,1300553;38150,1371991,1553,1304507;38100,1375080,1553,1308103;38050,1377277,1553,1310916;38000,1384249,1553,1319256;37950,1389173,1553,1324605;37900,1393285,1553,1329219;37850,1396665,1553,1333153;37800,1399878,1553,1336891;37750,1403159,1553,1340718;37700,1406878,1553,1345044;37650,1410461,1553,1349211;37600,1413920,1553,1353234;37550,1417465,1553,1357346;37500,1421116,1553,1361526;37450,1424791,1553,1365757;37400,1428309,1553,1369770;37350,1431580,1553,1373518;37300,1434735,1553,1377132;37250,1438002,1553,1380873;37200,1441271,1553,1384611;37150,1444466,1553,1388238;37100,1447578,1553,1391765;37050,1450665,1553,1395246;37000,1453836,1553,1398803;36950,1457045,1553,1402389;36900,1460438,1553,1406159;36850,1463860,1553,1409989;36800,1467427,1553,1413948;36750,1471274,1553,1418196;36700,1475191,1553,1422495;36650,1479061,1553,1426766;36600,1482763,1553,1430818;36550,1486640,1553,1435077;36500,1490646,1553,1439407;36450,1494794,1553,1443853;36400,1498757,1553,1448124;36350,1502617,1553,1452244;36300,1506432,1553,1456304;36250,1510320,1553,1460411;36200,1514355,1553,1464671;36150,1518611,1553,1469118;36100,1522577,1553,1473272;36050,1526443,1553,1477292;36000,1530443,1553,1481455;35950,1534930,1553,1486098;35900,1539624,1553,1490902;35850,1544574,1553,1495937;35800,1549585,1553,1501008;35750,1554829,1553,1506314;35700,1560283,1553,1511819;35650,1565931,1553,1517462;35600,1571629,1553,1523130;35550,1577665,1553,1529122;35500,1584004,1553,1535369;35450,1590472,1553,1541717;35400,1596648,1553,1547749;35350,1602484,1553,1553412;35300,1608670,1553,1559413;35250,1615433,1553,1565959;35200,1622557,1553,1572803;35150,1629947,1553,1579872;35100,1637730,1553,1587289;35050,1646284,1553,1595406;35000,1655493,1553,1604113;34950,1665354,1553,1613376;34900,1675300,1553,1622731;34850,1685364,1553,1632144;34800,1695942,1553,1641996;34750,1707655,1553,1652865;34700,1720470,1553,1664727;34650,1734082,1553,1677280;34600,1748256,1553,1690313;34550,1763599,1553,1704380;34500,1779859,1553,1719226;34450,1796789,1553,1734691;34400,1813598,1553,1749984;34350,1830660,1553,1765450;34300,1849052,1553,1782114;34250,1869599,1553,1800710;34200,1892491,1553,1821355;34150,1917590,1553,1843996;34100,1944405,1553,1868100;34050,1975003,1553,1895558;34000,2010025,1553,1926984;33950,2049916,1553,1962705;33900,2092782,1553,2001046;33850,2138021,1553,2041466;33800,2187295,1553,2085424;33750,2243543,1553,2135596;33700,2306100,1553,2191360;33650,2372014,1553,2250039;33600,2439534,1553,2310103;33550,2511164,1553,2373827;33500,2584576,1553,2439149;33450,2657059,1553,2503627;33400,2721836,1553,2561320;33350,2771424,1553,2605606;33300,2798389,1553,2629895;33250,2793206,1553,2625851;33200,2743270,1553,2582334;33150,2638892,1553,2490752;33100,2481532,1553,2352369;33050,2280009,1553,2174912;33000,2043750,1553,1966683;32950,1802964,1553,1754357;32900,1588251,1553,1564905;32850,1417598,1553,1414285;32800,1289049,1553,1300818;32750,1191749,1553,1214966;32700,1134129,1553,1164271;32650,1127813,1553,1159100;32600,1159265,1553,1187495;32550,1194503,1553,1219261;32500,1215665,1553,1238479;32450,1228630,1553,1250330;32400,1237600,1553,1258602;32350,1244122,1553,1264675;32300,1249003,1553,1269265;32250,1252629,1553,1272714;32200,1255388,1553,1275402;32150,1257425,1553,1277439;32100,1258772,1553,1278829;32050,1259640,1553,1279819;32000,1260030,1553,1280386;31950,1259978,1553,1280534;31900,1259611,1553,1280379;31850,1258995,1553,1279978;31800,1258168,1553,1279399;31750,1257144,1553,1278649;31700,1255897,1553,1277683;31650,1254505,1553,1276571;31600,1252986,1553,1275322;31550,1251251,1553,1273864;31500,1249429,1553,1272331;31450,1247613,1553,1270797;31400,1245820,1553,1269270;31350,1244025,1553,1267734;31300,1242118,1553,1266092;31250,1239987,1553,1264233;31200,1237749,1553,1262258;31150,1235491,1553,1260270;31100,1233139,1553,1258199;31050,1230731,1553,1256060;31000,1228073,1553,1253692;30950,1225159,1553,1251089;30900,1222281,1553,1248515;30850,1219557,1553,1246071;30800,1216761,1553,1243538;30750,1213896,1553,1240961;30700,1211012,1553,1238349;30650,1208125,1553,1235713;30600,1205255,1553,1233084;30550,1202324,1553,1230397;30500,1199269,1553,1227580;30450,1196267,1553,1224818;30400,1193431,1553,1222207;30350,1190660,1553,1219636;30300,1187751,1553,1216927;30250,1184704,1553,1214090;30200,1181611,1553,1211204;30150,1178555,1553,1208344;30100,1175349,1553,1205344;30050,1172060,1553,1202283;30000,1168533,1553,1198981;29950,1164809,1553,1195469;29900,1161046,1553,1191904;29850,1157434,1553,1188489;29800,1153906,1553,1185150;29750,1150328,1553,1181742;29700,1146707,1553,1178293;29650,1143281,1553,1175029;29600,1139939,1553,1171834;29550,1136507,1553,1168549;29500,1132921,1553,1165111;29450,1129346,1553,1161693;29400,1125919,1553,1158388;29350,1122656,1553,1155245;29300,1119292,1553,1152005;29250,1115771,1553,1148599;29200,1112136,1553,1145074;29150,1108454,1553,1141499;29100,1104589,1553,1137748;29050,1100633,1553,1133896;29000,1096481,1553,1129847;28950,1092222,1553,1125683;28900,1088012,1553,1121575;28850,1083908,1553,1117567;28800,1079788,1553,1113527;28750,1075722,1553,1109512;28700,1071698,1553,1105539;28650,1067848,1553,1101753;28600,1064026,1553,1097982;28550,1060103,1553,1094103;28500,1056094,1553,1090140;28450,1052151,1553,1086238;28400,1048443,1553,1082562;28350,1044954,1553,1079110;28300,1041391,1553,1075572;28250,1037576,1553,1071768;28200,1033642,1553,1067847;28150,1029609,1553,1063827;28100,1025434,1553,1059674;28050,1021157,1553,1055389;28000,1016673,1553,1050897;27950,1011957,1553,1046167;27900,1007168,1553,1041356;27850,1002590,1553,1036756;27800,998179,1553,1032315;27750,908418,1553,939115;27700,850160,1553,878636;27650,850691,1553,879247;27600,851051,1553,879684;27550,851327,1553,880058;27500,2361295,1447,2451500;27450,3367638,1378,3498886;27400,3366706,1378,3498130;27350,3365426,1378,3497031;27300,3363866,1378,3495599;27250,3361975,1378,3493868;27200,3359287,1378,3491293;27150,3355889,1378,3487952;27100,3351460,1378,3483530;27050,3346223,1378,3478195;27000,3340539,1378,3472391;26950,3333927,1378,3465640;26900,3326721,1378,3458218;26850,3319522,1378,3450767;26800,3312248,1378,3443204;26750,3304687,1378,3435307;26700,3296745,1378,3426989;26650,3288891,1378,3418798;26600,3281241,1378,3410754;26550,3273372,1378,3402442;26500,3265041,1378,3393639;26450,3256327,1378,3384365;26400,3247715,1378,3375257;26350,3239329,1378,3366390;26300,3230369,1378,3356823;26250,3220870,1378,3346665;26200,3211016,1378,3336121;26150,3200940,1378,3325269;26100,3190649,1378,3314140;26050,3179450,1378,3302074;26000,3167531,1378,3289189;25950,3155269,1378,3275786;25900,3142909,1378,3262208;25850,3130891,1378,3249010;25800,3119284,1378,3236229;25750,3108218,1378,3223952;25700,3097739,1378,3212250;25650,3087998,1378,3201327;25600,3078905,1378,3191048;25550,3069888,1378,3180807;25500,3060765,1378,3170410;25450,3051854,1378,3160119;25400,3043492,1378,3150379;25350,3035552,1378,3141072;25300,3027859,1378,3131885;25250,3020176,1378,3122630;25200,3012690,1378,3113433;25150,3005649,1378,3104538;25100,2998930,1378,3095936;25050,2992697,1378,3087662;25000,2986833,1378,3079505;24950,2981421,1378,3071622;24900,2977323,1378,3064916;24850,2974604,1378,3059376;24800,2973235,1378,3055115;24750,2973288,1378,3052369;24700,2974504,1378,3050842;24650,2976671,1378,3050292;24600,2979819,1378,3050736;24550,2984002,1378,3052063;24500,2989270,1378,3054288;24450,2995705,1378,3057546;24400,3002825,1378,3061540;24350,3010479,1378,3066097;24300,3019117,1378,3071435;24250,3028833,1378,3077572;24200,3038605,1378,3083620;24150,3047775,1378,3089079;24100,3055205,1378,3092938;24050,3059292,1378,3093630;24000,3057217,1378,3088583;23950,3045074,1378,3074178;23900,3018238,1378,3046389;23850,2973541,1378,3002457;23800,2910968,1378,2942400;23750,2833054,1378,2868692;23700,2739135,1378,2780570;23650,2629932,1378,2678499;23600,2515132,1378,2571504;23550,2404483,1378,2468588;23500,2297318,1378,2368919;23450,2187869,1378,2267103;23400,2083047,1378,2169479;23350,1990668,1378,2083230;23300,1903233,1378,2001429;23250,1819150,1378,1922453;23200,1742104,1378,1849736;23150,1674275,1378,1785344;23100,1616413,1378,1730008;23050,1565414,1378,1680814;23000,1520299,1378,1636791;22950,1480236,1378,1597221;22900,1445574,1378,1562560;22850,1415941,1378,1532495;22800,1390626,1378,1506365;22750,1369775,1378,1484479;22700,1355211,1378,1468610;22650,1350917,1378,1462572;22600,1354336,1378,1463804;22550,1358111,1378,1465241;22500,1356103,1378,1461211;22450,1349260,1378,1452590;22400,1340542,1378,1442268;22350,1330757,1378,1431027;22300,1319814,1378,1418661;22250,1307299,1378,1404641;22200,1293599,1378,1389441;22150,1279429,1378,1373775;22100,1265115,1378,1358031;22050,1249987,1378,1341424;22000,1234042,1378,1323985;21950,1217195,1378,1305564;21900,1199841,1378,1286602;21850,1182539,1378,1267711;21800,1166017,1378,1249627;21750,1150335,1378,1232483;21700,1135516,1378,1216330;21650,1121286,1378,1200762;21600,1107832,1378,1185988;21550,1095051,1378,1171957;21500,1082225,1378,1157904;21450,1069307,1378,1143696;21400,1056793,1378,1129875;21350,1044717,1378,1116519;21300,1032681,1378,1103163;21250,1020210,1378,1089268;21200,1007450,1378,1074969;21150,995050,1378,1061015;21100,983173,1378,1047586;21050,971400,1378,1034117;21000,959702,1378,1020626;20950,948166,1378,1007229;20900,936988,1378,994175;20850,926266,1378,981635;20800,915893,1378,969639;20750,905185,1378,957523;20700,893221,1378,944322;20650,879754,1378,929861;20600,863707,1378,913058;20550,844504,1378,893364;20500,822170,1378,870821;20450,797916,1378,846599;20400,773499,1378,822356;20350,748768,1378,797832;20300,722948,1378,772223;20250,696844,1378,746272;20200,672008,1378,721403;20150,649616,1378,698875;20100,628566,1378,677499;20050,608289,1378,656720;20000,588458,1378,636284;19950,569433,1378,616515;19900,552170,1378,598446;19850,536802,1378,582219;19800,523023,1378,567504;19750,511345,1378,554796;19700,500905,1378,543263;19650,490142,1378,531438;19600,479411,1378,519724;19550,469129,1378,508538;19500,458729,1378,497241;19450,448010,1378,485623;19400,437411,1378,474129;19350,427155,1378,462997;19300,416235,1378,451156;19250,404613,1378,438582;19200,392970,1378,425967;19150,381831,1378,413891;19100,370577,1378,401699;19050,358911,1378,389045;19000,679679,1149,738055;18950,815751,1040,886175;18900,787399,1040,855344;18850,761260,1040,826934;18800,736965,1040,800486;18750,713518,1040,774983;18700,691684,1040,751201;18650,671449,1040,729187;18600,653548,1040,709779;18550,637020,1040,691872;18500,620760,1040,674275;18450,604903,1040,657090;18400,589530,1040,640455;18350,574674,1040,624371;18300,559970,1040,608411;18250,545079,1040,592271;18200,530259,1040,576232;18150,515815,1040,560577;18100,697842,1040,759173;18050,508597,1040,550715;18000,288619,1040,309245;17950,294817,1040,315852;17900,301249,1040,322743;17850,307277,1040,329190;17800,312918,1040,335225;17750,318664,1040,341369;17700,324654,1040,347783;17650,330543,1040,354083;17600,335816,1040,359701;17550,340911,1040,365131;17500,346394,1040,370993;17450,352368,1040,377379;17400,358474,1040,383899;17350,364155,1040,389965;17300,369621,1040,395788;17250,375411,1040,401973;17200,381716,1040,408693;17150,388424,1040,415819;17100,395240,1040,423069;17050,402022,1040,430277;17000,408796,1040,437463;16950,415936,1040,445032;16900,423380,1040,452931;16850,430590,1040,460556;16800,437409,1040,467780;16750,444054,1040,474815;16700,451259,1040,482403;16650,458987,1040,490514;16600,466532,1040,498451;16550,473804,1040,506101;16500,481017,1040,513644;16450,488496,1040,521474;16400,496299,1040,529633;16350,504359,1040,538038;16300,513119,1040,547178;16250,522567,1040,557012;16200,532383,1040,567192;16150,542674,1040,577845;16100,553310,1040,588873;16050,564361,1040,600300;16000,575793,1040,612075;15950,587894,1040,624527;15900,600321,1040,637294;15850,612155,1040,649495;15800,623686,1040,661368;15750,634923,1040,672898;15700,646120,1040,684433;15650,657200,1040,695887;15600,667211,1040,706267;15550,676550,1040,716002;15500,686047,1040,725935;15450,695245,1040,735599;15400,704046,1040,744884;15350,712495,1040,753816;15300,720800,1040,762658;15250,728905,1040,771375;15200,736711,1040,779823;15150,744010,1040,787836;15100,750336,1040,794921;15050,755310,1040,800724;15000,758836,1040,805193;14950,760352,1040,807786;14900,759919,1040,808509;14850,757954,1040,807708;14800,755006,1040,805882;14750,751670,1040,803575;14700,748289,1040,801134;14650,745190,1040,798864;14600,742815,1040,797175;14550,741102,1040,796033;14500,740114,1040,795572;14450,739983,1040,795997;14400,740943,1040,797469;14350,743129,1040,800181;14300,746411,1040,804076;14250,750460,1040,808754;14200,755309,1040,814236;14150,761122,1040,820615;14100,767984,1040,828004;14050,775750,1040,836330;14000,784549,1040,845761;13950,794092,1040,856010;13900,804312,1040,866915;13850,815220,1040,878555;13800,826996,1040,891151;13750,840356,1040,905430;13700,855547,1040,921655;13650,872183,1040,939407;13600,890266,1040,958691;13550,910454,1040,980168;13500,933803,1040,1004892;13450,960283,1040,1032924;13400,987926,1040,1062221;13350,1016005,1040,1092097;13300,1046564,1040,1124631;13250,1080219,1040,1160481;13200,1115730,1040,1198348;13150,1151402,1040,1236402;13100,1187602,1040,1275002;13050,1225651,1040,1315604;13000,1266200,1040,1358941;12950,1307849,1040,1403478;12900,1347814,1040,1446248;12850,1384778,1040,1485921;12800,1420705,1040,1524683;12750,1456662,1040,1563600;12700,1491736,1040,1601732;12650,1524273,1040,1637305;12600,1555125,1040,1671224;12550,1585835,1040,1705129;12500,1617048,1040,1739747;12450,1649000,1040,1775190;12400,1680652,1040,1810183;12350,1711580,1040,1844308;12300,1743888,1040,1879797;12250,1778621,1040,1917720;12200,1814268,1040,1956390;12150,1849547,1040,1994349;12100,1883874,1040,2031077;12050,1917708,1040,2067268;12000,1950271,1040,2102037;11950,1980237,1040,2133963;11900,2005067,1040,2160487;11850,2023681,1040,2180446;11800,2036207,1040,2193802;11750,2043021,1040,2201164;11700,2044820,1040,2203048;11650,2042203,1040,2200079;11600,2036135,1040,2193463;11550,2027091,1040,2183629;11500,2016135,1040,2171783;11450,2003646,1040,2158493;11400,1990682,1040,2144780;11350,1978346,1040,2131838;11300,1965678,1040,2118635;11250,1951432,1040,2103979;11200,1936191,1040,2088489;11150,1919551,1040,2071541;11100,1901742,1040,2053455;11050,1882118,1040,2033483;11000,1860914,1040,2011835;10950,1838282,1040,1988636;10900,1814869,1040,1964308;10850,1790460,1040,1938570;10800,1765973,1040,1912493;10750,1740699,1040,1885405;10700,1713661,1040,1856215;10650,1683578,1040,1823426;10600,1652898,1040,1790087;10550,1623038,1040,1757846;10500,1591203,1040,1723651;10450,1551715,1040,1681116;10400,1506075,1040,1631876;10350,1463365,1040,1586112;10300,1423586,1040,1543882;10250,1374684,1040,1491584;10200,1314594,1040,1426833;10150,1257341,1040,1365413;10100,1205307,1040,1309668;10050,1143636,1040,1242700;10000,1072720,1040,1165019</t>
  </si>
  <si>
    <t>17492,31663,1372,151029;17492,31670,1372,151054;17492,31667,1372,151036</t>
  </si>
  <si>
    <t>15647,127976,1372,280639;15647,127929,1372,280535;15647,127932,1372,280529</t>
  </si>
  <si>
    <t>12840,73062,1372,596303;12840,73049,1372,596179;12840,73057,1372,596269</t>
  </si>
  <si>
    <t>0.004</t>
  </si>
  <si>
    <t>1.80</t>
  </si>
  <si>
    <t>0.90</t>
  </si>
  <si>
    <t>0.48</t>
  </si>
  <si>
    <t>0.16</t>
  </si>
  <si>
    <t>-20.00</t>
  </si>
  <si>
    <t>-4.00</t>
  </si>
  <si>
    <t>-10.00</t>
  </si>
  <si>
    <t>416.50</t>
  </si>
  <si>
    <t>0.00</t>
  </si>
  <si>
    <t>361.10</t>
  </si>
  <si>
    <t>0.10</t>
  </si>
  <si>
    <t>287.40</t>
  </si>
  <si>
    <t>287.50</t>
  </si>
  <si>
    <t>241.10</t>
  </si>
  <si>
    <t>10.1</t>
  </si>
  <si>
    <t>10.07</t>
  </si>
  <si>
    <t>7.75</t>
  </si>
  <si>
    <t>0.18</t>
  </si>
  <si>
    <t>10.33</t>
  </si>
  <si>
    <t>0.23</t>
  </si>
  <si>
    <t>10.36</t>
  </si>
  <si>
    <t>0.29</t>
  </si>
  <si>
    <t>20.09</t>
  </si>
  <si>
    <t>20.91</t>
  </si>
  <si>
    <t>19.06</t>
  </si>
  <si>
    <t>0.08</t>
  </si>
  <si>
    <t>20.19</t>
  </si>
  <si>
    <t>21.05</t>
  </si>
  <si>
    <t>0.14</t>
  </si>
  <si>
    <t>30.02</t>
  </si>
  <si>
    <t>0.06</t>
  </si>
  <si>
    <t>30.43</t>
  </si>
  <si>
    <t>30.48</t>
  </si>
  <si>
    <t>0.05</t>
  </si>
  <si>
    <t>28.88</t>
  </si>
  <si>
    <t>28.99</t>
  </si>
  <si>
    <t>0.11</t>
  </si>
  <si>
    <t>0.0003</t>
  </si>
  <si>
    <t>0.005</t>
  </si>
  <si>
    <t>0.0009</t>
  </si>
  <si>
    <t>0.01</t>
  </si>
  <si>
    <t>23.2</t>
  </si>
  <si>
    <t>23.17</t>
  </si>
  <si>
    <t>-0.03</t>
  </si>
  <si>
    <t>313</t>
  </si>
  <si>
    <t>51.58</t>
  </si>
  <si>
    <t>51.54</t>
  </si>
  <si>
    <t>-0.04</t>
  </si>
  <si>
    <t>257</t>
  </si>
  <si>
    <t>14.06</t>
  </si>
  <si>
    <t>14.03</t>
  </si>
  <si>
    <t>235</t>
  </si>
  <si>
    <t>18.42</t>
  </si>
  <si>
    <t>18.29</t>
  </si>
  <si>
    <t>-0.13</t>
  </si>
  <si>
    <t>807.30</t>
  </si>
  <si>
    <t>-0.10</t>
  </si>
  <si>
    <t>656.10</t>
  </si>
  <si>
    <t>656.08</t>
  </si>
  <si>
    <t>486.02</t>
  </si>
  <si>
    <t>486.06</t>
  </si>
  <si>
    <t>486.00</t>
  </si>
  <si>
    <t>640.90</t>
  </si>
  <si>
    <t>641.00</t>
  </si>
  <si>
    <t>0.20</t>
  </si>
  <si>
    <t>536.90</t>
  </si>
  <si>
    <t>635</t>
  </si>
  <si>
    <t>7.57</t>
  </si>
  <si>
    <t>18.98</t>
  </si>
  <si>
    <t>29.96</t>
  </si>
  <si>
    <t>350</t>
  </si>
  <si>
    <t>0.007</t>
  </si>
  <si>
    <t>-0.00032</t>
  </si>
  <si>
    <t>0.019</t>
  </si>
  <si>
    <t>0.014</t>
  </si>
  <si>
    <t>合格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</si>
</sst>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4" formatCode="General"/>
    <numFmt numFmtId="165" formatCode="0.00_);[Red]\(0.00\)"/>
    <numFmt numFmtId="166" formatCode="0.00000 "/>
    <numFmt numFmtId="167" formatCode="0.0"/>
    <numFmt numFmtId="168" formatCode="#,##0"/>
    <numFmt numFmtId="169" formatCode="0.00 "/>
    <numFmt numFmtId="170" formatCode="0.0000_);[Red]\(0.0000\)"/>
    <numFmt numFmtId="171" formatCode="0.0_);[Red]\(0.0\)"/>
    <numFmt numFmtId="172" formatCode="0.000_);[Red]\(0.000\)"/>
    <numFmt numFmtId="173" formatCode="[$-10804]yyyy&quot;年&quot;m&quot;月&quot;d&quot;日&quot;"/>
    <numFmt numFmtId="174" formatCode="[$-10804]yyyy/m/d h:mm"/>
    <numFmt numFmtId="175" formatCode="0.00_);[Red]\-0.00\ "/>
    <numFmt numFmtId="176" formatCode="0.0_);[Red]\-0.0\ "/>
    <numFmt numFmtId="177" formatCode="0.0000000_);[Red]\-0.0000000\ "/>
    <numFmt numFmtId="178" formatCode="0.0 "/>
    <numFmt numFmtId="179" formatCode="0.000 "/>
    <numFmt numFmtId="180" formatCode="0.0000 "/>
    <numFmt numFmtId="181" formatCode="0%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color auto="1"/>
      <name val="宋体"/>
    </font>
    <font/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family val="3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family val="1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family val="2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family val="3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family val="1"/>
    </font>
    <font/>
    <font/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family val="3"/>
      <charset val="134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family val="3"/>
      <charset val="134"/>
    </font>
  </fonts>
  <fills>
    <fill>
      <patternFill patternType="none"/>
    </fill>
    <fill>
      <patternFill patternType="gray125"/>
    </fill>
    <fill/>
    <fill>
      <patternFill patternType="solid">
        <fgColor theme="4" tint="0.7994933927426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 diagonalUp="0" diagonalDown="0">
      <left/>
      <right style="thin">
        <color rgb="FF000000"/>
      </right>
      <top style="thin">
        <color rgb="FF000000"/>
      </top>
      <bottom/>
      <diagonal/>
    </border>
    <border diagonalUp="0" diagonalDown="0">
      <left style="thin">
        <color rgb="FF000000"/>
      </left>
      <right/>
      <top/>
      <bottom style="thin">
        <color rgb="FF000000"/>
      </bottom>
      <diagonal/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/>
      <right/>
      <top style="thin">
        <color rgb="FF000000"/>
      </top>
      <bottom style="thin">
        <color rgb="FF000000"/>
      </bottom>
      <diagonal/>
    </border>
    <border/>
    <border diagonalUp="0" diagonalDown="0">
      <left/>
      <right/>
      <top style="thin">
        <color rgb="FF000000"/>
      </top>
      <bottom/>
      <diagonal/>
    </border>
    <border diagonalUp="0" diagonalDown="0">
      <left/>
      <right style="thin">
        <color rgb="FF000000"/>
      </right>
      <top/>
      <bottom style="thin">
        <color rgb="FF000000"/>
      </bottom>
      <diagonal/>
    </border>
    <border/>
    <border diagonalUp="0" diagonalDown="0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0" diagonalDown="0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0" diagonalDown="0">
      <left/>
      <right/>
      <top/>
      <bottom style="thin">
        <color rgb="FF000000"/>
      </bottom>
      <diagonal/>
    </border>
    <border diagonalUp="0" diagonalDown="0">
      <left style="thin">
        <color rgb="FF000000"/>
      </left>
      <right/>
      <top/>
      <bottom/>
      <diagonal/>
    </border>
    <border diagonalUp="0" diagonalDown="0">
      <left/>
      <right style="thin">
        <color rgb="FF000000"/>
      </right>
      <top/>
      <bottom/>
      <diagonal/>
    </border>
    <border diagonalUp="0" diagonalDown="0">
      <left style="thin">
        <color rgb="FF000000"/>
      </left>
      <right style="thin">
        <color rgb="FF000000"/>
      </right>
      <top/>
      <bottom/>
      <diagonal/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>
      <alignment vertical="top"/>
    </xf>
    <xf numFmtId="164" fontId="12" fillId="0" borderId="0"/>
    <xf numFmtId="164" fontId="16" fillId="0" borderId="0"/>
  </cellStyleXfs>
  <cellXfs count="352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/>
    <xf numFmtId="172" fontId="8" fillId="0" borderId="1" xfId="0" applyNumberFormat="1" applyFont="1" applyFill="1" applyBorder="1" applyAlignment="1" applyProtection="1">
      <alignment horizontal="center" vertical="center" wrapText="1"/>
    </xf>
    <xf numFmtId="169" fontId="8" fillId="3" borderId="7" xfId="0" applyNumberFormat="1" applyFont="1" applyFill="1" applyBorder="1" applyAlignment="1" applyProtection="1">
      <alignment horizontal="center" vertical="center" wrapText="1"/>
    </xf>
    <xf numFmtId="172" fontId="8" fillId="3" borderId="1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13" fillId="0" borderId="0" xfId="0" applyNumberFormat="1" applyFont="1" applyFill="1" applyBorder="1" applyAlignment="1" applyProtection="1"/>
    <xf numFmtId="170" fontId="8" fillId="3" borderId="1" xfId="0" applyNumberFormat="1" applyFont="1" applyFill="1" applyBorder="1" applyAlignment="1" applyProtection="1">
      <alignment vertical="center" wrapText="1"/>
    </xf>
    <xf numFmtId="49" fontId="15" fillId="0" borderId="0" xfId="0" applyNumberFormat="1" applyFont="1" applyFill="1" applyBorder="1" applyAlignment="1" applyProtection="1">
      <alignment horizontal="center" vertical="center" wrapText="1"/>
    </xf>
    <xf numFmtId="0" fontId="7" fillId="5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/>
    <xf numFmtId="169" fontId="0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vertical="center" wrapText="1"/>
    </xf>
    <xf numFmtId="169" fontId="3" fillId="0" borderId="1" xfId="0" applyNumberFormat="1" applyFont="1" applyFill="1" applyBorder="1" applyAlignment="1" applyProtection="1">
      <alignment horizontal="center" vertical="bottom"/>
    </xf>
    <xf numFmtId="171" fontId="8" fillId="9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5" fontId="8" fillId="3" borderId="7" xfId="0" applyNumberFormat="1" applyFont="1" applyFill="1" applyBorder="1" applyAlignment="1" applyProtection="1">
      <alignment horizontal="center" vertical="center" wrapText="1"/>
    </xf>
    <xf numFmtId="165" fontId="15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0" fontId="0" fillId="0" borderId="0" xfId="0"/>
    <xf numFmtId="166" fontId="3" fillId="0" borderId="1" xfId="0" applyNumberFormat="1" applyFont="1" applyFill="1" applyBorder="1" applyAlignment="1" applyProtection="1"/>
    <xf numFmtId="170" fontId="3" fillId="0" borderId="1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165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/>
    <xf numFmtId="172" fontId="8" fillId="9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bottom"/>
    </xf>
    <xf numFmtId="165" fontId="3" fillId="0" borderId="0" xfId="0" applyNumberFormat="1" applyFont="1" applyFill="1" applyBorder="1" applyAlignment="1" applyProtection="1"/>
    <xf numFmtId="169" fontId="3" fillId="0" borderId="0" xfId="0" applyNumberFormat="1" applyFont="1" applyFill="1" applyBorder="1" applyAlignment="1" applyProtection="1"/>
    <xf numFmtId="171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center" vertical="bottom"/>
    </xf>
    <xf numFmtId="49" fontId="3" fillId="0" borderId="0" xfId="0" applyNumberFormat="1" applyFont="1" applyFill="1" applyBorder="1" applyAlignment="1" applyProtection="1"/>
    <xf numFmtId="0" fontId="8" fillId="9" borderId="3" xfId="0" applyNumberFormat="1" applyFont="1" applyFill="1" applyBorder="1" applyAlignment="1" applyProtection="1">
      <alignment horizontal="center" vertical="center" wrapText="1"/>
    </xf>
    <xf numFmtId="0" fontId="8" fillId="3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172" fontId="3" fillId="0" borderId="0" xfId="0" applyNumberFormat="1" applyFont="1" applyFill="1" applyBorder="1" applyAlignment="1" applyProtection="1"/>
    <xf numFmtId="169" fontId="8" fillId="9" borderId="1" xfId="0" applyNumberFormat="1" applyFont="1" applyFill="1" applyBorder="1" applyAlignment="1" applyProtection="1">
      <alignment horizontal="center" vertical="center" wrapText="1"/>
    </xf>
    <xf numFmtId="0" fontId="8" fillId="3" borderId="1" xfId="0" applyNumberFormat="1" applyFont="1" applyFill="1" applyBorder="1" applyAlignment="1" applyProtection="1">
      <alignment vertical="center" wrapText="1"/>
    </xf>
    <xf numFmtId="171" fontId="5" fillId="0" borderId="1" xfId="0" applyNumberFormat="1" applyFont="1" applyFill="1" applyBorder="1" applyAlignment="1" applyProtection="1">
      <alignment horizontal="center" vertical="center" wrapText="1"/>
    </xf>
    <xf numFmtId="171" fontId="0" fillId="0" borderId="0" xfId="0" applyNumberFormat="1" applyFont="1" applyFill="1" applyBorder="1" applyAlignment="1" applyProtection="1"/>
    <xf numFmtId="17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9" fontId="2" fillId="0" borderId="0" xfId="0" applyNumberFormat="1" applyFont="1" applyFill="1" applyBorder="1" applyAlignment="1" applyProtection="1"/>
    <xf numFmtId="167" fontId="5" fillId="0" borderId="1" xfId="0" applyNumberFormat="1" applyFont="1" applyFill="1" applyBorder="1" applyAlignment="1" applyProtection="1">
      <alignment horizontal="center" vertical="center" wrapText="1"/>
    </xf>
    <xf numFmtId="171" fontId="3" fillId="0" borderId="0" xfId="0" applyNumberFormat="1" applyFont="1" applyFill="1" applyBorder="1" applyAlignment="1" applyProtection="1">
      <alignment horizontal="center" vertical="bottom"/>
    </xf>
    <xf numFmtId="169" fontId="8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bottom"/>
    </xf>
    <xf numFmtId="0" fontId="0" fillId="4" borderId="1" xfId="0" applyNumberFormat="1" applyFont="1" applyFill="1" applyBorder="1" applyAlignment="1" applyProtection="1"/>
    <xf numFmtId="171" fontId="8" fillId="3" borderId="1" xfId="0" applyNumberFormat="1" applyFont="1" applyFill="1" applyBorder="1" applyAlignment="1" applyProtection="1">
      <alignment horizontal="center" vertical="center" wrapText="1"/>
    </xf>
    <xf numFmtId="169" fontId="8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bottom"/>
    </xf>
    <xf numFmtId="173" fontId="12" fillId="0" borderId="0" xfId="0" applyNumberFormat="1" applyFont="1" applyFill="1" applyBorder="1" applyAlignment="1" applyProtection="1"/>
    <xf numFmtId="0" fontId="12" fillId="4" borderId="1" xfId="0" applyNumberFormat="1" applyFont="1" applyFill="1" applyBorder="1" applyAlignment="1" applyProtection="1"/>
    <xf numFmtId="0" fontId="22" fillId="6" borderId="1" xfId="0" applyNumberFormat="1" applyFont="1" applyFill="1" applyBorder="1" applyAlignment="1" applyProtection="1">
      <alignment horizontal="center" vertical="center" wrapText="1"/>
    </xf>
    <xf numFmtId="172" fontId="20" fillId="6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0" fontId="11" fillId="6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/>
    </xf>
    <xf numFmtId="49" fontId="22" fillId="6" borderId="1" xfId="0" applyNumberFormat="1" applyFont="1" applyFill="1" applyBorder="1" applyAlignment="1" applyProtection="1">
      <alignment horizontal="center" vertical="center" wrapText="1"/>
    </xf>
    <xf numFmtId="0" fontId="14" fillId="6" borderId="1" xfId="0" applyNumberFormat="1" applyFont="1" applyFill="1" applyBorder="1" applyAlignment="1" applyProtection="1">
      <alignment horizontal="center" vertical="center" wrapText="1"/>
    </xf>
    <xf numFmtId="170" fontId="0" fillId="6" borderId="1" xfId="0" applyNumberFormat="1" applyFont="1" applyFill="1" applyBorder="1" applyAlignment="1" applyProtection="1">
      <alignment horizontal="center" vertical="bottom"/>
    </xf>
    <xf numFmtId="171" fontId="0" fillId="6" borderId="1" xfId="0" applyNumberFormat="1" applyFont="1" applyFill="1" applyBorder="1" applyAlignment="1" applyProtection="1">
      <alignment horizontal="center" vertical="bottom"/>
    </xf>
    <xf numFmtId="169" fontId="20" fillId="6" borderId="1" xfId="0" applyNumberFormat="1" applyFont="1" applyFill="1" applyBorder="1" applyAlignment="1" applyProtection="1">
      <alignment horizontal="center" vertical="center" wrapText="1"/>
    </xf>
    <xf numFmtId="165" fontId="20" fillId="6" borderId="1" xfId="0" applyNumberFormat="1" applyFont="1" applyFill="1" applyBorder="1" applyAlignment="1" applyProtection="1">
      <alignment horizontal="center" vertical="center" wrapText="1"/>
    </xf>
    <xf numFmtId="165" fontId="11" fillId="6" borderId="1" xfId="0" applyNumberFormat="1" applyFont="1" applyFill="1" applyBorder="1" applyAlignment="1" applyProtection="1">
      <alignment horizontal="center" vertical="center" wrapText="1"/>
    </xf>
    <xf numFmtId="171" fontId="0" fillId="6" borderId="1" xfId="0" applyNumberFormat="1" applyFont="1" applyFill="1" applyBorder="1" applyAlignment="1" applyProtection="1">
      <alignment horizontal="center" vertical="center"/>
    </xf>
    <xf numFmtId="171" fontId="20" fillId="6" borderId="1" xfId="0" applyNumberFormat="1" applyFont="1" applyFill="1" applyBorder="1" applyAlignment="1" applyProtection="1">
      <alignment horizontal="center" vertical="center" wrapText="1"/>
    </xf>
    <xf numFmtId="168" fontId="12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/>
    <xf numFmtId="0" fontId="3" fillId="6" borderId="1" xfId="0" applyNumberFormat="1" applyFont="1" applyFill="1" applyBorder="1" applyAlignment="1" applyProtection="1">
      <alignment horizontal="center" vertical="bottom"/>
    </xf>
    <xf numFmtId="0" fontId="0" fillId="4" borderId="0" xfId="0" applyNumberFormat="1" applyFont="1" applyFill="1" applyBorder="1" applyAlignment="1" applyProtection="1">
      <alignment horizontal="left" vertical="center"/>
    </xf>
    <xf numFmtId="0" fontId="12" fillId="8" borderId="1" xfId="0" applyNumberFormat="1" applyFont="1" applyFill="1" applyBorder="1" applyAlignment="1" applyProtection="1"/>
    <xf numFmtId="49" fontId="0" fillId="6" borderId="1" xfId="0" applyNumberFormat="1" applyFont="1" applyFill="1" applyBorder="1" applyAlignment="1" applyProtection="1">
      <alignment horizontal="center" vertical="bottom"/>
    </xf>
    <xf numFmtId="165" fontId="0" fillId="6" borderId="1" xfId="0" applyNumberFormat="1" applyFont="1" applyFill="1" applyBorder="1" applyAlignment="1" applyProtection="1">
      <alignment horizontal="center" vertical="bottom"/>
    </xf>
    <xf numFmtId="0" fontId="0" fillId="4" borderId="0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0" fillId="0" borderId="1" xfId="0" applyNumberFormat="1" applyFont="1" applyFill="1" applyBorder="1" applyAlignment="1" applyProtection="1">
      <alignment horizontal="left" vertical="bottom"/>
    </xf>
    <xf numFmtId="167" fontId="11" fillId="6" borderId="1" xfId="0" applyNumberFormat="1" applyFont="1" applyFill="1" applyBorder="1" applyAlignment="1" applyProtection="1">
      <alignment horizontal="center" vertical="center" wrapText="1"/>
    </xf>
    <xf numFmtId="174" fontId="0" fillId="0" borderId="1" xfId="0" applyNumberFormat="1" applyFont="1" applyFill="1" applyBorder="1" applyAlignment="1" applyProtection="1">
      <alignment horizontal="left" vertical="bottom"/>
    </xf>
    <xf numFmtId="175" fontId="8" fillId="0" borderId="1" xfId="0" applyNumberFormat="1" applyFont="1" applyFill="1" applyBorder="1" applyAlignment="1" applyProtection="1">
      <alignment horizontal="center" vertical="center" wrapText="1"/>
    </xf>
    <xf numFmtId="178" fontId="3" fillId="0" borderId="1" xfId="0" applyNumberFormat="1" applyFont="1" applyFill="1" applyBorder="1" applyAlignment="1" applyProtection="1">
      <alignment horizontal="center" vertical="bottom"/>
    </xf>
    <xf numFmtId="175" fontId="3" fillId="0" borderId="0" xfId="0" applyNumberFormat="1" applyFont="1" applyFill="1" applyBorder="1" applyAlignment="1" applyProtection="1"/>
    <xf numFmtId="49" fontId="0" fillId="0" borderId="1" xfId="0" applyNumberFormat="1" applyFont="1" applyFill="1" applyBorder="1" applyAlignment="1" applyProtection="1">
      <alignment horizontal="center" vertical="center"/>
    </xf>
    <xf numFmtId="0" fontId="22" fillId="0" borderId="1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left" vertical="bottom"/>
    </xf>
    <xf numFmtId="0" fontId="12" fillId="4" borderId="0" xfId="0" applyNumberFormat="1" applyFont="1" applyFill="1" applyBorder="1" applyAlignment="1" applyProtection="1"/>
    <xf numFmtId="175" fontId="8" fillId="3" borderId="1" xfId="0" applyNumberFormat="1" applyFont="1" applyFill="1" applyBorder="1" applyAlignment="1" applyProtection="1">
      <alignment horizontal="center" vertical="center" wrapText="1"/>
    </xf>
    <xf numFmtId="175" fontId="3" fillId="0" borderId="0" xfId="0" applyNumberFormat="1" applyFont="1" applyFill="1" applyBorder="1" applyAlignment="1" applyProtection="1">
      <alignment horizontal="center" vertical="bottom"/>
    </xf>
    <xf numFmtId="177" fontId="3" fillId="0" borderId="0" xfId="0" applyNumberFormat="1" applyFont="1" applyFill="1" applyBorder="1" applyAlignment="1" applyProtection="1"/>
    <xf numFmtId="0" fontId="0" fillId="0" borderId="0" xfId="0"/>
    <xf numFmtId="11" fontId="3" fillId="0" borderId="0" xfId="0" applyNumberFormat="1" applyFont="1" applyFill="1" applyBorder="1" applyAlignment="1" applyProtection="1"/>
    <xf numFmtId="165" fontId="3" fillId="0" borderId="1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center"/>
    </xf>
    <xf numFmtId="175" fontId="3" fillId="0" borderId="0" xfId="0" applyNumberFormat="1" applyFont="1" applyFill="1" applyBorder="1" applyAlignment="1" applyProtection="1">
      <alignment horizontal="center" vertical="center"/>
    </xf>
    <xf numFmtId="0" fontId="22" fillId="0" borderId="4" xfId="0" applyNumberFormat="1" applyFont="1" applyFill="1" applyBorder="1" applyAlignment="1" applyProtection="1">
      <alignment vertical="center" wrapText="1"/>
    </xf>
    <xf numFmtId="0" fontId="20" fillId="0" borderId="18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0" fillId="5" borderId="1" xfId="0" applyNumberFormat="1" applyFont="1" applyFill="1" applyBorder="1" applyAlignment="1" applyProtection="1">
      <alignment horizontal="center" vertical="center" wrapText="1"/>
    </xf>
    <xf numFmtId="0" fontId="14" fillId="4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/>
    <xf numFmtId="173" fontId="0" fillId="0" borderId="0" xfId="0" applyNumberFormat="1" applyFont="1" applyFill="1" applyBorder="1" applyAlignment="1" applyProtection="1">
      <alignment horizontal="left" vertical="bottom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49" fontId="12" fillId="0" borderId="1" xfId="0" applyNumberFormat="1" applyFont="1" applyFill="1" applyBorder="1" applyAlignment="1" applyProtection="1">
      <alignment vertical="bottom" wrapText="1"/>
    </xf>
    <xf numFmtId="0" fontId="15" fillId="0" borderId="1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vertical="bottom" wrapText="1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vertical="bottom" wrapText="1"/>
    </xf>
    <xf numFmtId="0" fontId="0" fillId="0" borderId="0" xfId="0"/>
    <xf numFmtId="0" fontId="0" fillId="0" borderId="0" xfId="0" applyNumberFormat="1" applyFont="1" applyFill="1" applyBorder="1" applyAlignment="1" applyProtection="1">
      <alignment vertical="bottom" wrapText="1"/>
    </xf>
    <xf numFmtId="0" fontId="15" fillId="0" borderId="12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8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vertical="bottom" wrapText="1"/>
    </xf>
    <xf numFmtId="0" fontId="12" fillId="0" borderId="1" xfId="0" applyNumberFormat="1" applyFont="1" applyFill="1" applyBorder="1" applyAlignment="1" applyProtection="1">
      <alignment horizontal="center" vertical="bottom"/>
    </xf>
    <xf numFmtId="0" fontId="8" fillId="3" borderId="1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vertical="bottom" wrapText="1"/>
    </xf>
    <xf numFmtId="171" fontId="3" fillId="0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bottom"/>
    </xf>
    <xf numFmtId="165" fontId="5" fillId="0" borderId="1" xfId="0" applyNumberFormat="1" applyFont="1" applyFill="1" applyBorder="1" applyAlignment="1" applyProtection="1">
      <alignment vertical="center" wrapText="1"/>
    </xf>
    <xf numFmtId="171" fontId="3" fillId="0" borderId="1" xfId="0" applyNumberFormat="1" applyFont="1" applyFill="1" applyBorder="1" applyAlignment="1" applyProtection="1"/>
    <xf numFmtId="169" fontId="8" fillId="0" borderId="2" xfId="0" applyNumberFormat="1" applyFont="1" applyFill="1" applyBorder="1" applyAlignment="1" applyProtection="1">
      <alignment horizontal="center" vertical="center" wrapText="1"/>
    </xf>
    <xf numFmtId="165" fontId="8" fillId="0" borderId="1" xfId="0" applyNumberFormat="1" applyFont="1" applyFill="1" applyBorder="1" applyAlignment="1" applyProtection="1">
      <alignment horizontal="center" vertical="center" wrapText="1"/>
    </xf>
    <xf numFmtId="171" fontId="8" fillId="0" borderId="1" xfId="0" applyNumberFormat="1" applyFont="1" applyFill="1" applyBorder="1" applyAlignment="1" applyProtection="1">
      <alignment horizontal="center" vertical="center" wrapText="1"/>
    </xf>
    <xf numFmtId="169" fontId="3" fillId="0" borderId="0" xfId="0" applyNumberFormat="1" applyFont="1" applyFill="1" applyBorder="1" applyAlignment="1" applyProtection="1">
      <alignment horizontal="center" vertical="bottom"/>
    </xf>
    <xf numFmtId="170" fontId="0" fillId="0" borderId="1" xfId="0" applyNumberFormat="1" applyFont="1" applyFill="1" applyBorder="1" applyAlignment="1" applyProtection="1"/>
    <xf numFmtId="165" fontId="8" fillId="9" borderId="1" xfId="0" applyNumberFormat="1" applyFont="1" applyFill="1" applyBorder="1" applyAlignment="1" applyProtection="1">
      <alignment vertical="center" wrapText="1"/>
    </xf>
    <xf numFmtId="170" fontId="0" fillId="0" borderId="0" xfId="0" applyNumberFormat="1" applyFont="1" applyFill="1" applyBorder="1" applyAlignment="1" applyProtection="1"/>
    <xf numFmtId="172" fontId="0" fillId="0" borderId="1" xfId="0" applyNumberFormat="1" applyFont="1" applyFill="1" applyBorder="1" applyAlignment="1" applyProtection="1"/>
    <xf numFmtId="165" fontId="8" fillId="9" borderId="1" xfId="0" applyNumberFormat="1" applyFont="1" applyFill="1" applyBorder="1" applyAlignment="1" applyProtection="1">
      <alignment horizontal="center" vertical="center" wrapText="1"/>
    </xf>
    <xf numFmtId="0" fontId="3" fillId="6" borderId="7" xfId="0" applyNumberFormat="1" applyFont="1" applyFill="1" applyBorder="1" applyAlignment="1" applyProtection="1">
      <alignment horizontal="center" vertical="center"/>
    </xf>
    <xf numFmtId="172" fontId="3" fillId="0" borderId="1" xfId="0" applyNumberFormat="1" applyFont="1" applyFill="1" applyBorder="1" applyAlignment="1" applyProtection="1"/>
    <xf numFmtId="165" fontId="8" fillId="3" borderId="13" xfId="0" applyNumberFormat="1" applyFont="1" applyFill="1" applyBorder="1" applyAlignment="1" applyProtection="1">
      <alignment horizontal="center" vertical="center" wrapText="1"/>
    </xf>
    <xf numFmtId="172" fontId="8" fillId="3" borderId="7" xfId="0" applyNumberFormat="1" applyFont="1" applyFill="1" applyBorder="1" applyAlignment="1" applyProtection="1">
      <alignment horizontal="center" vertical="center" wrapText="1"/>
    </xf>
    <xf numFmtId="165" fontId="15" fillId="0" borderId="1" xfId="0" applyNumberFormat="1" applyFont="1" applyFill="1" applyBorder="1" applyAlignment="1" applyProtection="1">
      <alignment horizontal="center" vertical="center" wrapText="1"/>
    </xf>
    <xf numFmtId="169" fontId="3" fillId="0" borderId="1" xfId="0" applyNumberFormat="1" applyFont="1" applyFill="1" applyBorder="1" applyAlignment="1" applyProtection="1"/>
    <xf numFmtId="169" fontId="12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9" fontId="12" fillId="0" borderId="5" xfId="0" applyNumberFormat="1" applyFont="1" applyFill="1" applyBorder="1" applyAlignment="1" applyProtection="1">
      <alignment horizontal="center" vertical="center" wrapText="1"/>
    </xf>
    <xf numFmtId="0" fontId="21" fillId="0" borderId="14" xfId="0" applyNumberFormat="1" applyFont="1" applyFill="1" applyBorder="1" applyAlignment="1" applyProtection="1">
      <alignment horizontal="center" vertical="center"/>
    </xf>
    <xf numFmtId="0" fontId="21" fillId="0" borderId="5" xfId="0" applyNumberFormat="1" applyFont="1" applyFill="1" applyBorder="1" applyAlignment="1" applyProtection="1">
      <alignment horizontal="left" vertical="center" wrapText="1"/>
    </xf>
    <xf numFmtId="0" fontId="25" fillId="0" borderId="18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/>
    </xf>
    <xf numFmtId="0" fontId="21" fillId="0" borderId="18" xfId="0" applyNumberFormat="1" applyFont="1" applyFill="1" applyBorder="1" applyAlignment="1" applyProtection="1">
      <alignment horizontal="left" vertical="center" wrapText="1"/>
    </xf>
    <xf numFmtId="0" fontId="21" fillId="0" borderId="9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21" fillId="0" borderId="4" xfId="0" applyNumberFormat="1" applyFont="1" applyFill="1" applyBorder="1" applyAlignment="1" applyProtection="1">
      <alignment horizontal="center" vertical="center"/>
    </xf>
    <xf numFmtId="0" fontId="0" fillId="0" borderId="0" xfId="0"/>
    <xf numFmtId="167" fontId="21" fillId="0" borderId="13" xfId="0" applyNumberFormat="1" applyFont="1" applyFill="1" applyBorder="1" applyAlignment="1" applyProtection="1">
      <alignment horizontal="center" vertical="center" wrapText="1"/>
    </xf>
    <xf numFmtId="179" fontId="21" fillId="0" borderId="18" xfId="0" applyNumberFormat="1" applyFont="1" applyFill="1" applyBorder="1" applyAlignment="1" applyProtection="1">
      <alignment horizontal="center" vertical="center" wrapText="1"/>
    </xf>
    <xf numFmtId="169" fontId="21" fillId="0" borderId="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80" fontId="12" fillId="4" borderId="5" xfId="0" applyNumberFormat="1" applyFont="1" applyFill="1" applyBorder="1" applyAlignment="1" applyProtection="1">
      <alignment horizontal="center" vertical="center" wrapText="1"/>
    </xf>
    <xf numFmtId="178" fontId="14" fillId="0" borderId="13" xfId="0" applyNumberFormat="1" applyFont="1" applyFill="1" applyBorder="1" applyAlignment="1" applyProtection="1">
      <alignment horizontal="center" vertical="center" wrapText="1"/>
    </xf>
    <xf numFmtId="179" fontId="21" fillId="0" borderId="13" xfId="0" applyNumberFormat="1" applyFont="1" applyFill="1" applyBorder="1" applyAlignment="1" applyProtection="1">
      <alignment horizontal="center" vertical="center" wrapText="1"/>
    </xf>
    <xf numFmtId="0" fontId="21" fillId="0" borderId="4" xfId="0" applyNumberFormat="1" applyFont="1" applyFill="1" applyBorder="1" applyAlignment="1" applyProtection="1">
      <alignment horizontal="left" vertical="center" wrapText="1"/>
    </xf>
    <xf numFmtId="0" fontId="12" fillId="4" borderId="9" xfId="0" applyNumberFormat="1" applyFont="1" applyFill="1" applyBorder="1" applyAlignment="1" applyProtection="1">
      <alignment horizontal="center" vertical="center" wrapText="1"/>
    </xf>
    <xf numFmtId="166" fontId="2" fillId="0" borderId="0" xfId="0" applyNumberFormat="1" applyFont="1" applyFill="1" applyBorder="1" applyAlignment="1" applyProtection="1"/>
    <xf numFmtId="0" fontId="26" fillId="0" borderId="14" xfId="0" applyNumberFormat="1" applyFont="1" applyFill="1" applyBorder="1" applyAlignment="1" applyProtection="1">
      <alignment horizontal="center" vertical="center" wrapText="1"/>
    </xf>
    <xf numFmtId="0" fontId="12" fillId="0" borderId="9" xfId="0" applyNumberFormat="1" applyFont="1" applyFill="1" applyBorder="1" applyAlignment="1" applyProtection="1">
      <alignment horizontal="center" vertical="center" wrapText="1"/>
    </xf>
    <xf numFmtId="0" fontId="15" fillId="4" borderId="1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 wrapText="1"/>
    </xf>
    <xf numFmtId="0" fontId="8" fillId="0" borderId="20" xfId="0" applyNumberFormat="1" applyFont="1" applyFill="1" applyBorder="1" applyAlignment="1" applyProtection="1">
      <alignment horizontal="center" vertical="center" wrapText="1"/>
    </xf>
    <xf numFmtId="0" fontId="19" fillId="0" borderId="15" xfId="0" applyNumberFormat="1" applyFont="1" applyFill="1" applyBorder="1" applyAlignment="1" applyProtection="1">
      <alignment horizontal="left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179" fontId="10" fillId="0" borderId="18" xfId="0" applyNumberFormat="1" applyFont="1" applyFill="1" applyBorder="1" applyAlignment="1" applyProtection="1">
      <alignment horizontal="center" vertical="center" wrapText="1"/>
    </xf>
    <xf numFmtId="181" fontId="12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5" fontId="3" fillId="0" borderId="0" xfId="0" applyNumberFormat="1" applyFont="1" applyFill="1" applyBorder="1" applyAlignment="1" applyProtection="1">
      <alignment horizontal="center" vertical="bottom"/>
    </xf>
    <xf numFmtId="0" fontId="15" fillId="0" borderId="18" xfId="0" applyNumberFormat="1" applyFont="1" applyFill="1" applyBorder="1" applyAlignment="1" applyProtection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</xf>
    <xf numFmtId="0" fontId="25" fillId="0" borderId="7" xfId="0" applyNumberFormat="1" applyFont="1" applyFill="1" applyBorder="1" applyAlignment="1" applyProtection="1">
      <alignment horizontal="center" vertical="center" wrapText="1"/>
    </xf>
    <xf numFmtId="0" fontId="26" fillId="0" borderId="5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vertical="center" wrapText="1"/>
    </xf>
    <xf numFmtId="0" fontId="22" fillId="0" borderId="15" xfId="0" applyNumberFormat="1" applyFont="1" applyFill="1" applyBorder="1" applyAlignment="1" applyProtection="1">
      <alignment vertical="center" wrapText="1"/>
    </xf>
    <xf numFmtId="0" fontId="21" fillId="0" borderId="5" xfId="0" applyNumberFormat="1" applyFont="1" applyFill="1" applyBorder="1" applyAlignment="1" applyProtection="1">
      <alignment horizontal="center" vertical="center"/>
    </xf>
    <xf numFmtId="0" fontId="22" fillId="0" borderId="16" xfId="0" applyNumberFormat="1" applyFont="1" applyFill="1" applyBorder="1" applyAlignment="1" applyProtection="1">
      <alignment vertical="center" wrapText="1"/>
    </xf>
    <xf numFmtId="0" fontId="17" fillId="0" borderId="13" xfId="0" applyNumberFormat="1" applyFont="1" applyFill="1" applyBorder="1" applyAlignment="1" applyProtection="1">
      <alignment horizontal="center" vertical="center" wrapText="1"/>
    </xf>
    <xf numFmtId="169" fontId="12" fillId="4" borderId="18" xfId="0" applyNumberFormat="1" applyFont="1" applyFill="1" applyBorder="1" applyAlignment="1" applyProtection="1">
      <alignment horizontal="center" vertical="center" wrapText="1"/>
    </xf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12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3" fillId="6" borderId="13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8" fillId="9" borderId="1" xfId="0" applyNumberFormat="1" applyFont="1" applyFill="1" applyBorder="1" applyAlignment="1" applyProtection="1">
      <alignment horizontal="center" vertical="center" wrapText="1"/>
    </xf>
    <xf numFmtId="169" fontId="8" fillId="3" borderId="13" xfId="0" applyNumberFormat="1" applyFont="1" applyFill="1" applyBorder="1" applyAlignment="1" applyProtection="1">
      <alignment horizontal="center" vertical="center" wrapText="1"/>
    </xf>
    <xf numFmtId="169" fontId="15" fillId="0" borderId="1" xfId="0" applyNumberFormat="1" applyFont="1" applyFill="1" applyBorder="1" applyAlignment="1" applyProtection="1">
      <alignment vertical="center" wrapText="1"/>
    </xf>
    <xf numFmtId="172" fontId="8" fillId="3" borderId="13" xfId="0" applyNumberFormat="1" applyFont="1" applyFill="1" applyBorder="1" applyAlignment="1" applyProtection="1">
      <alignment horizontal="center" vertical="center" wrapText="1"/>
    </xf>
    <xf numFmtId="172" fontId="8" fillId="3" borderId="18" xfId="0" applyNumberFormat="1" applyFont="1" applyFill="1" applyBorder="1" applyAlignment="1" applyProtection="1">
      <alignment horizontal="center" vertical="center" wrapText="1"/>
    </xf>
    <xf numFmtId="166" fontId="8" fillId="3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171" fontId="3" fillId="0" borderId="1" xfId="0" applyNumberFormat="1" applyFont="1" applyFill="1" applyBorder="1" applyAlignment="1" applyProtection="1">
      <alignment horizontal="center" vertical="bottom"/>
    </xf>
    <xf numFmtId="176" fontId="3" fillId="0" borderId="1" xfId="0" applyNumberFormat="1" applyFont="1" applyFill="1" applyBorder="1" applyAlignment="1" applyProtection="1">
      <alignment horizontal="center" vertical="bottom"/>
    </xf>
    <xf numFmtId="0" fontId="26" fillId="0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Alignment="1" applyProtection="1"/>
    <xf numFmtId="165" fontId="8" fillId="3" borderId="1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</xf>
    <xf numFmtId="165" fontId="12" fillId="0" borderId="13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bottom"/>
    </xf>
    <xf numFmtId="49" fontId="9" fillId="0" borderId="1" xfId="0" applyNumberFormat="1" applyFont="1" applyFill="1" applyBorder="1" applyAlignment="1" applyProtection="1">
      <alignment horizontal="center" vertical="center" wrapText="1"/>
    </xf>
    <xf numFmtId="0" fontId="22" fillId="0" borderId="10" xfId="0" applyNumberFormat="1" applyFont="1" applyFill="1" applyBorder="1" applyAlignment="1" applyProtection="1">
      <alignment vertical="center" wrapText="1"/>
    </xf>
    <xf numFmtId="179" fontId="12" fillId="0" borderId="5" xfId="0" applyNumberFormat="1" applyFont="1" applyFill="1" applyBorder="1" applyAlignment="1" applyProtection="1">
      <alignment horizontal="center" vertical="center" wrapText="1"/>
    </xf>
    <xf numFmtId="0" fontId="12" fillId="4" borderId="5" xfId="0" applyNumberFormat="1" applyFont="1" applyFill="1" applyBorder="1" applyAlignment="1" applyProtection="1">
      <alignment horizontal="center" vertical="center" wrapText="1"/>
    </xf>
    <xf numFmtId="166" fontId="21" fillId="0" borderId="5" xfId="0" applyNumberFormat="1" applyFont="1" applyFill="1" applyBorder="1" applyAlignment="1" applyProtection="1">
      <alignment horizontal="center" vertical="center" wrapText="1"/>
    </xf>
    <xf numFmtId="0" fontId="12" fillId="4" borderId="13" xfId="0" applyNumberFormat="1" applyFont="1" applyFill="1" applyBorder="1" applyAlignment="1" applyProtection="1">
      <alignment horizontal="center" vertical="center" wrapText="1"/>
    </xf>
    <xf numFmtId="169" fontId="12" fillId="0" borderId="10" xfId="0" applyNumberFormat="1" applyFont="1" applyFill="1" applyBorder="1" applyAlignment="1" applyProtection="1">
      <alignment horizontal="center" vertical="center" wrapText="1"/>
    </xf>
    <xf numFmtId="181" fontId="21" fillId="0" borderId="18" xfId="0" applyNumberFormat="1" applyFont="1" applyFill="1" applyBorder="1" applyAlignment="1" applyProtection="1">
      <alignment horizontal="center" vertical="center" wrapText="1"/>
    </xf>
    <xf numFmtId="169" fontId="12" fillId="0" borderId="12" xfId="0" applyNumberFormat="1" applyFont="1" applyFill="1" applyBorder="1" applyAlignment="1" applyProtection="1">
      <alignment horizontal="center" vertical="center" wrapText="1"/>
    </xf>
    <xf numFmtId="180" fontId="12" fillId="4" borderId="18" xfId="0" applyNumberFormat="1" applyFont="1" applyFill="1" applyBorder="1" applyAlignment="1" applyProtection="1">
      <alignment horizontal="center" vertical="center" wrapText="1"/>
    </xf>
    <xf numFmtId="175" fontId="12" fillId="0" borderId="12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center" vertical="center" wrapText="1"/>
    </xf>
    <xf numFmtId="165" fontId="12" fillId="0" borderId="12" xfId="0" applyNumberFormat="1" applyFont="1" applyFill="1" applyBorder="1" applyAlignment="1" applyProtection="1">
      <alignment horizontal="center" vertical="center" wrapText="1"/>
    </xf>
    <xf numFmtId="181" fontId="12" fillId="0" borderId="18" xfId="0" applyNumberFormat="1" applyFont="1" applyFill="1" applyBorder="1" applyAlignment="1" applyProtection="1">
      <alignment horizontal="center" vertical="center" wrapText="1"/>
    </xf>
    <xf numFmtId="169" fontId="12" fillId="0" borderId="13" xfId="0" applyNumberFormat="1" applyFont="1" applyFill="1" applyBorder="1" applyAlignment="1" applyProtection="1">
      <alignment horizontal="center" vertical="center" wrapText="1"/>
    </xf>
    <xf numFmtId="169" fontId="12" fillId="0" borderId="7" xfId="0" applyNumberFormat="1" applyFont="1" applyFill="1" applyBorder="1" applyAlignment="1" applyProtection="1">
      <alignment horizontal="center" vertical="center" wrapText="1"/>
    </xf>
    <xf numFmtId="178" fontId="14" fillId="0" borderId="18" xfId="0" applyNumberFormat="1" applyFont="1" applyFill="1" applyBorder="1" applyAlignment="1" applyProtection="1">
      <alignment horizontal="center" vertical="center" wrapText="1"/>
    </xf>
    <xf numFmtId="175" fontId="12" fillId="0" borderId="5" xfId="0" applyNumberFormat="1" applyFont="1" applyFill="1" applyBorder="1" applyAlignment="1" applyProtection="1">
      <alignment horizontal="center" vertical="center" wrapText="1"/>
    </xf>
    <xf numFmtId="175" fontId="12" fillId="0" borderId="4" xfId="0" applyNumberFormat="1" applyFont="1" applyFill="1" applyBorder="1" applyAlignment="1" applyProtection="1">
      <alignment horizontal="center" vertical="center" wrapText="1"/>
    </xf>
    <xf numFmtId="175" fontId="12" fillId="0" borderId="10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12" fillId="0" borderId="10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bottom"/>
    </xf>
    <xf numFmtId="165" fontId="12" fillId="0" borderId="5" xfId="0" applyNumberFormat="1" applyFont="1" applyFill="1" applyBorder="1" applyAlignment="1" applyProtection="1">
      <alignment horizontal="center" vertical="center" wrapText="1"/>
    </xf>
    <xf numFmtId="165" fontId="12" fillId="0" borderId="4" xfId="0" applyNumberFormat="1" applyFont="1" applyFill="1" applyBorder="1" applyAlignment="1" applyProtection="1">
      <alignment horizontal="center" vertical="center" wrapText="1"/>
    </xf>
    <xf numFmtId="165" fontId="12" fillId="0" borderId="10" xfId="0" applyNumberFormat="1" applyFont="1" applyFill="1" applyBorder="1" applyAlignment="1" applyProtection="1">
      <alignment horizontal="center" vertical="center" wrapText="1"/>
    </xf>
    <xf numFmtId="165" fontId="12" fillId="4" borderId="18" xfId="0" applyNumberFormat="1" applyFont="1" applyFill="1" applyBorder="1" applyAlignment="1" applyProtection="1">
      <alignment horizontal="center" vertical="center" wrapText="1"/>
    </xf>
    <xf numFmtId="175" fontId="12" fillId="0" borderId="7" xfId="0" applyNumberFormat="1" applyFont="1" applyFill="1" applyBorder="1" applyAlignment="1" applyProtection="1">
      <alignment horizontal="center" vertical="center" wrapText="1"/>
    </xf>
    <xf numFmtId="175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2" fillId="0" borderId="12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165" fontId="12" fillId="0" borderId="7" xfId="0" applyNumberFormat="1" applyFont="1" applyFill="1" applyBorder="1" applyAlignment="1" applyProtection="1">
      <alignment horizontal="center" vertical="center" wrapText="1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12" fillId="0" borderId="13" xfId="0" applyNumberFormat="1" applyFont="1" applyFill="1" applyBorder="1" applyAlignment="1" applyProtection="1">
      <alignment horizontal="center" vertical="bottom"/>
    </xf>
    <xf numFmtId="0" fontId="18" fillId="0" borderId="13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17" fillId="0" borderId="18" xfId="0" applyNumberFormat="1" applyFont="1" applyFill="1" applyBorder="1" applyAlignment="1" applyProtection="1">
      <alignment horizontal="center" vertical="center" wrapText="1"/>
    </xf>
    <xf numFmtId="0" fontId="18" fillId="0" borderId="13" xfId="0" applyNumberFormat="1" applyFont="1" applyFill="1" applyBorder="1" applyAlignment="1" applyProtection="1">
      <alignment horizontal="center" vertical="center"/>
    </xf>
    <xf numFmtId="0" fontId="26" fillId="0" borderId="18" xfId="0" applyNumberFormat="1" applyFont="1" applyFill="1" applyBorder="1" applyAlignment="1" applyProtection="1">
      <alignment horizontal="center" vertical="center" wrapText="1"/>
    </xf>
    <xf numFmtId="0" fontId="26" fillId="0" borderId="4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5" fillId="0" borderId="13" xfId="0" applyNumberFormat="1" applyFont="1" applyFill="1" applyBorder="1" applyAlignment="1" applyProtection="1">
      <alignment horizontal="center" vertical="center" wrapText="1"/>
    </xf>
    <xf numFmtId="0" fontId="26" fillId="0" borderId="10" xfId="0" applyNumberFormat="1" applyFont="1" applyFill="1" applyBorder="1" applyAlignment="1" applyProtection="1">
      <alignment horizontal="center" vertical="center" wrapText="1"/>
    </xf>
    <xf numFmtId="0" fontId="18" fillId="0" borderId="18" xfId="0" applyNumberFormat="1" applyFont="1" applyFill="1" applyBorder="1" applyAlignment="1" applyProtection="1">
      <alignment horizontal="center" vertical="center"/>
    </xf>
    <xf numFmtId="0" fontId="21" fillId="0" borderId="9" xfId="0" applyNumberFormat="1" applyFont="1" applyFill="1" applyBorder="1" applyAlignment="1" applyProtection="1">
      <alignment horizontal="center" vertical="center" wrapText="1"/>
    </xf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21" fillId="0" borderId="4" xfId="0" applyNumberFormat="1" applyFont="1" applyFill="1" applyBorder="1" applyAlignment="1" applyProtection="1">
      <alignment horizontal="center" vertical="center" wrapText="1"/>
    </xf>
    <xf numFmtId="0" fontId="21" fillId="0" borderId="10" xfId="0" applyNumberFormat="1" applyFont="1" applyFill="1" applyBorder="1" applyAlignment="1" applyProtection="1">
      <alignment horizontal="center" vertical="center" wrapText="1"/>
    </xf>
    <xf numFmtId="0" fontId="19" fillId="0" borderId="18" xfId="0" applyNumberFormat="1" applyFont="1" applyFill="1" applyBorder="1" applyAlignment="1" applyProtection="1">
      <alignment horizontal="left" vertical="center" wrapText="1"/>
    </xf>
    <xf numFmtId="0" fontId="21" fillId="0" borderId="7" xfId="0" applyNumberFormat="1" applyFont="1" applyFill="1" applyBorder="1" applyAlignment="1" applyProtection="1">
      <alignment horizontal="center" vertical="center" wrapText="1"/>
    </xf>
    <xf numFmtId="0" fontId="21" fillId="0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1" fillId="0" borderId="12" xfId="0" applyNumberFormat="1" applyFont="1" applyFill="1" applyBorder="1" applyAlignment="1" applyProtection="1">
      <alignment horizontal="center" vertical="center"/>
    </xf>
    <xf numFmtId="179" fontId="12" fillId="0" borderId="18" xfId="0" applyNumberFormat="1" applyFont="1" applyFill="1" applyBorder="1" applyAlignment="1" applyProtection="1">
      <alignment horizontal="center" vertical="center" wrapText="1"/>
    </xf>
    <xf numFmtId="179" fontId="1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79" fontId="12" fillId="0" borderId="12" xfId="0" applyNumberFormat="1" applyFont="1" applyFill="1" applyBorder="1" applyAlignment="1" applyProtection="1">
      <alignment horizontal="center" vertical="center" wrapText="1"/>
    </xf>
    <xf numFmtId="179" fontId="12" fillId="0" borderId="4" xfId="0" applyNumberFormat="1" applyFont="1" applyFill="1" applyBorder="1" applyAlignment="1" applyProtection="1">
      <alignment horizontal="center" vertical="center" wrapText="1"/>
    </xf>
    <xf numFmtId="179" fontId="12" fillId="0" borderId="1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67" fontId="21" fillId="0" borderId="18" xfId="0" applyNumberFormat="1" applyFont="1" applyFill="1" applyBorder="1" applyAlignment="1" applyProtection="1">
      <alignment horizontal="center" vertical="center" wrapText="1"/>
    </xf>
    <xf numFmtId="166" fontId="21" fillId="0" borderId="18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181" fontId="21" fillId="0" borderId="12" xfId="0" applyNumberFormat="1" applyFont="1" applyFill="1" applyBorder="1" applyAlignment="1" applyProtection="1">
      <alignment horizontal="center" vertical="center" wrapText="1"/>
    </xf>
    <xf numFmtId="180" fontId="12" fillId="4" borderId="4" xfId="0" applyNumberFormat="1" applyFont="1" applyFill="1" applyBorder="1" applyAlignment="1" applyProtection="1">
      <alignment horizontal="center" vertical="center" wrapText="1"/>
    </xf>
    <xf numFmtId="180" fontId="12" fillId="4" borderId="10" xfId="0" applyNumberFormat="1" applyFont="1" applyFill="1" applyBorder="1" applyAlignment="1" applyProtection="1">
      <alignment horizontal="center" vertical="center" wrapText="1"/>
    </xf>
    <xf numFmtId="169" fontId="21" fillId="0" borderId="9" xfId="0" applyNumberFormat="1" applyFont="1" applyFill="1" applyBorder="1" applyAlignment="1" applyProtection="1">
      <alignment horizontal="center" vertical="center" wrapText="1"/>
    </xf>
    <xf numFmtId="169" fontId="21" fillId="0" borderId="14" xfId="0" applyNumberFormat="1" applyFont="1" applyFill="1" applyBorder="1" applyAlignment="1" applyProtection="1">
      <alignment horizontal="center" vertical="center" wrapText="1"/>
    </xf>
    <xf numFmtId="169" fontId="21" fillId="0" borderId="4" xfId="0" applyNumberFormat="1" applyFont="1" applyFill="1" applyBorder="1" applyAlignment="1" applyProtection="1">
      <alignment horizontal="center" vertical="center" wrapText="1"/>
    </xf>
    <xf numFmtId="169" fontId="21" fillId="0" borderId="10" xfId="0" applyNumberFormat="1" applyFont="1" applyFill="1" applyBorder="1" applyAlignment="1" applyProtection="1">
      <alignment horizontal="center" vertical="center" wrapText="1"/>
    </xf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21" fillId="0" borderId="16" xfId="0" applyNumberFormat="1" applyFont="1" applyFill="1" applyBorder="1" applyAlignment="1" applyProtection="1">
      <alignment horizontal="center" vertical="center" wrapText="1"/>
    </xf>
    <xf numFmtId="169" fontId="21" fillId="0" borderId="18" xfId="0" applyNumberFormat="1" applyFont="1" applyFill="1" applyBorder="1" applyAlignment="1" applyProtection="1">
      <alignment horizontal="center" vertical="center" wrapText="1"/>
    </xf>
    <xf numFmtId="166" fontId="21" fillId="0" borderId="9" xfId="0" applyNumberFormat="1" applyFont="1" applyFill="1" applyBorder="1" applyAlignment="1" applyProtection="1">
      <alignment horizontal="center" vertical="center" wrapText="1"/>
    </xf>
    <xf numFmtId="166" fontId="21" fillId="0" borderId="14" xfId="0" applyNumberFormat="1" applyFont="1" applyFill="1" applyBorder="1" applyAlignment="1" applyProtection="1">
      <alignment horizontal="center" vertical="center" wrapText="1"/>
    </xf>
    <xf numFmtId="166" fontId="21" fillId="0" borderId="4" xfId="0" applyNumberFormat="1" applyFont="1" applyFill="1" applyBorder="1" applyAlignment="1" applyProtection="1">
      <alignment horizontal="center" vertical="center" wrapText="1"/>
    </xf>
    <xf numFmtId="166" fontId="21" fillId="0" borderId="10" xfId="0" applyNumberFormat="1" applyFont="1" applyFill="1" applyBorder="1" applyAlignment="1" applyProtection="1">
      <alignment horizontal="center" vertical="center" wrapText="1"/>
    </xf>
    <xf numFmtId="0" fontId="12" fillId="4" borderId="14" xfId="0" applyNumberFormat="1" applyFont="1" applyFill="1" applyBorder="1" applyAlignment="1" applyProtection="1">
      <alignment horizontal="center" vertical="center" wrapText="1"/>
    </xf>
    <xf numFmtId="0" fontId="12" fillId="4" borderId="4" xfId="0" applyNumberFormat="1" applyFont="1" applyFill="1" applyBorder="1" applyAlignment="1" applyProtection="1">
      <alignment horizontal="center" vertical="center" wrapText="1"/>
    </xf>
    <xf numFmtId="0" fontId="12" fillId="4" borderId="10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169" fontId="12" fillId="4" borderId="13" xfId="0" applyNumberFormat="1" applyFont="1" applyFill="1" applyBorder="1" applyAlignment="1" applyProtection="1">
      <alignment horizontal="center" vertical="center" wrapText="1"/>
    </xf>
    <xf numFmtId="0" fontId="12" fillId="4" borderId="18" xfId="0" applyNumberFormat="1" applyFont="1" applyFill="1" applyBorder="1" applyAlignment="1" applyProtection="1">
      <alignment horizontal="center" vertical="center" wrapText="1"/>
    </xf>
    <xf numFmtId="165" fontId="12" fillId="4" borderId="13" xfId="0" applyNumberFormat="1" applyFont="1" applyFill="1" applyBorder="1" applyAlignment="1" applyProtection="1">
      <alignment horizontal="center" vertical="center" wrapText="1"/>
    </xf>
    <xf numFmtId="0" fontId="21" fillId="0" borderId="10" xfId="0" applyNumberFormat="1" applyFont="1" applyFill="1" applyBorder="1" applyAlignment="1" applyProtection="1">
      <alignment horizontal="left" vertical="center" wrapText="1"/>
    </xf>
    <xf numFmtId="0" fontId="3" fillId="6" borderId="18" xfId="0" applyNumberFormat="1" applyFont="1" applyFill="1" applyBorder="1" applyAlignment="1" applyProtection="1">
      <alignment horizontal="center" vertical="center"/>
    </xf>
    <xf numFmtId="0" fontId="19" fillId="0" borderId="5" xfId="0" applyNumberFormat="1" applyFont="1" applyFill="1" applyBorder="1" applyAlignment="1" applyProtection="1">
      <alignment horizontal="left" vertical="center" wrapText="1"/>
    </xf>
    <xf numFmtId="0" fontId="19" fillId="0" borderId="9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14" xfId="0" applyNumberFormat="1" applyFont="1" applyFill="1" applyBorder="1" applyAlignment="1" applyProtection="1">
      <alignment horizontal="left" vertical="center" wrapText="1"/>
    </xf>
    <xf numFmtId="0" fontId="19" fillId="0" borderId="4" xfId="0" applyNumberFormat="1" applyFont="1" applyFill="1" applyBorder="1" applyAlignment="1" applyProtection="1">
      <alignment horizontal="left" vertical="center" wrapText="1"/>
    </xf>
    <xf numFmtId="0" fontId="19" fillId="0" borderId="16" xfId="0" applyNumberFormat="1" applyFont="1" applyFill="1" applyBorder="1" applyAlignment="1" applyProtection="1">
      <alignment horizontal="left" vertical="center" wrapText="1"/>
    </xf>
    <xf numFmtId="0" fontId="19" fillId="0" borderId="10" xfId="0" applyNumberFormat="1" applyFont="1" applyFill="1" applyBorder="1" applyAlignment="1" applyProtection="1">
      <alignment horizontal="left" vertical="center" wrapText="1"/>
    </xf>
    <xf numFmtId="0" fontId="21" fillId="0" borderId="17" xfId="0" applyNumberFormat="1" applyFont="1" applyFill="1" applyBorder="1" applyAlignment="1" applyProtection="1">
      <alignment horizontal="center" vertical="center" wrapText="1"/>
    </xf>
    <xf numFmtId="0" fontId="21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12" fillId="0" borderId="5" xfId="0" applyNumberFormat="1" applyFont="1" applyFill="1" applyBorder="1" applyAlignment="1" applyProtection="1">
      <alignment horizontal="center" vertical="bottom"/>
    </xf>
    <xf numFmtId="0" fontId="12" fillId="0" borderId="4" xfId="0" applyNumberFormat="1" applyFont="1" applyFill="1" applyBorder="1" applyAlignment="1" applyProtection="1">
      <alignment horizontal="center" vertical="bottom"/>
    </xf>
    <xf numFmtId="0" fontId="12" fillId="0" borderId="10" xfId="0" applyNumberFormat="1" applyFont="1" applyFill="1" applyBorder="1" applyAlignment="1" applyProtection="1">
      <alignment horizontal="center" vertical="bottom"/>
    </xf>
    <xf numFmtId="0" fontId="0" fillId="0" borderId="0" xfId="0"/>
    <xf numFmtId="0" fontId="12" fillId="0" borderId="12" xfId="0" applyNumberFormat="1" applyFont="1" applyFill="1" applyBorder="1" applyAlignment="1" applyProtection="1">
      <alignment horizontal="center" vertical="bottom"/>
    </xf>
    <xf numFmtId="0" fontId="21" fillId="0" borderId="10" xfId="0" applyNumberFormat="1" applyFont="1" applyFill="1" applyBorder="1" applyAlignment="1" applyProtection="1">
      <alignment horizontal="center" vertical="center"/>
    </xf>
    <xf numFmtId="167" fontId="21" fillId="0" borderId="1" xfId="0" applyNumberFormat="1" applyFont="1" applyFill="1" applyBorder="1" applyAlignment="1" applyProtection="1">
      <alignment horizontal="center" vertical="center" wrapText="1"/>
    </xf>
    <xf numFmtId="179" fontId="21" fillId="0" borderId="1" xfId="0" applyNumberFormat="1" applyFont="1" applyFill="1" applyBorder="1" applyAlignment="1" applyProtection="1">
      <alignment horizontal="center" vertical="center" wrapText="1"/>
    </xf>
    <xf numFmtId="178" fontId="14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168" fontId="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49" fontId="12" fillId="0" borderId="1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bottom"/>
    </xf>
    <xf numFmtId="0" fontId="20" fillId="6" borderId="1" xfId="0" applyNumberFormat="1" applyFont="1" applyFill="1" applyBorder="1" applyAlignment="1" applyProtection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left" vertical="center"/>
    </xf>
    <xf numFmtId="0" fontId="12" fillId="0" borderId="1" xfId="0" applyNumberFormat="1" applyFont="1" applyFill="1" applyBorder="1" applyAlignment="1" applyProtection="1">
      <alignment horizontal="left" vertical="bottom"/>
    </xf>
    <xf numFmtId="173" fontId="3" fillId="7" borderId="1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vertical="bottom" wrapText="1"/>
    </xf>
    <xf numFmtId="0" fontId="12" fillId="5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69" fontId="8" fillId="3" borderId="18" xfId="0" applyNumberFormat="1" applyFont="1" applyFill="1" applyBorder="1" applyAlignment="1" applyProtection="1">
      <alignment horizontal="center" vertical="center" wrapText="1"/>
    </xf>
    <xf numFmtId="0" fontId="8" fillId="0" borderId="16" xfId="0" applyNumberFormat="1" applyFont="1" applyFill="1" applyBorder="1" applyAlignment="1" applyProtection="1">
      <alignment horizontal="center" vertical="center" wrapText="1"/>
    </xf>
    <xf numFmtId="0" fontId="8" fillId="0" borderId="10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49" fontId="15" fillId="0" borderId="1" xfId="0" applyNumberFormat="1" applyFont="1" applyFill="1" applyBorder="1" applyAlignment="1" applyProtection="1">
      <alignment horizontal="center" vertical="center" wrapText="1"/>
    </xf>
    <xf numFmtId="165" fontId="8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175" fontId="12" fillId="0" borderId="18" xfId="0" applyNumberFormat="1" applyFont="1" applyFill="1" applyBorder="1" applyAlignment="1" applyProtection="1">
      <alignment horizontal="center" vertical="center" wrapText="1"/>
    </xf>
    <xf numFmtId="169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165" fontId="12" fillId="0" borderId="18" xfId="0" applyNumberFormat="1" applyFont="1" applyFill="1" applyBorder="1" applyAlignment="1" applyProtection="1">
      <alignment horizontal="center" vertical="center" wrapText="1"/>
    </xf>
    <xf numFmtId="0" fontId="22" fillId="0" borderId="18" xfId="0" applyNumberFormat="1" applyFont="1" applyFill="1" applyBorder="1" applyAlignment="1" applyProtection="1">
      <alignment vertical="center" wrapText="1"/>
    </xf>
  </cellXfs>
  <cellStyles>
    <cellStyle xfId="0" builtinId="0" name="常规"/>
    <cellStyle xfId="1" name="常规 2"/>
    <cellStyle xfId="2" name="常规 3"/>
  </cellStyles>
  <dxfs>
    <dxf/>
    <dxf>
      <fill>
        <patternFill>
          <fgColor rgb="FFFF0000"/>
          <bgColor rgb="FFFF0000"/>
        </patternFill>
      </fill>
      <protection locked="0" hidden="0"/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worksheet" Target="worksheets/sheet11.xml" Id="rId12" /><Relationship Type="http://schemas.openxmlformats.org/officeDocument/2006/relationships/worksheet" Target="worksheets/sheet12.xml" Id="rId13" /><Relationship Type="http://schemas.openxmlformats.org/officeDocument/2006/relationships/worksheet" Target="worksheets/sheet13.xml" Id="rId14" /><Relationship Type="http://schemas.openxmlformats.org/officeDocument/2006/relationships/worksheet" Target="worksheets/sheet14.xml" Id="rId15" /><Relationship Type="http://schemas.openxmlformats.org/officeDocument/2006/relationships/worksheet" Target="worksheets/sheet15.xml" Id="rId16" /><Relationship Type="http://schemas.openxmlformats.org/officeDocument/2006/relationships/worksheet" Target="worksheets/sheet16.xml" Id="rId17" /><Relationship Type="http://schemas.openxmlformats.org/officeDocument/2006/relationships/worksheet" Target="worksheets/sheet17.xml" Id="rId18" /><Relationship Type="http://schemas.openxmlformats.org/officeDocument/2006/relationships/worksheet" Target="worksheets/sheet18.xml" Id="rId19" /><Relationship Type="http://schemas.openxmlformats.org/officeDocument/2006/relationships/sharedStrings" Target="sharedStrings.xml" Id="rId20" /><Relationship Type="http://schemas.openxmlformats.org/officeDocument/2006/relationships/styles" Target="styles.xml" Id="rId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19050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19050" y="57150"/>
          <ext cx="96202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3" name="图片 2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2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112"/>
  <sheetViews>
    <sheetView topLeftCell="A1" tabSelected="1" workbookViewId="0" zoomScale="70" showGridLines="0" zoomScaleNormal="70" zoomScalePageLayoutView="80">
      <pane topLeftCell="A1"/>
      <selection activeCellId="0" activeCell="A1" sqref="A1"/>
    </sheetView>
  </sheetViews>
  <sheetFormatPr defaultColWidth="9" defaultRowHeight="14.25" customHeight="1"/>
  <cols>
    <col min="1" max="1" width="5.38" customWidth="1" style="12"/>
    <col min="2" max="2" width="8.75" customWidth="1" style="12"/>
    <col min="3" max="3" width="8.13" customWidth="1" style="12"/>
    <col min="4" max="5" width="8.5" customWidth="1" style="12"/>
    <col min="6" max="6" width="3.38" customWidth="1" style="12"/>
    <col min="7" max="7" width="3.5" customWidth="1" style="12"/>
    <col min="8" max="8" width="7.5" customWidth="1" style="12"/>
    <col min="9" max="9" width="2.75" customWidth="1" style="12"/>
    <col min="10" max="10" width="6.75" customWidth="1" style="12"/>
    <col min="11" max="11" width="7.5" customWidth="1" style="12"/>
    <col min="12" max="12" width="7.75" customWidth="1" style="12"/>
    <col min="13" max="13" width="8.13" customWidth="1" style="12"/>
    <col min="14" max="14" width="4.75" customWidth="1" style="12"/>
    <col min="15" max="15" width="4.63" customWidth="1" style="93"/>
    <col min="16" max="16" width="5.63" customWidth="1" style="12"/>
    <col min="17" max="17" width="20.5" customWidth="1" style="93"/>
    <col min="18" max="16384" width="9" style="12"/>
  </cols>
  <sheetData>
    <row r="1" ht="20.25" customHeight="1">
      <c r="A1" s="351"/>
      <c s="102"/>
      <c s="152" t="s">
        <v>0</v>
      </c>
      <c s="182"/>
      <c s="182"/>
      <c s="182"/>
      <c s="182"/>
      <c s="182"/>
      <c s="182"/>
      <c s="182"/>
      <c s="263"/>
      <c s="230" t="s">
        <v>1</v>
      </c>
      <c s="256"/>
      <c s="258"/>
      <c s="188"/>
      <c r="Q1" s="12"/>
    </row>
    <row r="2" ht="20.25" customHeight="1">
      <c r="A2" s="185"/>
      <c s="187"/>
      <c s="260" t="s">
        <v>2</v>
      </c>
      <c s="205"/>
      <c s="205"/>
      <c s="205"/>
      <c s="205"/>
      <c s="205"/>
      <c s="205"/>
      <c s="205"/>
      <c s="261"/>
      <c s="230" t="s">
        <v>3</v>
      </c>
      <c s="256"/>
      <c s="258"/>
      <c s="188"/>
      <c r="Q2" s="12"/>
    </row>
    <row r="3" ht="20.25" customHeight="1">
      <c r="A3" s="184"/>
      <c s="220"/>
      <c s="183"/>
      <c s="169"/>
      <c s="169"/>
      <c s="169"/>
      <c s="169"/>
      <c s="169"/>
      <c s="169"/>
      <c s="169"/>
      <c s="264"/>
      <c s="265" t="s">
        <v>4</v>
      </c>
      <c s="259"/>
      <c s="103"/>
      <c s="257"/>
      <c r="Q3" s="12"/>
    </row>
    <row r="4" ht="18" customHeight="1">
      <c r="A4" s="349" t="s">
        <v>5</v>
      </c>
      <c s="172"/>
      <c s="190"/>
      <c s="349" t="s">
        <v>6</v>
      </c>
      <c s="172"/>
      <c s="172"/>
      <c s="190"/>
      <c s="349" t="s">
        <v>7</v>
      </c>
      <c s="172"/>
      <c s="172"/>
      <c s="190"/>
      <c s="349" t="s">
        <v>8</v>
      </c>
      <c s="190"/>
      <c s="349" t="s">
        <v>9</v>
      </c>
      <c s="190"/>
      <c s="93"/>
    </row>
    <row r="5" ht="18" customHeight="1">
      <c r="A5" s="349" t="str">
        <f>IFERROR(VLOOKUP(MID(D5,3,5),'对应信息'!A:B,2,0),"")</f>
        <v>T700S</v>
      </c>
      <c s="172"/>
      <c s="190"/>
      <c s="349" t="s">
        <v>360</v>
      </c>
      <c s="172"/>
      <c s="172"/>
      <c s="190"/>
      <c s="181" t="s">
        <v>89</v>
      </c>
      <c s="170"/>
      <c s="170"/>
      <c s="192"/>
      <c s="349"/>
      <c s="190"/>
      <c s="349"/>
      <c s="190"/>
      <c s="93"/>
    </row>
    <row r="6" ht="18" customHeight="1">
      <c r="A6" s="349" t="s">
        <v>260</v>
      </c>
      <c s="190"/>
      <c s="349"/>
      <c s="190"/>
      <c s="254" t="s">
        <v>261</v>
      </c>
      <c s="175"/>
      <c s="240"/>
      <c s="241"/>
      <c s="218"/>
      <c s="218"/>
      <c s="255"/>
      <c s="349" t="s">
        <v>10</v>
      </c>
      <c s="190"/>
      <c s="349"/>
      <c s="190"/>
      <c s="93"/>
    </row>
    <row r="7" ht="18" customHeight="1">
      <c r="A7" s="349" t="s">
        <v>357</v>
      </c>
      <c s="190"/>
      <c s="349"/>
      <c s="172"/>
      <c s="172"/>
      <c s="172"/>
      <c s="190"/>
      <c s="349" t="s">
        <v>358</v>
      </c>
      <c s="172"/>
      <c s="190"/>
      <c s="241"/>
      <c s="218"/>
      <c s="218"/>
      <c s="218"/>
      <c s="255"/>
      <c s="93"/>
    </row>
    <row r="8" ht="19.5" customHeight="1">
      <c r="A8" s="120" t="s">
        <v>11</v>
      </c>
      <c s="349" t="s">
        <v>12</v>
      </c>
      <c s="172"/>
      <c s="190"/>
      <c s="349" t="s">
        <v>13</v>
      </c>
      <c s="172"/>
      <c s="172"/>
      <c s="172"/>
      <c s="172"/>
      <c s="172"/>
      <c s="172"/>
      <c s="172"/>
      <c s="172"/>
      <c s="172"/>
      <c s="190"/>
      <c s="93"/>
    </row>
    <row r="9" ht="19.5" customHeight="1">
      <c r="A9" s="349">
        <v>1</v>
      </c>
      <c s="349" t="s">
        <v>253</v>
      </c>
      <c s="349" t="s">
        <v>262</v>
      </c>
      <c s="192"/>
      <c s="349" t="s">
        <v>14</v>
      </c>
      <c s="172"/>
      <c s="190"/>
      <c s="349" t="s">
        <v>263</v>
      </c>
      <c s="172"/>
      <c s="172"/>
      <c s="172"/>
      <c s="172"/>
      <c s="172"/>
      <c s="172"/>
      <c s="190"/>
      <c s="93"/>
    </row>
    <row r="10" ht="19.5" customHeight="1">
      <c r="A10" s="250"/>
      <c s="250"/>
      <c s="248"/>
      <c s="249"/>
      <c s="349" t="s">
        <v>15</v>
      </c>
      <c s="172"/>
      <c s="190"/>
      <c s="349" t="s">
        <v>16</v>
      </c>
      <c s="172"/>
      <c s="190"/>
      <c s="350" t="s">
        <v>17</v>
      </c>
      <c s="214"/>
      <c s="349" t="s">
        <v>17</v>
      </c>
      <c s="172"/>
      <c s="190"/>
      <c s="93"/>
    </row>
    <row r="11" ht="19.5" customHeight="1">
      <c r="A11" s="250"/>
      <c s="250"/>
      <c s="248"/>
      <c s="249"/>
      <c s="349" t="s">
        <v>250</v>
      </c>
      <c s="172"/>
      <c s="190"/>
      <c s="350" t="s">
        <v>422</v>
      </c>
      <c s="253"/>
      <c s="214"/>
      <c s="350" t="s">
        <v>116</v>
      </c>
      <c s="214"/>
      <c s="350" t="s">
        <v>208</v>
      </c>
      <c s="253"/>
      <c s="214"/>
      <c s="93"/>
    </row>
    <row r="12" ht="19.5" customHeight="1">
      <c r="A12" s="250"/>
      <c s="250"/>
      <c s="248"/>
      <c s="249"/>
      <c s="349" t="s">
        <v>264</v>
      </c>
      <c s="170"/>
      <c s="192"/>
      <c s="348">
        <f>'波长示值误差与重复性校验'!C4</f>
        <v>807.3</v>
      </c>
      <c s="234"/>
      <c s="233"/>
      <c s="348" t="s">
        <v>424</v>
      </c>
      <c s="233"/>
      <c s="348" t="s">
        <v>426</v>
      </c>
      <c s="234"/>
      <c s="233"/>
      <c s="93"/>
    </row>
    <row r="13" ht="19.5" customHeight="1">
      <c r="A13" s="250"/>
      <c s="250"/>
      <c s="248"/>
      <c s="249"/>
      <c s="248"/>
      <c s="252"/>
      <c s="249"/>
      <c s="348" t="s">
        <v>422</v>
      </c>
      <c s="234"/>
      <c s="233"/>
      <c s="348" t="s">
        <v>424</v>
      </c>
      <c s="233"/>
      <c s="348" t="s">
        <v>427</v>
      </c>
      <c s="234"/>
      <c s="233"/>
      <c s="93"/>
    </row>
    <row r="14" ht="19.5" customHeight="1">
      <c r="A14" s="250"/>
      <c s="250"/>
      <c s="248"/>
      <c s="249"/>
      <c s="239"/>
      <c s="175"/>
      <c s="240"/>
      <c s="348" t="s">
        <v>422</v>
      </c>
      <c s="234"/>
      <c s="233"/>
      <c s="348" t="s">
        <v>425</v>
      </c>
      <c s="233"/>
      <c s="348" t="s">
        <v>427</v>
      </c>
      <c s="234"/>
      <c s="233"/>
      <c s="93"/>
    </row>
    <row r="15" ht="19.5" customHeight="1">
      <c r="A15" s="250"/>
      <c s="250"/>
      <c s="248"/>
      <c s="249"/>
      <c s="349" t="s">
        <v>249</v>
      </c>
      <c s="172"/>
      <c s="190"/>
      <c s="348" t="s">
        <v>422</v>
      </c>
      <c s="234"/>
      <c s="233"/>
      <c s="348" t="s">
        <v>424</v>
      </c>
      <c s="233"/>
      <c s="348" t="s">
        <v>428</v>
      </c>
      <c s="234"/>
      <c s="233"/>
      <c s="93"/>
    </row>
    <row r="16" ht="19.5" customHeight="1">
      <c r="A16" s="250"/>
      <c s="250"/>
      <c s="248"/>
      <c s="249"/>
      <c s="349" t="s">
        <v>248</v>
      </c>
      <c s="172"/>
      <c s="190"/>
      <c s="348" t="s">
        <v>423</v>
      </c>
      <c s="234"/>
      <c s="233"/>
      <c s="348" t="s">
        <v>375</v>
      </c>
      <c s="233"/>
      <c s="348" t="s">
        <v>375</v>
      </c>
      <c s="234"/>
      <c s="233"/>
      <c s="93"/>
    </row>
    <row r="17" ht="19.5" customHeight="1">
      <c r="A17" s="250"/>
      <c s="251"/>
      <c s="239"/>
      <c s="240"/>
      <c s="349" t="s">
        <v>247</v>
      </c>
      <c s="172"/>
      <c s="190"/>
      <c s="347" t="s">
        <v>375</v>
      </c>
      <c s="246"/>
      <c s="247"/>
      <c s="348" t="s">
        <v>375</v>
      </c>
      <c s="233"/>
      <c s="347" t="s">
        <v>375</v>
      </c>
      <c s="246"/>
      <c s="247"/>
      <c s="93"/>
    </row>
    <row r="18" ht="19.5" customHeight="1">
      <c r="A18" s="250"/>
      <c s="349" t="s">
        <v>252</v>
      </c>
      <c s="349" t="s">
        <v>251</v>
      </c>
      <c s="192"/>
      <c s="349" t="s">
        <v>15</v>
      </c>
      <c s="172"/>
      <c s="190"/>
      <c s="349" t="s">
        <v>207</v>
      </c>
      <c s="172"/>
      <c s="172"/>
      <c s="172"/>
      <c s="172"/>
      <c s="172"/>
      <c s="172"/>
      <c s="190"/>
      <c s="93"/>
      <c s="12"/>
    </row>
    <row r="19" ht="19.5" customHeight="1">
      <c r="A19" s="250"/>
      <c s="250"/>
      <c s="248"/>
      <c s="249"/>
      <c s="349" t="s">
        <v>250</v>
      </c>
      <c s="170"/>
      <c s="192"/>
      <c s="350" t="s">
        <v>294</v>
      </c>
      <c s="243"/>
      <c s="350" t="s">
        <v>295</v>
      </c>
      <c s="350" t="s">
        <v>296</v>
      </c>
      <c s="350" t="s">
        <v>297</v>
      </c>
      <c s="350" t="s">
        <v>298</v>
      </c>
      <c s="350" t="s">
        <v>299</v>
      </c>
      <c s="243"/>
      <c s="93"/>
      <c s="12"/>
    </row>
    <row r="20" hidden="1" ht="19.5" customHeight="1">
      <c r="A20" s="250"/>
      <c s="250"/>
      <c s="248"/>
      <c s="249"/>
      <c s="239"/>
      <c s="175"/>
      <c s="240"/>
      <c s="242"/>
      <c s="244"/>
      <c s="231"/>
      <c s="231"/>
      <c s="231"/>
      <c s="231"/>
      <c s="242"/>
      <c s="244"/>
      <c s="93"/>
      <c s="12"/>
    </row>
    <row r="21" ht="19.5" customHeight="1">
      <c r="A21" s="250"/>
      <c s="250"/>
      <c s="248"/>
      <c s="249"/>
      <c s="349" t="s">
        <v>194</v>
      </c>
      <c s="170"/>
      <c s="192"/>
      <c s="348" t="s">
        <v>429</v>
      </c>
      <c s="147"/>
      <c s="348" t="s">
        <v>432</v>
      </c>
      <c s="348" t="s">
        <v>374</v>
      </c>
      <c s="348" t="s">
        <v>376</v>
      </c>
      <c s="348" t="s">
        <v>378</v>
      </c>
      <c s="348" t="s">
        <v>380</v>
      </c>
      <c s="147"/>
      <c s="93"/>
      <c s="12"/>
    </row>
    <row r="22" hidden="1" ht="19.5" customHeight="1">
      <c r="A22" s="250"/>
      <c s="250"/>
      <c s="248"/>
      <c s="249"/>
      <c s="248"/>
      <c s="252"/>
      <c s="249"/>
      <c s="149"/>
      <c s="225"/>
      <c s="227"/>
      <c s="227"/>
      <c s="227"/>
      <c s="227"/>
      <c s="149"/>
      <c s="225"/>
      <c s="93"/>
      <c s="12"/>
    </row>
    <row r="23" ht="19.5" customHeight="1">
      <c r="A23" s="250"/>
      <c s="250"/>
      <c s="248"/>
      <c s="249"/>
      <c s="248"/>
      <c s="252"/>
      <c s="249"/>
      <c s="348" t="s">
        <v>430</v>
      </c>
      <c s="147"/>
      <c s="348" t="s">
        <v>432</v>
      </c>
      <c s="348" t="s">
        <v>374</v>
      </c>
      <c s="348" t="s">
        <v>376</v>
      </c>
      <c s="348" t="s">
        <v>379</v>
      </c>
      <c s="348" t="s">
        <v>380</v>
      </c>
      <c s="147"/>
      <c s="93"/>
      <c s="12"/>
    </row>
    <row r="24" hidden="1" ht="19.5" customHeight="1">
      <c r="A24" s="250"/>
      <c s="250"/>
      <c s="248"/>
      <c s="249"/>
      <c s="248"/>
      <c s="252"/>
      <c s="249"/>
      <c s="149"/>
      <c s="225"/>
      <c s="227"/>
      <c s="227"/>
      <c s="227"/>
      <c s="227"/>
      <c s="149"/>
      <c s="225"/>
      <c s="93"/>
      <c s="12"/>
    </row>
    <row r="25" ht="19.5" customHeight="1">
      <c r="A25" s="250"/>
      <c s="250"/>
      <c s="248"/>
      <c s="249"/>
      <c s="248"/>
      <c s="252"/>
      <c s="249"/>
      <c s="348" t="s">
        <v>429</v>
      </c>
      <c s="147"/>
      <c s="348" t="s">
        <v>432</v>
      </c>
      <c s="348" t="s">
        <v>374</v>
      </c>
      <c s="348" t="s">
        <v>376</v>
      </c>
      <c s="348" t="s">
        <v>379</v>
      </c>
      <c s="348" t="s">
        <v>380</v>
      </c>
      <c s="147"/>
      <c s="93"/>
      <c s="12"/>
    </row>
    <row r="26" hidden="1" ht="19.5" customHeight="1">
      <c r="A26" s="250"/>
      <c s="250"/>
      <c s="248"/>
      <c s="249"/>
      <c s="239"/>
      <c s="175"/>
      <c s="240"/>
      <c s="149"/>
      <c s="225"/>
      <c s="227"/>
      <c s="227"/>
      <c s="227"/>
      <c s="227"/>
      <c s="149"/>
      <c s="225"/>
      <c s="93"/>
      <c s="12"/>
    </row>
    <row r="27" ht="19.5" customHeight="1">
      <c r="A27" s="250"/>
      <c s="250"/>
      <c s="248"/>
      <c s="249"/>
      <c s="349" t="s">
        <v>249</v>
      </c>
      <c s="170"/>
      <c s="192"/>
      <c s="348" t="s">
        <v>429</v>
      </c>
      <c s="147"/>
      <c s="348" t="s">
        <v>432</v>
      </c>
      <c s="348" t="s">
        <v>374</v>
      </c>
      <c s="348" t="s">
        <v>376</v>
      </c>
      <c s="348" t="s">
        <v>379</v>
      </c>
      <c s="348" t="s">
        <v>380</v>
      </c>
      <c s="147"/>
      <c s="93"/>
      <c s="12"/>
    </row>
    <row r="28" hidden="1" ht="19.5" customHeight="1">
      <c r="A28" s="250"/>
      <c s="250"/>
      <c s="248"/>
      <c s="249"/>
      <c s="239"/>
      <c s="175"/>
      <c s="240"/>
      <c s="149"/>
      <c s="225"/>
      <c s="227"/>
      <c s="227"/>
      <c s="227"/>
      <c s="227"/>
      <c s="149"/>
      <c s="225"/>
      <c s="93"/>
      <c s="12"/>
    </row>
    <row r="29" ht="19.5" customHeight="1">
      <c r="A29" s="250"/>
      <c s="250"/>
      <c s="248"/>
      <c s="249"/>
      <c s="349" t="s">
        <v>248</v>
      </c>
      <c s="170"/>
      <c s="192"/>
      <c s="348" t="s">
        <v>431</v>
      </c>
      <c s="147"/>
      <c s="348" t="s">
        <v>377</v>
      </c>
      <c s="348" t="s">
        <v>375</v>
      </c>
      <c s="348" t="s">
        <v>377</v>
      </c>
      <c s="348" t="s">
        <v>377</v>
      </c>
      <c s="348" t="s">
        <v>377</v>
      </c>
      <c s="147"/>
      <c s="93"/>
      <c s="12"/>
    </row>
    <row r="30" hidden="1" ht="19.5" customHeight="1">
      <c r="A30" s="250"/>
      <c s="250"/>
      <c s="248"/>
      <c s="249"/>
      <c s="239"/>
      <c s="175"/>
      <c s="240"/>
      <c s="149"/>
      <c s="225"/>
      <c s="227"/>
      <c s="227"/>
      <c s="227"/>
      <c s="227"/>
      <c s="149"/>
      <c s="225"/>
      <c s="93"/>
      <c s="12"/>
    </row>
    <row r="31" ht="19.5" customHeight="1">
      <c r="A31" s="250"/>
      <c s="250"/>
      <c s="248"/>
      <c s="249"/>
      <c s="349" t="s">
        <v>247</v>
      </c>
      <c s="170"/>
      <c s="192"/>
      <c s="347" t="s">
        <v>377</v>
      </c>
      <c s="237"/>
      <c s="347" t="s">
        <v>375</v>
      </c>
      <c s="347" t="s">
        <v>375</v>
      </c>
      <c s="347" t="s">
        <v>375</v>
      </c>
      <c s="347" t="s">
        <v>377</v>
      </c>
      <c s="347" t="s">
        <v>375</v>
      </c>
      <c s="237"/>
      <c s="93"/>
      <c s="12"/>
    </row>
    <row r="32" hidden="1" ht="19.5" customHeight="1">
      <c r="A32" s="251"/>
      <c s="251"/>
      <c s="239"/>
      <c s="240"/>
      <c s="239"/>
      <c s="175"/>
      <c s="240"/>
      <c s="236"/>
      <c s="238"/>
      <c s="229"/>
      <c s="229"/>
      <c s="229"/>
      <c s="229"/>
      <c s="236"/>
      <c s="238"/>
      <c s="93"/>
      <c s="12"/>
    </row>
    <row r="33" ht="15" customHeight="1">
      <c r="A33" s="349">
        <v>2</v>
      </c>
      <c s="349" t="s">
        <v>246</v>
      </c>
      <c s="349" t="s">
        <v>289</v>
      </c>
      <c s="192"/>
      <c s="349" t="s">
        <v>15</v>
      </c>
      <c s="170"/>
      <c s="192"/>
      <c s="349" t="s">
        <v>265</v>
      </c>
      <c s="170"/>
      <c s="170"/>
      <c s="170"/>
      <c s="170"/>
      <c s="170"/>
      <c s="170"/>
      <c s="192"/>
      <c s="93"/>
      <c s="12"/>
    </row>
    <row r="34" ht="15" customHeight="1">
      <c r="A34" s="250"/>
      <c s="250"/>
      <c s="248"/>
      <c s="249"/>
      <c s="239"/>
      <c s="175"/>
      <c s="240"/>
      <c s="239"/>
      <c s="175"/>
      <c s="175"/>
      <c s="175"/>
      <c s="175"/>
      <c s="175"/>
      <c s="175"/>
      <c s="240"/>
      <c s="93"/>
      <c s="12"/>
    </row>
    <row r="35" ht="19.5" customHeight="1">
      <c r="A35" s="250"/>
      <c s="250"/>
      <c s="248"/>
      <c s="249"/>
      <c s="349" t="s">
        <v>18</v>
      </c>
      <c s="190"/>
      <c s="349" t="s">
        <v>19</v>
      </c>
      <c s="190"/>
      <c s="349" t="s">
        <v>433</v>
      </c>
      <c s="172"/>
      <c s="190"/>
      <c s="349">
        <f>'透射比示值误差与重复性校验'!B7</f>
        <v>546</v>
      </c>
      <c s="190"/>
      <c s="349">
        <f>'透射比示值误差与重复性校验'!B8</f>
        <v>440</v>
      </c>
      <c s="190"/>
      <c s="93"/>
      <c s="12"/>
    </row>
    <row r="36" ht="19.5" customHeight="1">
      <c r="A36" s="250"/>
      <c s="250"/>
      <c s="248"/>
      <c s="249"/>
      <c s="349" t="s">
        <v>83</v>
      </c>
      <c s="192"/>
      <c s="349" t="s">
        <v>266</v>
      </c>
      <c s="190"/>
      <c s="350" t="s">
        <v>434</v>
      </c>
      <c s="253"/>
      <c s="214"/>
      <c s="350" t="s">
        <v>381</v>
      </c>
      <c s="214"/>
      <c s="350" t="s">
        <v>382</v>
      </c>
      <c s="214"/>
      <c s="93"/>
      <c s="12"/>
    </row>
    <row r="37" ht="19.5" customHeight="1">
      <c r="A37" s="250"/>
      <c s="250"/>
      <c s="248"/>
      <c s="249"/>
      <c s="248"/>
      <c s="249"/>
      <c s="349" t="s">
        <v>267</v>
      </c>
      <c s="192"/>
      <c s="348" t="s">
        <v>383</v>
      </c>
      <c s="234"/>
      <c s="233"/>
      <c s="348" t="s">
        <v>385</v>
      </c>
      <c s="233"/>
      <c s="348" t="s">
        <v>387</v>
      </c>
      <c s="233"/>
      <c s="93"/>
      <c s="12"/>
    </row>
    <row r="38" ht="19.5" customHeight="1">
      <c r="A38" s="250"/>
      <c s="250"/>
      <c s="248"/>
      <c s="249"/>
      <c s="248"/>
      <c s="249"/>
      <c s="248"/>
      <c s="249"/>
      <c s="348" t="s">
        <v>383</v>
      </c>
      <c s="234"/>
      <c s="233"/>
      <c s="348" t="s">
        <v>385</v>
      </c>
      <c s="233"/>
      <c s="348" t="s">
        <v>387</v>
      </c>
      <c s="233"/>
      <c s="93"/>
      <c s="12"/>
    </row>
    <row r="39" ht="19.5" customHeight="1">
      <c r="A39" s="250"/>
      <c s="250"/>
      <c s="248"/>
      <c s="249"/>
      <c s="248"/>
      <c s="249"/>
      <c s="239"/>
      <c s="240"/>
      <c s="348" t="s">
        <v>383</v>
      </c>
      <c s="234"/>
      <c s="233"/>
      <c s="348" t="s">
        <v>385</v>
      </c>
      <c s="233"/>
      <c s="348" t="s">
        <v>387</v>
      </c>
      <c s="233"/>
      <c s="93"/>
      <c s="12"/>
    </row>
    <row r="40" ht="19.5" customHeight="1">
      <c r="A40" s="250"/>
      <c s="250"/>
      <c s="248"/>
      <c s="249"/>
      <c s="248"/>
      <c s="249"/>
      <c s="349" t="s">
        <v>268</v>
      </c>
      <c s="190"/>
      <c s="348" t="s">
        <v>383</v>
      </c>
      <c s="234"/>
      <c s="233"/>
      <c s="348" t="s">
        <v>385</v>
      </c>
      <c s="233"/>
      <c s="348" t="s">
        <v>387</v>
      </c>
      <c s="233"/>
      <c s="93"/>
      <c s="12"/>
    </row>
    <row r="41" ht="19.5" customHeight="1">
      <c r="A41" s="250"/>
      <c s="250"/>
      <c s="248"/>
      <c s="249"/>
      <c s="248"/>
      <c s="249"/>
      <c s="349" t="s">
        <v>269</v>
      </c>
      <c s="190"/>
      <c s="348" t="s">
        <v>384</v>
      </c>
      <c s="234"/>
      <c s="233"/>
      <c s="348" t="s">
        <v>386</v>
      </c>
      <c s="233"/>
      <c s="348" t="s">
        <v>388</v>
      </c>
      <c s="233"/>
      <c s="93"/>
      <c s="12"/>
    </row>
    <row r="42" ht="19.5" customHeight="1">
      <c r="A42" s="250"/>
      <c s="250"/>
      <c s="248"/>
      <c s="249"/>
      <c s="239"/>
      <c s="240"/>
      <c s="349" t="s">
        <v>270</v>
      </c>
      <c s="190"/>
      <c s="348" t="s">
        <v>375</v>
      </c>
      <c s="234"/>
      <c s="233"/>
      <c s="348" t="s">
        <v>375</v>
      </c>
      <c s="233"/>
      <c s="348" t="s">
        <v>375</v>
      </c>
      <c s="233"/>
      <c s="93"/>
      <c s="12"/>
    </row>
    <row r="43" ht="19.5" customHeight="1">
      <c r="A43" s="250"/>
      <c s="250"/>
      <c s="248"/>
      <c s="249"/>
      <c s="349" t="s">
        <v>87</v>
      </c>
      <c s="192"/>
      <c s="349" t="s">
        <v>266</v>
      </c>
      <c s="190"/>
      <c s="350" t="s">
        <v>435</v>
      </c>
      <c s="253"/>
      <c s="214"/>
      <c s="350" t="s">
        <v>389</v>
      </c>
      <c s="214"/>
      <c s="350" t="s">
        <v>390</v>
      </c>
      <c s="214"/>
      <c s="93"/>
      <c s="12"/>
    </row>
    <row r="44" ht="19.5" customHeight="1">
      <c r="A44" s="250"/>
      <c s="250"/>
      <c s="248"/>
      <c s="249"/>
      <c s="248"/>
      <c s="249"/>
      <c s="349" t="s">
        <v>267</v>
      </c>
      <c s="192"/>
      <c s="348" t="s">
        <v>391</v>
      </c>
      <c s="234"/>
      <c s="233"/>
      <c s="348" t="s">
        <v>393</v>
      </c>
      <c s="233"/>
      <c s="348" t="s">
        <v>394</v>
      </c>
      <c s="233"/>
      <c s="93"/>
      <c s="12"/>
    </row>
    <row r="45" ht="19.5" customHeight="1">
      <c r="A45" s="250"/>
      <c s="250"/>
      <c s="248"/>
      <c s="249"/>
      <c s="248"/>
      <c s="249"/>
      <c s="248"/>
      <c s="249"/>
      <c s="348" t="s">
        <v>391</v>
      </c>
      <c s="234"/>
      <c s="233"/>
      <c s="348" t="s">
        <v>393</v>
      </c>
      <c s="233"/>
      <c s="348" t="s">
        <v>394</v>
      </c>
      <c s="233"/>
      <c s="93"/>
      <c s="12"/>
    </row>
    <row r="46" ht="19.5" customHeight="1">
      <c r="A46" s="250"/>
      <c s="250"/>
      <c s="248"/>
      <c s="249"/>
      <c s="248"/>
      <c s="249"/>
      <c s="239"/>
      <c s="240"/>
      <c s="348" t="s">
        <v>391</v>
      </c>
      <c s="234"/>
      <c s="233"/>
      <c s="348" t="s">
        <v>393</v>
      </c>
      <c s="233"/>
      <c s="348" t="s">
        <v>394</v>
      </c>
      <c s="233"/>
      <c s="93"/>
      <c s="12"/>
    </row>
    <row r="47" ht="19.5" customHeight="1">
      <c r="A47" s="250"/>
      <c s="250"/>
      <c s="248"/>
      <c s="249"/>
      <c s="248"/>
      <c s="249"/>
      <c s="349" t="s">
        <v>268</v>
      </c>
      <c s="190"/>
      <c s="348" t="s">
        <v>391</v>
      </c>
      <c s="234"/>
      <c s="233"/>
      <c s="348" t="s">
        <v>393</v>
      </c>
      <c s="233"/>
      <c s="348" t="s">
        <v>394</v>
      </c>
      <c s="233"/>
      <c s="93"/>
      <c s="12"/>
    </row>
    <row r="48" ht="19.5" customHeight="1">
      <c r="A48" s="250"/>
      <c s="250"/>
      <c s="248"/>
      <c s="249"/>
      <c s="248"/>
      <c s="249"/>
      <c s="349" t="s">
        <v>269</v>
      </c>
      <c s="190"/>
      <c s="348" t="s">
        <v>392</v>
      </c>
      <c s="234"/>
      <c s="233"/>
      <c s="348" t="s">
        <v>377</v>
      </c>
      <c s="233"/>
      <c s="348" t="s">
        <v>395</v>
      </c>
      <c s="233"/>
      <c s="93"/>
      <c s="12"/>
    </row>
    <row r="49" ht="19.5" customHeight="1">
      <c r="A49" s="251"/>
      <c s="251"/>
      <c s="239"/>
      <c s="240"/>
      <c s="239"/>
      <c s="240"/>
      <c s="349" t="s">
        <v>270</v>
      </c>
      <c s="190"/>
      <c s="350" t="s">
        <v>375</v>
      </c>
      <c s="253"/>
      <c s="214"/>
      <c s="348" t="s">
        <v>375</v>
      </c>
      <c s="233"/>
      <c s="350" t="s">
        <v>375</v>
      </c>
      <c s="214"/>
      <c s="93"/>
      <c s="12"/>
    </row>
    <row r="50" ht="19.5" customHeight="1">
      <c r="A50" s="349">
        <v>2</v>
      </c>
      <c s="349" t="s">
        <v>246</v>
      </c>
      <c s="349" t="s">
        <v>290</v>
      </c>
      <c s="192"/>
      <c s="349" t="s">
        <v>90</v>
      </c>
      <c s="192"/>
      <c s="349" t="s">
        <v>266</v>
      </c>
      <c s="190"/>
      <c s="350" t="s">
        <v>436</v>
      </c>
      <c s="253"/>
      <c s="214"/>
      <c s="350" t="s">
        <v>398</v>
      </c>
      <c s="214"/>
      <c s="350" t="s">
        <v>401</v>
      </c>
      <c s="214"/>
      <c s="93"/>
      <c s="12"/>
    </row>
    <row r="51" ht="19.5" customHeight="1">
      <c r="A51" s="250"/>
      <c s="250"/>
      <c s="248"/>
      <c s="249"/>
      <c s="248"/>
      <c s="249"/>
      <c s="349" t="s">
        <v>267</v>
      </c>
      <c s="192"/>
      <c s="348" t="s">
        <v>396</v>
      </c>
      <c s="234"/>
      <c s="233"/>
      <c s="348" t="s">
        <v>399</v>
      </c>
      <c s="233"/>
      <c s="348" t="s">
        <v>402</v>
      </c>
      <c s="233"/>
      <c s="93"/>
      <c s="12"/>
    </row>
    <row r="52" ht="19.5" customHeight="1">
      <c r="A52" s="250"/>
      <c s="250"/>
      <c s="248"/>
      <c s="249"/>
      <c s="248"/>
      <c s="249"/>
      <c s="248"/>
      <c s="249"/>
      <c s="348" t="s">
        <v>396</v>
      </c>
      <c s="234"/>
      <c s="233"/>
      <c s="348" t="s">
        <v>399</v>
      </c>
      <c s="233"/>
      <c s="348" t="s">
        <v>402</v>
      </c>
      <c s="233"/>
      <c s="93"/>
      <c s="12"/>
    </row>
    <row r="53" ht="19.5" customHeight="1">
      <c r="A53" s="250"/>
      <c s="250"/>
      <c s="248"/>
      <c s="249"/>
      <c s="248"/>
      <c s="249"/>
      <c s="239"/>
      <c s="240"/>
      <c s="348" t="s">
        <v>396</v>
      </c>
      <c s="234"/>
      <c s="233"/>
      <c s="348" t="s">
        <v>399</v>
      </c>
      <c s="233"/>
      <c s="348" t="s">
        <v>402</v>
      </c>
      <c s="233"/>
      <c s="93"/>
      <c s="12"/>
    </row>
    <row r="54" ht="19.5" customHeight="1">
      <c r="A54" s="250"/>
      <c s="250"/>
      <c s="248"/>
      <c s="249"/>
      <c s="248"/>
      <c s="249"/>
      <c s="349" t="s">
        <v>268</v>
      </c>
      <c s="190"/>
      <c s="348" t="s">
        <v>396</v>
      </c>
      <c s="234"/>
      <c s="233"/>
      <c s="348" t="s">
        <v>399</v>
      </c>
      <c s="233"/>
      <c s="348" t="s">
        <v>402</v>
      </c>
      <c s="233"/>
      <c s="93"/>
      <c s="12"/>
    </row>
    <row r="55" ht="19.5" customHeight="1">
      <c r="A55" s="250"/>
      <c s="250"/>
      <c s="248"/>
      <c s="249"/>
      <c s="248"/>
      <c s="249"/>
      <c s="349" t="s">
        <v>269</v>
      </c>
      <c s="190"/>
      <c s="348" t="s">
        <v>397</v>
      </c>
      <c s="234"/>
      <c s="233"/>
      <c s="348" t="s">
        <v>400</v>
      </c>
      <c s="233"/>
      <c s="348" t="s">
        <v>403</v>
      </c>
      <c s="233"/>
      <c s="93"/>
      <c s="12"/>
    </row>
    <row r="56" ht="19.5" customHeight="1">
      <c r="A56" s="251"/>
      <c s="251"/>
      <c s="239"/>
      <c s="240"/>
      <c s="239"/>
      <c s="240"/>
      <c s="349" t="s">
        <v>270</v>
      </c>
      <c s="190"/>
      <c s="348" t="s">
        <v>375</v>
      </c>
      <c s="234"/>
      <c s="233"/>
      <c s="348" t="s">
        <v>375</v>
      </c>
      <c s="233"/>
      <c s="348" t="s">
        <v>375</v>
      </c>
      <c s="233"/>
      <c s="93"/>
      <c s="12"/>
    </row>
    <row r="57" ht="19.5" customHeight="1">
      <c r="A57" s="349">
        <v>3</v>
      </c>
      <c s="349" t="s">
        <v>245</v>
      </c>
      <c s="349" t="s">
        <v>289</v>
      </c>
      <c s="192"/>
      <c s="349" t="s">
        <v>15</v>
      </c>
      <c s="172"/>
      <c s="190"/>
      <c s="349" t="s">
        <v>120</v>
      </c>
      <c s="172"/>
      <c s="172"/>
      <c s="172"/>
      <c s="172"/>
      <c s="172"/>
      <c s="172"/>
      <c s="190"/>
      <c s="93"/>
      <c s="12"/>
    </row>
    <row r="58" ht="19.5" customHeight="1">
      <c r="A58" s="250"/>
      <c s="250"/>
      <c s="248"/>
      <c s="249"/>
      <c s="349" t="s">
        <v>271</v>
      </c>
      <c s="170"/>
      <c s="192"/>
      <c s="349" t="s">
        <v>437</v>
      </c>
      <c s="190"/>
      <c s="349" t="s">
        <v>411</v>
      </c>
      <c s="190"/>
      <c s="304" t="s">
        <v>415</v>
      </c>
      <c s="224"/>
      <c s="304" t="s">
        <v>418</v>
      </c>
      <c s="224"/>
      <c s="93"/>
      <c s="12"/>
    </row>
    <row r="59" ht="19.5" customHeight="1">
      <c r="A59" s="250"/>
      <c s="250"/>
      <c s="248"/>
      <c s="249"/>
      <c s="239"/>
      <c s="175"/>
      <c s="240"/>
      <c s="350" t="s">
        <v>408</v>
      </c>
      <c s="214"/>
      <c s="350" t="s">
        <v>412</v>
      </c>
      <c s="214"/>
      <c s="245" t="s">
        <v>416</v>
      </c>
      <c s="305"/>
      <c s="245" t="s">
        <v>419</v>
      </c>
      <c s="305"/>
      <c s="93"/>
      <c s="12"/>
    </row>
    <row r="60" ht="19.5" customHeight="1">
      <c r="A60" s="250"/>
      <c s="250"/>
      <c s="248"/>
      <c s="249"/>
      <c s="349" t="s">
        <v>29</v>
      </c>
      <c s="170"/>
      <c s="192"/>
      <c s="348" t="s">
        <v>409</v>
      </c>
      <c s="233"/>
      <c s="348" t="s">
        <v>413</v>
      </c>
      <c s="233"/>
      <c s="189" t="s">
        <v>417</v>
      </c>
      <c s="303"/>
      <c s="189" t="s">
        <v>420</v>
      </c>
      <c s="303"/>
      <c s="93"/>
      <c s="12"/>
    </row>
    <row r="61" ht="19.5" customHeight="1">
      <c r="A61" s="250"/>
      <c s="250"/>
      <c s="248"/>
      <c s="249"/>
      <c s="248"/>
      <c s="252"/>
      <c s="249"/>
      <c s="348" t="s">
        <v>409</v>
      </c>
      <c s="233"/>
      <c s="348" t="s">
        <v>413</v>
      </c>
      <c s="233"/>
      <c s="189" t="s">
        <v>417</v>
      </c>
      <c s="303"/>
      <c s="189" t="s">
        <v>420</v>
      </c>
      <c s="303"/>
      <c s="93"/>
      <c s="12"/>
    </row>
    <row r="62" ht="19.5" customHeight="1">
      <c r="A62" s="250"/>
      <c s="250"/>
      <c s="248"/>
      <c s="249"/>
      <c s="239"/>
      <c s="175"/>
      <c s="240"/>
      <c s="348" t="s">
        <v>409</v>
      </c>
      <c s="233"/>
      <c s="348" t="s">
        <v>413</v>
      </c>
      <c s="233"/>
      <c s="189" t="s">
        <v>417</v>
      </c>
      <c s="303"/>
      <c s="189" t="s">
        <v>420</v>
      </c>
      <c s="303"/>
      <c s="93"/>
      <c s="12"/>
    </row>
    <row r="63" ht="19.5" customHeight="1">
      <c r="A63" s="250"/>
      <c s="250"/>
      <c s="248"/>
      <c s="249"/>
      <c s="349" t="s">
        <v>268</v>
      </c>
      <c s="172"/>
      <c s="190"/>
      <c s="348" t="s">
        <v>409</v>
      </c>
      <c s="233"/>
      <c s="348" t="s">
        <v>413</v>
      </c>
      <c s="233"/>
      <c s="348" t="s">
        <v>417</v>
      </c>
      <c s="233"/>
      <c s="348" t="s">
        <v>420</v>
      </c>
      <c s="233"/>
      <c s="93"/>
      <c s="12"/>
    </row>
    <row r="64" ht="19.5" customHeight="1">
      <c r="A64" s="250"/>
      <c s="250"/>
      <c s="248"/>
      <c s="249"/>
      <c s="349" t="s">
        <v>269</v>
      </c>
      <c s="172"/>
      <c s="190"/>
      <c s="348" t="s">
        <v>410</v>
      </c>
      <c s="233"/>
      <c s="348" t="s">
        <v>414</v>
      </c>
      <c s="233"/>
      <c s="348" t="s">
        <v>410</v>
      </c>
      <c s="233"/>
      <c s="348" t="s">
        <v>421</v>
      </c>
      <c s="233"/>
      <c s="93"/>
      <c s="12"/>
    </row>
    <row r="65" ht="19.5" customHeight="1">
      <c r="A65" s="251"/>
      <c s="251"/>
      <c s="239"/>
      <c s="240"/>
      <c s="349" t="s">
        <v>270</v>
      </c>
      <c s="172"/>
      <c s="190"/>
      <c s="350" t="s">
        <v>375</v>
      </c>
      <c s="214"/>
      <c s="350" t="s">
        <v>375</v>
      </c>
      <c s="214"/>
      <c s="350" t="s">
        <v>375</v>
      </c>
      <c s="214"/>
      <c s="350" t="s">
        <v>375</v>
      </c>
      <c s="214"/>
      <c s="93"/>
      <c s="12"/>
    </row>
    <row r="66" ht="30" customHeight="1">
      <c r="A66" s="349">
        <v>4</v>
      </c>
      <c s="302" t="s">
        <v>20</v>
      </c>
      <c s="349"/>
      <c s="192"/>
      <c s="302" t="s">
        <v>21</v>
      </c>
      <c s="266"/>
      <c s="268"/>
      <c s="302"/>
      <c s="268"/>
      <c s="349">
        <v>1</v>
      </c>
      <c s="349">
        <v>2</v>
      </c>
      <c s="349">
        <v>3</v>
      </c>
      <c s="304" t="s">
        <v>13</v>
      </c>
      <c s="167"/>
      <c s="300"/>
      <c s="93"/>
      <c s="12"/>
    </row>
    <row r="67" hidden="1" ht="30" customHeight="1">
      <c r="A67" s="250"/>
      <c s="315"/>
      <c s="239"/>
      <c s="240"/>
      <c s="191"/>
      <c s="267"/>
      <c s="269"/>
      <c s="191"/>
      <c s="269"/>
      <c s="251"/>
      <c s="251"/>
      <c s="251"/>
      <c s="222"/>
      <c s="299"/>
      <c s="301"/>
      <c s="93"/>
      <c s="12"/>
    </row>
    <row r="68" ht="30" customHeight="1">
      <c r="A68" s="250"/>
      <c s="315"/>
      <c s="153" t="s">
        <v>22</v>
      </c>
      <c s="349" t="s">
        <v>272</v>
      </c>
      <c s="302" t="s">
        <v>23</v>
      </c>
      <c s="266"/>
      <c s="268"/>
      <c s="349" t="s">
        <v>293</v>
      </c>
      <c s="192"/>
      <c s="176" t="s">
        <v>438</v>
      </c>
      <c s="275" t="s">
        <v>438</v>
      </c>
      <c s="275" t="s">
        <v>438</v>
      </c>
      <c s="304" t="s">
        <v>442</v>
      </c>
      <c s="167"/>
      <c s="300"/>
      <c s="93"/>
      <c s="12"/>
    </row>
    <row r="69" hidden="1" ht="30" customHeight="1">
      <c r="A69" s="250"/>
      <c s="315"/>
      <c s="274"/>
      <c s="251"/>
      <c s="191"/>
      <c s="267"/>
      <c s="269"/>
      <c s="248"/>
      <c s="249"/>
      <c s="276"/>
      <c s="278"/>
      <c s="278"/>
      <c s="222"/>
      <c s="299"/>
      <c s="301"/>
      <c s="93"/>
      <c s="12"/>
    </row>
    <row r="70" ht="30" customHeight="1">
      <c r="A70" s="250"/>
      <c s="315"/>
      <c s="153" t="s">
        <v>24</v>
      </c>
      <c s="349" t="s">
        <v>35</v>
      </c>
      <c s="302" t="s">
        <v>25</v>
      </c>
      <c s="266"/>
      <c s="268"/>
      <c s="248"/>
      <c s="249"/>
      <c s="176" t="s">
        <v>440</v>
      </c>
      <c s="275" t="s">
        <v>441</v>
      </c>
      <c s="275" t="s">
        <v>440</v>
      </c>
      <c s="304" t="s">
        <v>442</v>
      </c>
      <c s="167"/>
      <c s="300"/>
      <c s="93"/>
      <c s="12"/>
    </row>
    <row r="71" hidden="1" ht="30" customHeight="1">
      <c r="A71" s="251"/>
      <c s="316"/>
      <c s="274"/>
      <c s="251"/>
      <c s="191"/>
      <c s="267"/>
      <c s="269"/>
      <c s="239"/>
      <c s="240"/>
      <c s="276"/>
      <c s="278"/>
      <c s="278"/>
      <c s="222"/>
      <c s="299"/>
      <c s="301"/>
      <c s="93"/>
      <c s="12"/>
    </row>
    <row r="72" ht="30" customHeight="1">
      <c r="A72" s="349">
        <v>5</v>
      </c>
      <c s="302" t="s">
        <v>26</v>
      </c>
      <c s="349" t="s">
        <v>345</v>
      </c>
      <c s="170"/>
      <c s="170"/>
      <c s="170"/>
      <c s="192"/>
      <c s="349" t="s">
        <v>27</v>
      </c>
      <c s="170"/>
      <c s="170"/>
      <c s="170"/>
      <c s="192"/>
      <c s="283" t="s">
        <v>439</v>
      </c>
      <c s="295"/>
      <c s="297"/>
      <c s="93"/>
      <c s="12"/>
    </row>
    <row r="73" hidden="1" ht="30" customHeight="1">
      <c r="A73" s="251"/>
      <c s="316"/>
      <c s="239"/>
      <c s="175"/>
      <c s="175"/>
      <c s="175"/>
      <c s="240"/>
      <c s="239"/>
      <c s="175"/>
      <c s="175"/>
      <c s="175"/>
      <c s="240"/>
      <c s="223"/>
      <c s="296"/>
      <c s="298"/>
      <c s="93"/>
      <c s="12"/>
    </row>
    <row r="74" ht="30" customHeight="1">
      <c r="A74" s="302">
        <v>6</v>
      </c>
      <c s="302" t="s">
        <v>28</v>
      </c>
      <c s="349" t="s">
        <v>273</v>
      </c>
      <c s="170"/>
      <c s="170"/>
      <c s="170"/>
      <c s="192"/>
      <c s="349" t="s">
        <v>29</v>
      </c>
      <c s="170"/>
      <c s="170"/>
      <c s="170"/>
      <c s="192"/>
      <c s="294" t="s">
        <v>375</v>
      </c>
      <c s="288"/>
      <c s="290"/>
      <c s="93"/>
      <c s="12"/>
    </row>
    <row r="75" hidden="1" ht="30" customHeight="1">
      <c r="A75" s="316"/>
      <c s="316"/>
      <c s="239"/>
      <c s="175"/>
      <c s="175"/>
      <c s="175"/>
      <c s="240"/>
      <c s="239"/>
      <c s="175"/>
      <c s="175"/>
      <c s="175"/>
      <c s="240"/>
      <c s="161"/>
      <c s="289"/>
      <c s="291"/>
      <c s="93"/>
      <c s="12"/>
    </row>
    <row r="76" ht="30" customHeight="1">
      <c r="A76" s="302">
        <v>7</v>
      </c>
      <c s="302" t="s">
        <v>30</v>
      </c>
      <c s="349" t="s">
        <v>31</v>
      </c>
      <c s="192"/>
      <c s="302" t="s">
        <v>274</v>
      </c>
      <c s="271"/>
      <c s="272"/>
      <c s="324" t="s">
        <v>129</v>
      </c>
      <c s="282" t="s">
        <v>131</v>
      </c>
      <c s="159"/>
      <c s="324" t="s">
        <v>132</v>
      </c>
      <c s="324" t="s">
        <v>133</v>
      </c>
      <c s="324" t="s">
        <v>134</v>
      </c>
      <c s="302"/>
      <c s="268"/>
      <c s="93"/>
      <c s="12"/>
    </row>
    <row r="77" ht="20.25" customHeight="1">
      <c r="A77" s="315"/>
      <c s="315"/>
      <c s="248"/>
      <c s="249"/>
      <c s="302" t="s">
        <v>264</v>
      </c>
      <c s="271"/>
      <c s="272"/>
      <c s="325" t="s">
        <v>367</v>
      </c>
      <c s="160" t="s">
        <v>367</v>
      </c>
      <c s="165"/>
      <c s="325" t="s">
        <v>368</v>
      </c>
      <c s="325" t="s">
        <v>369</v>
      </c>
      <c s="325" t="s">
        <v>370</v>
      </c>
      <c s="292"/>
      <c s="293"/>
      <c s="93"/>
      <c s="12"/>
    </row>
    <row r="78" ht="20.25" customHeight="1">
      <c r="A78" s="316"/>
      <c s="316"/>
      <c s="239"/>
      <c s="240"/>
      <c s="349" t="s">
        <v>275</v>
      </c>
      <c s="172"/>
      <c s="190"/>
      <c s="326" t="s">
        <v>373</v>
      </c>
      <c s="235" t="s">
        <v>373</v>
      </c>
      <c s="164"/>
      <c s="326" t="s">
        <v>373</v>
      </c>
      <c s="326" t="s">
        <v>372</v>
      </c>
      <c s="326" t="s">
        <v>371</v>
      </c>
      <c s="191"/>
      <c s="269"/>
      <c s="93"/>
      <c s="12"/>
    </row>
    <row r="79" ht="30" customHeight="1">
      <c r="A79" s="302">
        <v>8</v>
      </c>
      <c s="302" t="s">
        <v>276</v>
      </c>
      <c s="232">
        <v>1</v>
      </c>
      <c s="349" t="s">
        <v>32</v>
      </c>
      <c s="302" t="s">
        <v>29</v>
      </c>
      <c s="266"/>
      <c s="268"/>
      <c s="275" t="s">
        <v>366</v>
      </c>
      <c s="279"/>
      <c s="226">
        <v>0</v>
      </c>
      <c s="349" t="s">
        <v>33</v>
      </c>
      <c s="192"/>
      <c s="349" t="s">
        <v>293</v>
      </c>
      <c s="228" t="s">
        <v>404</v>
      </c>
      <c s="286"/>
      <c s="93"/>
      <c s="12"/>
    </row>
    <row r="80" hidden="1" ht="30" customHeight="1">
      <c r="A80" s="315"/>
      <c s="316"/>
      <c s="177"/>
      <c s="251"/>
      <c s="191"/>
      <c s="267"/>
      <c s="269"/>
      <c s="221"/>
      <c s="280"/>
      <c s="285"/>
      <c s="239"/>
      <c s="240"/>
      <c s="251"/>
      <c s="163"/>
      <c s="287"/>
      <c s="93"/>
      <c s="12"/>
    </row>
    <row r="81" ht="30" customHeight="1">
      <c r="A81" s="315"/>
      <c s="302" t="s">
        <v>277</v>
      </c>
      <c s="232">
        <v>1</v>
      </c>
      <c s="349" t="s">
        <v>32</v>
      </c>
      <c s="302" t="s">
        <v>29</v>
      </c>
      <c s="266"/>
      <c s="268"/>
      <c s="275" t="s">
        <v>405</v>
      </c>
      <c s="279"/>
      <c s="226">
        <v>0</v>
      </c>
      <c s="349" t="s">
        <v>33</v>
      </c>
      <c s="192"/>
      <c s="349" t="s">
        <v>293</v>
      </c>
      <c s="228" t="s">
        <v>406</v>
      </c>
      <c s="286"/>
      <c s="93"/>
      <c s="12"/>
    </row>
    <row r="82" hidden="1" ht="30" customHeight="1">
      <c r="A82" s="315"/>
      <c s="316"/>
      <c s="177"/>
      <c s="251"/>
      <c s="191"/>
      <c s="267"/>
      <c s="269"/>
      <c s="221"/>
      <c s="280"/>
      <c s="285"/>
      <c s="239"/>
      <c s="240"/>
      <c s="251"/>
      <c s="163"/>
      <c s="287"/>
      <c s="93"/>
      <c s="12"/>
    </row>
    <row r="83" ht="45" customHeight="1">
      <c r="A83" s="315"/>
      <c s="302" t="s">
        <v>291</v>
      </c>
      <c s="232">
        <v>1</v>
      </c>
      <c s="349" t="s">
        <v>34</v>
      </c>
      <c s="302" t="s">
        <v>29</v>
      </c>
      <c s="266"/>
      <c s="268"/>
      <c s="348" t="s">
        <v>375</v>
      </c>
      <c s="147"/>
      <c s="226">
        <v>0</v>
      </c>
      <c s="349" t="s">
        <v>35</v>
      </c>
      <c s="192"/>
      <c s="349" t="s">
        <v>293</v>
      </c>
      <c s="228" t="s">
        <v>375</v>
      </c>
      <c s="286"/>
      <c s="93"/>
      <c s="12"/>
    </row>
    <row r="84" hidden="1" ht="45" customHeight="1">
      <c r="A84" s="315"/>
      <c s="316"/>
      <c s="177"/>
      <c s="251"/>
      <c s="191"/>
      <c s="267"/>
      <c s="269"/>
      <c s="149"/>
      <c s="225"/>
      <c s="285"/>
      <c s="239"/>
      <c s="240"/>
      <c s="251"/>
      <c s="163"/>
      <c s="287"/>
      <c s="93"/>
      <c s="12"/>
    </row>
    <row r="85" ht="30" customHeight="1">
      <c r="A85" s="315"/>
      <c s="302" t="s">
        <v>292</v>
      </c>
      <c s="232">
        <v>1</v>
      </c>
      <c s="349" t="s">
        <v>34</v>
      </c>
      <c s="302" t="s">
        <v>29</v>
      </c>
      <c s="266"/>
      <c s="268"/>
      <c s="348" t="s">
        <v>375</v>
      </c>
      <c s="147"/>
      <c s="226">
        <v>0</v>
      </c>
      <c s="349" t="s">
        <v>35</v>
      </c>
      <c s="192"/>
      <c s="349" t="s">
        <v>293</v>
      </c>
      <c s="228" t="s">
        <v>375</v>
      </c>
      <c s="286"/>
      <c s="93"/>
      <c s="12"/>
    </row>
    <row r="86" hidden="1" ht="30" customHeight="1">
      <c r="A86" s="316"/>
      <c s="316"/>
      <c s="177"/>
      <c s="251"/>
      <c s="191"/>
      <c s="267"/>
      <c s="269"/>
      <c s="149"/>
      <c s="225"/>
      <c s="285"/>
      <c s="239"/>
      <c s="240"/>
      <c s="251"/>
      <c s="163"/>
      <c s="287"/>
      <c s="93"/>
      <c s="12"/>
    </row>
    <row r="87" ht="24.75" customHeight="1">
      <c r="A87" s="302">
        <v>9</v>
      </c>
      <c s="302" t="s">
        <v>36</v>
      </c>
      <c s="302" t="s">
        <v>346</v>
      </c>
      <c s="266"/>
      <c s="266"/>
      <c s="266"/>
      <c s="268"/>
      <c s="153" t="s">
        <v>29</v>
      </c>
      <c s="155"/>
      <c s="155"/>
      <c s="155"/>
      <c s="157"/>
      <c s="294" t="s">
        <v>407</v>
      </c>
      <c s="288"/>
      <c s="290"/>
      <c s="93"/>
      <c s="12"/>
    </row>
    <row r="88" hidden="1" ht="24.75" customHeight="1">
      <c r="A88" s="316"/>
      <c s="316"/>
      <c s="191"/>
      <c s="267"/>
      <c s="267"/>
      <c s="267"/>
      <c s="269"/>
      <c s="186"/>
      <c s="150"/>
      <c s="150"/>
      <c s="150"/>
      <c s="323"/>
      <c s="161"/>
      <c s="289"/>
      <c s="291"/>
      <c s="93"/>
      <c s="12"/>
    </row>
    <row r="89" ht="21.75" customHeight="1">
      <c r="A89" s="302">
        <v>10</v>
      </c>
      <c s="302" t="s">
        <v>37</v>
      </c>
      <c s="302" t="s">
        <v>278</v>
      </c>
      <c s="349" t="s">
        <v>21</v>
      </c>
      <c s="192"/>
      <c s="302" t="s">
        <v>38</v>
      </c>
      <c s="266"/>
      <c s="266"/>
      <c s="266"/>
      <c s="266"/>
      <c s="268"/>
      <c s="349" t="s">
        <v>259</v>
      </c>
      <c s="349" t="s">
        <v>39</v>
      </c>
      <c s="304" t="s">
        <v>40</v>
      </c>
      <c s="300"/>
      <c s="93"/>
      <c s="12"/>
    </row>
    <row r="90" hidden="1" ht="21.75" customHeight="1">
      <c r="A90" s="315"/>
      <c s="315"/>
      <c s="315"/>
      <c s="239"/>
      <c s="240"/>
      <c s="191"/>
      <c s="267"/>
      <c s="267"/>
      <c s="267"/>
      <c s="267"/>
      <c s="269"/>
      <c s="251"/>
      <c s="251"/>
      <c s="222"/>
      <c s="301"/>
      <c s="93"/>
      <c s="12"/>
    </row>
    <row r="91" ht="21.75" customHeight="1">
      <c r="A91" s="315"/>
      <c s="315"/>
      <c s="315"/>
      <c s="349" t="s">
        <v>41</v>
      </c>
      <c s="192"/>
      <c s="302" t="s">
        <v>279</v>
      </c>
      <c s="266"/>
      <c s="266"/>
      <c s="266"/>
      <c s="266"/>
      <c s="268"/>
      <c s="302"/>
      <c s="302"/>
      <c s="302"/>
      <c s="268"/>
      <c s="93"/>
      <c s="12"/>
    </row>
    <row r="92" hidden="1" ht="21.75" customHeight="1">
      <c r="A92" s="315"/>
      <c s="315"/>
      <c s="315"/>
      <c s="248"/>
      <c s="249"/>
      <c s="191"/>
      <c s="267"/>
      <c s="267"/>
      <c s="267"/>
      <c s="267"/>
      <c s="269"/>
      <c s="316"/>
      <c s="316"/>
      <c s="191"/>
      <c s="269"/>
      <c s="93"/>
      <c s="12"/>
    </row>
    <row r="93" ht="21.75" customHeight="1">
      <c r="A93" s="315"/>
      <c s="315"/>
      <c s="315"/>
      <c s="248"/>
      <c s="249"/>
      <c s="302" t="s">
        <v>280</v>
      </c>
      <c s="266"/>
      <c s="266"/>
      <c s="266"/>
      <c s="266"/>
      <c s="268"/>
      <c s="241"/>
      <c s="241"/>
      <c s="241"/>
      <c s="319"/>
      <c s="93"/>
      <c s="12"/>
    </row>
    <row r="94" hidden="1" ht="21.75" customHeight="1">
      <c r="A94" s="315"/>
      <c s="315"/>
      <c s="315"/>
      <c s="248"/>
      <c s="249"/>
      <c s="191"/>
      <c s="267"/>
      <c s="267"/>
      <c s="267"/>
      <c s="267"/>
      <c s="269"/>
      <c s="322"/>
      <c s="322"/>
      <c s="318"/>
      <c s="320"/>
      <c s="93"/>
      <c s="12"/>
    </row>
    <row r="95" ht="21.75" customHeight="1">
      <c r="A95" s="315"/>
      <c s="315"/>
      <c s="315"/>
      <c s="248"/>
      <c s="249"/>
      <c s="302" t="s">
        <v>281</v>
      </c>
      <c s="266"/>
      <c s="266"/>
      <c s="266"/>
      <c s="266"/>
      <c s="268"/>
      <c s="302"/>
      <c s="302"/>
      <c s="302"/>
      <c s="268"/>
      <c s="93"/>
      <c s="12"/>
    </row>
    <row r="96" hidden="1" ht="21.75" customHeight="1">
      <c r="A96" s="315"/>
      <c s="315"/>
      <c s="315"/>
      <c s="248"/>
      <c s="249"/>
      <c s="191"/>
      <c s="267"/>
      <c s="267"/>
      <c s="267"/>
      <c s="267"/>
      <c s="269"/>
      <c s="316"/>
      <c s="316"/>
      <c s="191"/>
      <c s="269"/>
      <c s="93"/>
      <c s="12"/>
    </row>
    <row r="97" ht="21.75" customHeight="1">
      <c r="A97" s="315"/>
      <c s="315"/>
      <c s="315"/>
      <c s="248"/>
      <c s="249"/>
      <c s="302" t="s">
        <v>282</v>
      </c>
      <c s="266"/>
      <c s="266"/>
      <c s="266"/>
      <c s="266"/>
      <c s="268"/>
      <c s="302"/>
      <c s="302"/>
      <c s="302"/>
      <c s="268"/>
      <c s="93"/>
      <c s="12"/>
    </row>
    <row r="98" hidden="1" ht="21.75" customHeight="1">
      <c r="A98" s="316"/>
      <c s="316"/>
      <c s="316"/>
      <c s="239"/>
      <c s="240"/>
      <c s="191"/>
      <c s="267"/>
      <c s="267"/>
      <c s="267"/>
      <c s="267"/>
      <c s="269"/>
      <c s="316"/>
      <c s="316"/>
      <c s="191"/>
      <c s="269"/>
      <c s="93"/>
      <c s="12"/>
    </row>
    <row r="99" ht="30" customHeight="1">
      <c r="A99" s="302">
        <v>11</v>
      </c>
      <c s="302" t="s">
        <v>42</v>
      </c>
      <c s="302" t="s">
        <v>43</v>
      </c>
      <c s="266"/>
      <c s="268"/>
      <c s="302" t="s">
        <v>44</v>
      </c>
      <c s="266"/>
      <c s="266"/>
      <c s="266"/>
      <c s="266"/>
      <c s="268"/>
      <c s="302" t="s">
        <v>258</v>
      </c>
      <c s="266"/>
      <c s="266"/>
      <c s="268"/>
      <c s="93"/>
      <c s="12"/>
    </row>
    <row r="100" hidden="1" ht="30" customHeight="1">
      <c r="A100" s="316"/>
      <c s="316"/>
      <c s="191"/>
      <c s="267"/>
      <c s="269"/>
      <c s="191"/>
      <c s="267"/>
      <c s="267"/>
      <c s="267"/>
      <c s="267"/>
      <c s="269"/>
      <c s="191"/>
      <c s="267"/>
      <c s="267"/>
      <c s="269"/>
      <c s="93"/>
      <c s="12"/>
    </row>
    <row r="101" ht="30" customHeight="1">
      <c r="A101" s="302">
        <v>12</v>
      </c>
      <c s="302" t="s">
        <v>45</v>
      </c>
      <c s="302" t="s">
        <v>283</v>
      </c>
      <c s="271"/>
      <c s="272"/>
      <c s="302" t="s">
        <v>46</v>
      </c>
      <c s="266"/>
      <c s="266"/>
      <c s="266"/>
      <c s="266"/>
      <c s="268"/>
      <c s="302" t="s">
        <v>284</v>
      </c>
      <c s="272"/>
      <c s="302"/>
      <c s="272"/>
      <c s="93"/>
      <c s="12"/>
    </row>
    <row r="102" ht="30" customHeight="1">
      <c r="A102" s="316"/>
      <c s="316"/>
      <c s="302" t="s">
        <v>285</v>
      </c>
      <c s="271"/>
      <c s="272"/>
      <c s="191"/>
      <c s="267"/>
      <c s="267"/>
      <c s="267"/>
      <c s="267"/>
      <c s="269"/>
      <c s="302" t="s">
        <v>284</v>
      </c>
      <c s="272"/>
      <c s="302"/>
      <c s="272"/>
      <c s="93"/>
      <c s="12"/>
    </row>
    <row r="103" ht="30" customHeight="1">
      <c r="A103" s="302">
        <v>13</v>
      </c>
      <c s="302" t="s">
        <v>47</v>
      </c>
      <c s="302" t="s">
        <v>48</v>
      </c>
      <c s="266"/>
      <c s="268"/>
      <c s="302" t="s">
        <v>49</v>
      </c>
      <c s="266"/>
      <c s="266"/>
      <c s="266"/>
      <c s="266"/>
      <c s="268"/>
      <c s="302" t="s">
        <v>50</v>
      </c>
      <c s="268"/>
      <c s="302"/>
      <c s="268"/>
      <c s="93"/>
      <c s="12"/>
    </row>
    <row r="104" hidden="1" ht="30" customHeight="1">
      <c r="A104" s="316"/>
      <c s="316"/>
      <c s="191"/>
      <c s="267"/>
      <c s="269"/>
      <c s="191"/>
      <c s="267"/>
      <c s="267"/>
      <c s="267"/>
      <c s="267"/>
      <c s="269"/>
      <c s="191"/>
      <c s="269"/>
      <c s="191"/>
      <c s="269"/>
      <c s="93"/>
      <c s="12"/>
    </row>
    <row r="105" ht="30" customHeight="1">
      <c r="A105" s="302">
        <v>14</v>
      </c>
      <c s="302" t="s">
        <v>51</v>
      </c>
      <c s="302" t="s">
        <v>286</v>
      </c>
      <c s="266"/>
      <c s="268"/>
      <c s="302" t="s">
        <v>52</v>
      </c>
      <c s="266"/>
      <c s="266"/>
      <c s="266"/>
      <c s="266"/>
      <c s="268"/>
      <c s="302" t="s">
        <v>287</v>
      </c>
      <c s="268"/>
      <c s="302"/>
      <c s="268"/>
      <c s="93"/>
      <c s="12"/>
    </row>
    <row r="106" hidden="1" ht="30" customHeight="1">
      <c r="A106" s="316"/>
      <c s="316"/>
      <c s="191"/>
      <c s="267"/>
      <c s="269"/>
      <c s="191"/>
      <c s="267"/>
      <c s="267"/>
      <c s="267"/>
      <c s="267"/>
      <c s="269"/>
      <c s="191"/>
      <c s="269"/>
      <c s="191"/>
      <c s="269"/>
      <c s="93"/>
      <c s="12"/>
    </row>
    <row r="107" ht="77.25" customHeight="1">
      <c r="A107" s="302">
        <v>15</v>
      </c>
      <c s="349" t="s">
        <v>53</v>
      </c>
      <c s="302" t="s">
        <v>256</v>
      </c>
      <c s="266"/>
      <c s="266"/>
      <c s="266"/>
      <c s="266"/>
      <c s="266"/>
      <c s="266"/>
      <c s="266"/>
      <c s="266"/>
      <c s="266"/>
      <c s="268"/>
      <c s="154" t="s">
        <v>257</v>
      </c>
      <c s="166"/>
      <c s="93"/>
      <c s="12"/>
    </row>
    <row r="108" ht="30" customHeight="1">
      <c r="A108" s="316"/>
      <c s="251"/>
      <c s="191"/>
      <c s="267"/>
      <c s="267"/>
      <c s="267"/>
      <c s="267"/>
      <c s="267"/>
      <c s="267"/>
      <c s="267"/>
      <c s="267"/>
      <c s="267"/>
      <c s="269"/>
      <c s="151"/>
      <c s="306"/>
      <c s="93"/>
      <c s="12"/>
    </row>
    <row r="109" ht="27.75" customHeight="1">
      <c r="A109" s="302" t="s">
        <v>54</v>
      </c>
      <c s="272"/>
      <c s="302" t="s">
        <v>288</v>
      </c>
      <c s="271"/>
      <c s="271"/>
      <c s="271"/>
      <c s="271"/>
      <c s="271"/>
      <c s="271"/>
      <c s="271"/>
      <c s="271"/>
      <c s="271"/>
      <c s="271"/>
      <c s="271"/>
      <c s="272"/>
      <c s="93"/>
      <c s="12"/>
    </row>
    <row r="110" ht="14.25" customHeight="1">
      <c r="A110" s="349" t="s">
        <v>55</v>
      </c>
      <c s="192"/>
      <c s="270" t="s">
        <v>347</v>
      </c>
      <c s="309"/>
      <c s="309"/>
      <c s="309"/>
      <c s="309"/>
      <c s="309"/>
      <c s="309"/>
      <c s="309"/>
      <c s="309"/>
      <c s="309"/>
      <c s="309"/>
      <c s="309"/>
      <c s="312"/>
      <c s="93"/>
      <c s="12"/>
    </row>
    <row r="111" ht="14.25" customHeight="1">
      <c r="A111" s="248"/>
      <c s="249"/>
      <c s="174"/>
      <c s="310"/>
      <c s="310"/>
      <c s="310"/>
      <c s="310"/>
      <c s="310"/>
      <c s="310"/>
      <c s="310"/>
      <c s="310"/>
      <c s="310"/>
      <c s="310"/>
      <c s="310"/>
      <c s="313"/>
      <c s="93"/>
      <c s="12"/>
    </row>
    <row r="112" ht="27" customHeight="1">
      <c r="A112" s="239"/>
      <c s="240"/>
      <c s="308"/>
      <c s="311"/>
      <c s="311"/>
      <c s="311"/>
      <c s="311"/>
      <c s="311"/>
      <c s="311"/>
      <c s="311"/>
      <c s="311"/>
      <c s="311"/>
      <c s="311"/>
      <c s="311"/>
      <c s="314"/>
      <c s="93"/>
      <c s="12"/>
    </row>
  </sheetData>
  <mergeCells>
    <mergeCell ref="J31:J32"/>
    <mergeCell ref="J29:J30"/>
    <mergeCell ref="J27:J28"/>
    <mergeCell ref="H25:I26"/>
    <mergeCell ref="H23:I24"/>
    <mergeCell ref="H21:I22"/>
    <mergeCell ref="E21:G26"/>
    <mergeCell ref="E31:G32"/>
    <mergeCell ref="E29:G30"/>
    <mergeCell ref="E27:G28"/>
    <mergeCell ref="H31:I32"/>
    <mergeCell ref="H29:I30"/>
    <mergeCell ref="H27:I28"/>
    <mergeCell ref="H7:J7"/>
    <mergeCell ref="H11:J11"/>
    <mergeCell ref="H10:J10"/>
    <mergeCell ref="H12:J12"/>
    <mergeCell ref="H15:J15"/>
    <mergeCell ref="H16:J16"/>
    <mergeCell ref="H17:J17"/>
    <mergeCell ref="H19:I20"/>
    <mergeCell ref="J25:J26"/>
    <mergeCell ref="J23:J24"/>
    <mergeCell ref="J21:J22"/>
    <mergeCell ref="J19:J20"/>
    <mergeCell ref="C6:D6"/>
    <mergeCell ref="B8:D8"/>
    <mergeCell ref="C9:D17"/>
    <mergeCell ref="B9:B17"/>
    <mergeCell ref="C18:D32"/>
    <mergeCell ref="A1:B3"/>
    <mergeCell ref="A7:B7"/>
    <mergeCell ref="A6:B6"/>
    <mergeCell ref="A9:A32"/>
    <mergeCell ref="B18:B32"/>
    <mergeCell ref="E15:G15"/>
    <mergeCell ref="E12:G14"/>
    <mergeCell ref="E11:G11"/>
    <mergeCell ref="E10:G10"/>
    <mergeCell ref="E9:G9"/>
    <mergeCell ref="C7:G7"/>
    <mergeCell ref="D5:G5"/>
    <mergeCell ref="A5:C5"/>
    <mergeCell ref="C1:K1"/>
    <mergeCell ref="C2:K3"/>
    <mergeCell ref="H5:K5"/>
    <mergeCell ref="H4:K4"/>
    <mergeCell ref="D4:G4"/>
    <mergeCell ref="A4:C4"/>
    <mergeCell ref="K25:K26"/>
    <mergeCell ref="L25:L26"/>
    <mergeCell ref="M25:M26"/>
    <mergeCell ref="M23:M24"/>
    <mergeCell ref="L23:L24"/>
    <mergeCell ref="K23:K24"/>
    <mergeCell ref="K21:K22"/>
    <mergeCell ref="L21:L22"/>
    <mergeCell ref="M21:M22"/>
    <mergeCell ref="N27:O28"/>
    <mergeCell ref="N25:O26"/>
    <mergeCell ref="N23:O24"/>
    <mergeCell ref="N21:O22"/>
    <mergeCell ref="M12:O12"/>
    <mergeCell ref="M11:O11"/>
    <mergeCell ref="M10:O10"/>
    <mergeCell ref="H9:O9"/>
    <mergeCell ref="M15:O15"/>
    <mergeCell ref="M14:O14"/>
    <mergeCell ref="M13:O13"/>
    <mergeCell ref="K11:L11"/>
    <mergeCell ref="K13:L13"/>
    <mergeCell ref="K12:L12"/>
    <mergeCell ref="K10:L10"/>
    <mergeCell ref="H13:J13"/>
    <mergeCell ref="H14:J14"/>
    <mergeCell ref="K14:L14"/>
    <mergeCell ref="K15:L15"/>
    <mergeCell ref="M17:O17"/>
    <mergeCell ref="K17:L17"/>
    <mergeCell ref="K19:K20"/>
    <mergeCell ref="L19:L20"/>
    <mergeCell ref="M19:M20"/>
    <mergeCell ref="N19:O20"/>
    <mergeCell ref="M16:O16"/>
    <mergeCell ref="K16:L16"/>
    <mergeCell ref="H18:O18"/>
    <mergeCell ref="E19:G20"/>
    <mergeCell ref="E18:G18"/>
    <mergeCell ref="E17:G17"/>
    <mergeCell ref="E16:G16"/>
    <mergeCell ref="L6:M6"/>
    <mergeCell ref="K7:O7"/>
    <mergeCell ref="H6:K6"/>
    <mergeCell ref="E6:G6"/>
    <mergeCell ref="E8:O8"/>
    <mergeCell ref="L2:M2"/>
    <mergeCell ref="L1:M1"/>
    <mergeCell ref="L3:M3"/>
    <mergeCell ref="L4:M4"/>
    <mergeCell ref="L5:M5"/>
    <mergeCell ref="N6:O6"/>
    <mergeCell ref="N5:O5"/>
    <mergeCell ref="N4:O4"/>
    <mergeCell ref="N1:O1"/>
    <mergeCell ref="N2:O2"/>
    <mergeCell ref="N3:O3"/>
    <mergeCell ref="L55:M55"/>
    <mergeCell ref="L54:M54"/>
    <mergeCell ref="I56:K56"/>
    <mergeCell ref="I51:K51"/>
    <mergeCell ref="I52:K52"/>
    <mergeCell ref="I53:K53"/>
    <mergeCell ref="A33:A49"/>
    <mergeCell ref="B33:B49"/>
    <mergeCell ref="C33:D49"/>
    <mergeCell ref="G35:H35"/>
    <mergeCell ref="G36:H36"/>
    <mergeCell ref="G37:H39"/>
    <mergeCell ref="G42:H42"/>
    <mergeCell ref="G44:H46"/>
    <mergeCell ref="G41:H41"/>
    <mergeCell ref="G43:H43"/>
    <mergeCell ref="G47:H47"/>
    <mergeCell ref="G48:H48"/>
    <mergeCell ref="E43:F49"/>
    <mergeCell ref="G49:H49"/>
    <mergeCell ref="E57:G57"/>
    <mergeCell ref="E58:G59"/>
    <mergeCell ref="E60:G62"/>
    <mergeCell ref="E50:F56"/>
    <mergeCell ref="G51:H53"/>
    <mergeCell ref="G56:H56"/>
    <mergeCell ref="G55:H55"/>
    <mergeCell ref="G54:H54"/>
    <mergeCell ref="G50:H50"/>
    <mergeCell ref="A57:A65"/>
    <mergeCell ref="B57:B65"/>
    <mergeCell ref="C57:D65"/>
    <mergeCell ref="C50:D56"/>
    <mergeCell ref="B50:B56"/>
    <mergeCell ref="A50:A56"/>
    <mergeCell ref="J58:K58"/>
    <mergeCell ref="I55:K55"/>
    <mergeCell ref="I54:K54"/>
    <mergeCell ref="I50:K50"/>
    <mergeCell ref="I49:K49"/>
    <mergeCell ref="I48:K48"/>
    <mergeCell ref="I43:K43"/>
    <mergeCell ref="I47:K47"/>
    <mergeCell ref="I44:K44"/>
    <mergeCell ref="I45:K45"/>
    <mergeCell ref="I46:K46"/>
    <mergeCell ref="L51:M51"/>
    <mergeCell ref="L50:M50"/>
    <mergeCell ref="N51:O51"/>
    <mergeCell ref="L52:M52"/>
    <mergeCell ref="L53:M53"/>
    <mergeCell ref="N54:O54"/>
    <mergeCell ref="N53:O53"/>
    <mergeCell ref="N52:O52"/>
    <mergeCell ref="L56:M56"/>
    <mergeCell ref="N56:O56"/>
    <mergeCell ref="N55:O55"/>
    <mergeCell ref="L60:M60"/>
    <mergeCell ref="L59:M59"/>
    <mergeCell ref="N60:O60"/>
    <mergeCell ref="N59:O59"/>
    <mergeCell ref="H62:I62"/>
    <mergeCell ref="H61:I61"/>
    <mergeCell ref="H60:I60"/>
    <mergeCell ref="H59:I59"/>
    <mergeCell ref="N58:O58"/>
    <mergeCell ref="L58:M58"/>
    <mergeCell ref="H58:I58"/>
    <mergeCell ref="H57:O57"/>
    <mergeCell ref="J59:K59"/>
    <mergeCell ref="J60:K60"/>
    <mergeCell ref="J61:K61"/>
    <mergeCell ref="L61:M61"/>
    <mergeCell ref="N61:O61"/>
    <mergeCell ref="J62:K62"/>
    <mergeCell ref="L62:M62"/>
    <mergeCell ref="N62:O62"/>
    <mergeCell ref="M27:M28"/>
    <mergeCell ref="L27:L28"/>
    <mergeCell ref="K27:K28"/>
    <mergeCell ref="L45:M45"/>
    <mergeCell ref="L44:M44"/>
    <mergeCell ref="L43:M43"/>
    <mergeCell ref="L35:M35"/>
    <mergeCell ref="L36:M36"/>
    <mergeCell ref="L37:M37"/>
    <mergeCell ref="L38:M38"/>
    <mergeCell ref="L41:M41"/>
    <mergeCell ref="E33:G34"/>
    <mergeCell ref="H33:O34"/>
    <mergeCell ref="N31:O32"/>
    <mergeCell ref="M31:M32"/>
    <mergeCell ref="L31:L32"/>
    <mergeCell ref="K31:K32"/>
    <mergeCell ref="M29:M30"/>
    <mergeCell ref="N29:O30"/>
    <mergeCell ref="L29:L30"/>
    <mergeCell ref="K29:K30"/>
    <mergeCell ref="G40:H40"/>
    <mergeCell ref="I41:K41"/>
    <mergeCell ref="I40:K40"/>
    <mergeCell ref="E35:F35"/>
    <mergeCell ref="E36:F42"/>
    <mergeCell ref="I42:K42"/>
    <mergeCell ref="I39:K39"/>
    <mergeCell ref="I35:K35"/>
    <mergeCell ref="I36:K36"/>
    <mergeCell ref="I37:K37"/>
    <mergeCell ref="I38:K38"/>
    <mergeCell ref="N46:O46"/>
    <mergeCell ref="N45:O45"/>
    <mergeCell ref="N44:O44"/>
    <mergeCell ref="N43:O43"/>
    <mergeCell ref="N47:O47"/>
    <mergeCell ref="N50:O50"/>
    <mergeCell ref="N49:O49"/>
    <mergeCell ref="N48:O48"/>
    <mergeCell ref="L47:M47"/>
    <mergeCell ref="L49:M49"/>
    <mergeCell ref="L48:M48"/>
    <mergeCell ref="L46:M46"/>
    <mergeCell ref="L42:M42"/>
    <mergeCell ref="L40:M40"/>
    <mergeCell ref="L39:M39"/>
    <mergeCell ref="N42:O42"/>
    <mergeCell ref="N41:O41"/>
    <mergeCell ref="N40:O40"/>
    <mergeCell ref="N35:O35"/>
    <mergeCell ref="N36:O36"/>
    <mergeCell ref="N37:O37"/>
    <mergeCell ref="N38:O38"/>
    <mergeCell ref="N39:O39"/>
    <mergeCell ref="J85:J86"/>
    <mergeCell ref="H85:I86"/>
    <mergeCell ref="K85:L86"/>
    <mergeCell ref="K83:L84"/>
    <mergeCell ref="K81:L82"/>
    <mergeCell ref="J79:J80"/>
    <mergeCell ref="K79:L80"/>
    <mergeCell ref="M81:M82"/>
    <mergeCell ref="M79:M80"/>
    <mergeCell ref="N81:O82"/>
    <mergeCell ref="N79:O80"/>
    <mergeCell ref="I78:J78"/>
    <mergeCell ref="H72:L73"/>
    <mergeCell ref="H74:L75"/>
    <mergeCell ref="M72:O73"/>
    <mergeCell ref="M74:O75"/>
    <mergeCell ref="N76:O78"/>
    <mergeCell ref="H65:I65"/>
    <mergeCell ref="H66:I67"/>
    <mergeCell ref="K66:K67"/>
    <mergeCell ref="J66:J67"/>
    <mergeCell ref="N65:O65"/>
    <mergeCell ref="L65:M65"/>
    <mergeCell ref="M66:O67"/>
    <mergeCell ref="J65:K65"/>
    <mergeCell ref="L66:L67"/>
    <mergeCell ref="M70:O71"/>
    <mergeCell ref="M68:O69"/>
    <mergeCell ref="H68:I71"/>
    <mergeCell ref="J70:J71"/>
    <mergeCell ref="J68:J69"/>
    <mergeCell ref="L70:L71"/>
    <mergeCell ref="L68:L69"/>
    <mergeCell ref="K70:K71"/>
    <mergeCell ref="K68:K69"/>
    <mergeCell ref="L64:M64"/>
    <mergeCell ref="N64:O64"/>
    <mergeCell ref="E64:G64"/>
    <mergeCell ref="H64:I64"/>
    <mergeCell ref="J64:K64"/>
    <mergeCell ref="L63:M63"/>
    <mergeCell ref="J63:K63"/>
    <mergeCell ref="N63:O63"/>
    <mergeCell ref="H63:I63"/>
    <mergeCell ref="E63:G63"/>
    <mergeCell ref="B79:B80"/>
    <mergeCell ref="D79:D80"/>
    <mergeCell ref="D81:D82"/>
    <mergeCell ref="D83:D84"/>
    <mergeCell ref="C81:C82"/>
    <mergeCell ref="C85:C86"/>
    <mergeCell ref="C79:C80"/>
    <mergeCell ref="C83:C84"/>
    <mergeCell ref="E76:G76"/>
    <mergeCell ref="C74:G75"/>
    <mergeCell ref="C72:G73"/>
    <mergeCell ref="B72:B73"/>
    <mergeCell ref="B74:B75"/>
    <mergeCell ref="C76:D78"/>
    <mergeCell ref="D68:D69"/>
    <mergeCell ref="D70:D71"/>
    <mergeCell ref="C68:C69"/>
    <mergeCell ref="C70:C71"/>
    <mergeCell ref="B66:B71"/>
    <mergeCell ref="A66:A71"/>
    <mergeCell ref="C66:D67"/>
    <mergeCell ref="E65:G65"/>
    <mergeCell ref="E66:G67"/>
    <mergeCell ref="E68:G69"/>
    <mergeCell ref="E70:G71"/>
    <mergeCell ref="N97:O98"/>
    <mergeCell ref="N89:O90"/>
    <mergeCell ref="N91:O92"/>
    <mergeCell ref="N93:O94"/>
    <mergeCell ref="N95:O96"/>
    <mergeCell ref="M87:O88"/>
    <mergeCell ref="M83:M84"/>
    <mergeCell ref="M85:M86"/>
    <mergeCell ref="N85:O86"/>
    <mergeCell ref="N83:O84"/>
    <mergeCell ref="M91:M92"/>
    <mergeCell ref="L89:L90"/>
    <mergeCell ref="L91:L92"/>
    <mergeCell ref="M89:M90"/>
    <mergeCell ref="M93:M94"/>
    <mergeCell ref="M95:M96"/>
    <mergeCell ref="M97:M98"/>
    <mergeCell ref="L97:L98"/>
    <mergeCell ref="L95:L96"/>
    <mergeCell ref="L93:L94"/>
    <mergeCell ref="J83:J84"/>
    <mergeCell ref="H83:I84"/>
    <mergeCell ref="E83:G84"/>
    <mergeCell ref="E81:G82"/>
    <mergeCell ref="H81:I82"/>
    <mergeCell ref="J81:J82"/>
    <mergeCell ref="E78:G78"/>
    <mergeCell ref="E79:G80"/>
    <mergeCell ref="H79:I80"/>
    <mergeCell ref="I77:J77"/>
    <mergeCell ref="I76:J76"/>
    <mergeCell ref="E77:G77"/>
    <mergeCell ref="A72:A73"/>
    <mergeCell ref="A74:A75"/>
    <mergeCell ref="A76:A78"/>
    <mergeCell ref="B76:B78"/>
    <mergeCell ref="C99:E100"/>
    <mergeCell ref="D91:E98"/>
    <mergeCell ref="C89:C98"/>
    <mergeCell ref="F97:K98"/>
    <mergeCell ref="F95:K96"/>
    <mergeCell ref="F93:K94"/>
    <mergeCell ref="H87:L88"/>
    <mergeCell ref="F89:K90"/>
    <mergeCell ref="F91:K92"/>
    <mergeCell ref="B85:B86"/>
    <mergeCell ref="D85:D86"/>
    <mergeCell ref="E85:G86"/>
    <mergeCell ref="C87:G88"/>
    <mergeCell ref="D89:E90"/>
    <mergeCell ref="A79:A86"/>
    <mergeCell ref="A87:A88"/>
    <mergeCell ref="A99:A100"/>
    <mergeCell ref="A89:A98"/>
    <mergeCell ref="B99:B100"/>
    <mergeCell ref="B87:B88"/>
    <mergeCell ref="B81:B82"/>
    <mergeCell ref="B83:B84"/>
    <mergeCell ref="B89:B98"/>
    <mergeCell ref="L101:M101"/>
    <mergeCell ref="L99:O100"/>
    <mergeCell ref="N101:O101"/>
    <mergeCell ref="N107:O108"/>
    <mergeCell ref="N105:O106"/>
    <mergeCell ref="N103:O104"/>
    <mergeCell ref="N102:O102"/>
    <mergeCell ref="L105:M106"/>
    <mergeCell ref="L103:M104"/>
    <mergeCell ref="L102:M102"/>
    <mergeCell ref="F99:K100"/>
    <mergeCell ref="F101:K102"/>
    <mergeCell ref="F103:K104"/>
    <mergeCell ref="F105:K106"/>
    <mergeCell ref="C101:E101"/>
    <mergeCell ref="C102:E102"/>
    <mergeCell ref="C103:E104"/>
    <mergeCell ref="C105:E106"/>
    <mergeCell ref="B107:B108"/>
    <mergeCell ref="B101:B102"/>
    <mergeCell ref="B103:B104"/>
    <mergeCell ref="B105:B106"/>
    <mergeCell ref="A105:A106"/>
    <mergeCell ref="A103:A104"/>
    <mergeCell ref="A101:A102"/>
    <mergeCell ref="A110:B112"/>
    <mergeCell ref="A109:B109"/>
    <mergeCell ref="A107:A108"/>
    <mergeCell ref="C107:M108"/>
    <mergeCell ref="C109:O109"/>
    <mergeCell ref="C110:O112"/>
  </mergeCells>
  <printOptions horizontalCentered="1" vertic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 showRowColHeaders="0">
      <pane topLeftCell="A1"/>
      <selection activeCellId="0" activeCell="A1" sqref="A1"/>
    </sheetView>
  </sheetViews>
  <sheetFormatPr defaultColWidth="8.88" defaultRowHeight="14.25" customHeight="1"/>
  <cols>
    <col min="1" max="1" width="18.38" customWidth="1" style="11"/>
    <col min="2" max="2" width="19.38" customWidth="1" style="11"/>
    <col min="3" max="3" width="21.5" customWidth="1" style="11"/>
    <col min="4" max="4" width="7.88" customWidth="1" style="11"/>
    <col min="5" max="7" width="14.13" customWidth="1" style="11"/>
    <col min="8" max="12" width="11" customWidth="1" style="11"/>
    <col min="13" max="13" width="16.38" customWidth="1" style="11"/>
    <col min="14" max="14" width="11" customWidth="1" style="11"/>
    <col min="15" max="15" width="20.13" customWidth="1" style="11"/>
    <col min="16" max="16" width="16.38" customWidth="1" style="91"/>
    <col min="17" max="16384" width="8.88" style="11"/>
  </cols>
  <sheetData>
    <row r="1" ht="32.25" customHeight="1" customFormat="1" s="10">
      <c r="A1" s="262" t="s">
        <v>56</v>
      </c>
      <c s="262" t="s">
        <v>57</v>
      </c>
      <c s="262" t="s">
        <v>58</v>
      </c>
      <c s="262"/>
      <c s="14" t="s">
        <v>59</v>
      </c>
      <c s="14" t="s">
        <v>204</v>
      </c>
      <c s="14" t="s">
        <v>204</v>
      </c>
      <c s="14" t="s">
        <v>60</v>
      </c>
      <c s="14" t="s">
        <v>61</v>
      </c>
      <c s="14" t="s">
        <v>61</v>
      </c>
      <c s="14" t="s">
        <v>62</v>
      </c>
      <c s="14" t="s">
        <v>62</v>
      </c>
      <c s="14" t="s">
        <v>63</v>
      </c>
      <c s="14" t="s">
        <v>64</v>
      </c>
      <c s="14" t="s">
        <v>65</v>
      </c>
      <c s="219" t="s">
        <v>66</v>
      </c>
      <c s="14" t="s">
        <v>67</v>
      </c>
      <c s="14" t="s">
        <v>241</v>
      </c>
    </row>
    <row r="2" customHeight="1">
      <c r="A2" s="13" t="s">
        <v>17</v>
      </c>
      <c s="13">
        <v>656.1</v>
      </c>
      <c s="13">
        <v>656.1</v>
      </c>
      <c s="13"/>
      <c s="13" t="s">
        <v>68</v>
      </c>
      <c s="329" t="s">
        <v>205</v>
      </c>
      <c s="329">
        <v>0</v>
      </c>
      <c s="13"/>
      <c s="13" t="s">
        <v>69</v>
      </c>
      <c s="13">
        <v>0</v>
      </c>
      <c s="13" t="s">
        <v>70</v>
      </c>
      <c s="13">
        <v>0</v>
      </c>
      <c s="13"/>
      <c s="13">
        <v>1</v>
      </c>
      <c r="P2" s="89">
        <v>0.2</v>
      </c>
      <c s="89"/>
      <c s="13"/>
    </row>
    <row r="3" customHeight="1">
      <c r="A3" s="13" t="s">
        <v>71</v>
      </c>
      <c s="13">
        <v>253.7</v>
      </c>
      <c s="13">
        <v>253.7</v>
      </c>
      <c s="13"/>
      <c s="13" t="s">
        <v>72</v>
      </c>
      <c s="329" t="s">
        <v>17</v>
      </c>
      <c s="329">
        <v>1</v>
      </c>
      <c s="13" t="s">
        <v>73</v>
      </c>
      <c s="13" t="s">
        <v>74</v>
      </c>
      <c s="13">
        <v>1</v>
      </c>
      <c s="13" t="s">
        <v>75</v>
      </c>
      <c s="13">
        <v>1</v>
      </c>
      <c s="11">
        <v>0.02</v>
      </c>
      <c s="13">
        <v>2</v>
      </c>
      <c s="13">
        <v>1</v>
      </c>
      <c s="89">
        <v>0.5</v>
      </c>
      <c s="13">
        <v>1</v>
      </c>
      <c s="13">
        <v>0.5</v>
      </c>
    </row>
    <row r="4" customHeight="1">
      <c r="A4" s="13" t="s">
        <v>76</v>
      </c>
      <c s="13" t="s">
        <v>77</v>
      </c>
      <c s="13" t="s">
        <v>77</v>
      </c>
      <c s="13"/>
      <c s="13"/>
      <c s="329" t="s">
        <v>206</v>
      </c>
      <c s="329">
        <v>2</v>
      </c>
      <c s="13"/>
      <c s="13" t="s">
        <v>78</v>
      </c>
      <c s="13">
        <v>2</v>
      </c>
      <c s="13" t="s">
        <v>79</v>
      </c>
      <c s="13">
        <v>2</v>
      </c>
      <c s="13">
        <v>0.1</v>
      </c>
      <c s="13">
        <v>3</v>
      </c>
      <c s="13">
        <v>2</v>
      </c>
      <c s="330" t="s">
        <v>240</v>
      </c>
      <c s="13">
        <v>2</v>
      </c>
      <c s="13">
        <v>1</v>
      </c>
    </row>
    <row r="5" customHeight="1">
      <c r="A5" s="13" t="s">
        <v>16</v>
      </c>
      <c s="13" t="s">
        <v>80</v>
      </c>
      <c s="13" t="s">
        <v>80</v>
      </c>
      <c s="13"/>
      <c s="13"/>
      <c s="13"/>
      <c s="13"/>
      <c s="13"/>
      <c s="13" t="s">
        <v>81</v>
      </c>
      <c s="13">
        <v>3</v>
      </c>
      <c s="13" t="s">
        <v>82</v>
      </c>
      <c s="13">
        <v>3</v>
      </c>
      <c s="13">
        <v>0.2</v>
      </c>
      <c s="13">
        <v>4</v>
      </c>
      <c s="13"/>
      <c s="330" t="s">
        <v>239</v>
      </c>
      <c s="13">
        <v>3</v>
      </c>
      <c s="13">
        <v>2</v>
      </c>
    </row>
    <row r="6" customHeight="1">
      <c r="A6" s="13" t="s">
        <v>83</v>
      </c>
      <c s="13" t="s">
        <v>84</v>
      </c>
      <c s="13"/>
      <c s="13"/>
      <c s="13"/>
      <c s="13"/>
      <c s="13"/>
      <c s="13"/>
      <c s="13" t="s">
        <v>85</v>
      </c>
      <c s="13">
        <v>4</v>
      </c>
      <c s="13" t="s">
        <v>86</v>
      </c>
      <c s="13">
        <v>4</v>
      </c>
      <c s="13">
        <v>0.5</v>
      </c>
      <c s="13">
        <v>5</v>
      </c>
      <c s="13"/>
      <c s="330" t="s">
        <v>255</v>
      </c>
      <c s="13">
        <v>4</v>
      </c>
      <c s="13"/>
    </row>
    <row r="7" customHeight="1">
      <c r="A7" s="13" t="s">
        <v>87</v>
      </c>
      <c s="13" t="s">
        <v>88</v>
      </c>
      <c s="13"/>
      <c s="13"/>
      <c s="13"/>
      <c s="13"/>
      <c s="13"/>
      <c s="13"/>
      <c s="13"/>
      <c s="13"/>
      <c s="13" t="s">
        <v>89</v>
      </c>
      <c s="13"/>
      <c s="13">
        <v>1</v>
      </c>
      <c s="13"/>
      <c s="13"/>
      <c s="89"/>
      <c s="13">
        <v>5</v>
      </c>
      <c s="13"/>
    </row>
    <row r="8" customHeight="1">
      <c r="A8" s="13" t="s">
        <v>90</v>
      </c>
      <c s="13" t="s">
        <v>91</v>
      </c>
      <c s="13"/>
      <c s="13"/>
      <c s="13"/>
      <c s="13"/>
      <c s="13"/>
      <c s="13"/>
      <c s="13"/>
      <c s="13"/>
      <c s="13"/>
      <c s="13"/>
      <c s="13">
        <v>2</v>
      </c>
      <c s="13"/>
      <c s="13"/>
      <c s="89"/>
      <c s="13"/>
      <c s="13"/>
    </row>
    <row r="9" customHeight="1">
      <c r="A9" s="327" t="s">
        <v>92</v>
      </c>
      <c s="328">
        <v>350313257235</v>
      </c>
      <c s="13" t="s">
        <v>93</v>
      </c>
      <c s="328"/>
      <c s="13"/>
      <c s="13"/>
      <c s="13"/>
      <c s="13"/>
      <c s="13"/>
      <c s="13"/>
      <c s="13"/>
      <c s="13"/>
      <c s="13">
        <v>5</v>
      </c>
      <c s="13"/>
      <c s="13"/>
      <c s="89"/>
      <c s="13"/>
      <c s="13"/>
    </row>
    <row r="10" customHeight="1">
      <c r="A10" s="13" t="s">
        <v>94</v>
      </c>
      <c s="13">
        <v>220</v>
      </c>
      <c s="13"/>
      <c s="13"/>
      <c s="13"/>
      <c s="13"/>
      <c s="13"/>
      <c s="13"/>
      <c s="13"/>
      <c s="13"/>
      <c s="13"/>
      <c s="13"/>
      <c s="13"/>
      <c s="13"/>
      <c s="13"/>
      <c s="89"/>
      <c s="13"/>
      <c s="13"/>
    </row>
    <row r="11" customHeight="1">
      <c r="A11" s="13" t="s">
        <v>95</v>
      </c>
      <c s="328">
        <v>340360</v>
      </c>
      <c s="13"/>
      <c s="13"/>
      <c s="13"/>
      <c s="13"/>
      <c s="13"/>
      <c s="13"/>
      <c s="13"/>
      <c s="13"/>
      <c s="13"/>
      <c s="13"/>
      <c s="13"/>
      <c s="13"/>
      <c s="13"/>
      <c s="89"/>
      <c s="13"/>
      <c s="13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42"/>
  <sheetViews>
    <sheetView workbookViewId="0" zoomScale="85" showGridLines="0" showRowColHeaders="0" zoomScaleNormal="85">
      <pane topLeftCell="A2" activePane="bottomLeft" state="frozen" ySplit="1"/>
      <selection activeCellId="0" pane="bottomLeft" activeCell="L50" sqref="L50"/>
    </sheetView>
  </sheetViews>
  <sheetFormatPr defaultColWidth="9" defaultRowHeight="14.25" customHeight="1"/>
  <cols>
    <col min="1" max="1" width="10" customWidth="1" style="5"/>
    <col min="2" max="2" width="10.25" customWidth="1" style="5"/>
    <col min="3" max="3" width="7.88" customWidth="1" style="5"/>
    <col min="4" max="4" width="15.38" customWidth="1" style="62"/>
    <col min="5" max="8" width="9" style="206"/>
    <col min="9" max="9" width="17.25" customWidth="1" style="206"/>
    <col min="10" max="10" width="9" style="206"/>
    <col min="11" max="11" width="10" customWidth="1" style="206"/>
    <col min="12" max="13" width="9" style="206"/>
    <col min="14" max="14" width="10" customWidth="1" style="5"/>
    <col min="15" max="15" width="5.75" customWidth="1" style="206"/>
    <col min="16" max="16" width="36.63" customWidth="1" style="206"/>
    <col min="17" max="17" width="11.63" customWidth="1" style="206"/>
    <col min="18" max="16384" width="9" style="206"/>
  </cols>
  <sheetData>
    <row r="1" customHeight="1">
      <c r="A1" s="104" t="s">
        <v>217</v>
      </c>
      <c s="104" t="s">
        <v>216</v>
      </c>
      <c s="104" t="s">
        <v>58</v>
      </c>
      <c s="333" t="s">
        <v>194</v>
      </c>
      <c s="333" t="s">
        <v>218</v>
      </c>
      <c s="333" t="s">
        <v>236</v>
      </c>
      <c s="333" t="s">
        <v>224</v>
      </c>
      <c s="92" t="s">
        <v>7</v>
      </c>
      <c s="335" t="s">
        <v>8</v>
      </c>
      <c s="92" t="s">
        <v>9</v>
      </c>
      <c s="92" t="s">
        <v>219</v>
      </c>
      <c s="92" t="s">
        <v>220</v>
      </c>
      <c s="92" t="s">
        <v>221</v>
      </c>
      <c s="104" t="s">
        <v>184</v>
      </c>
      <c s="333" t="s">
        <v>222</v>
      </c>
      <c s="333" t="s">
        <v>300</v>
      </c>
      <c s="12"/>
    </row>
    <row r="2" ht="27.75">
      <c r="A2" s="90">
        <v>1001</v>
      </c>
      <c s="90" t="str">
        <f ca="1" ref="B2:B41" t="shared" si="0">MID(CELL("filename"),FIND("[",CELL("filename"),1)+1,FIND(".",CELL("filename"),1)-FIND("[",CELL("filename"),1)-1)</f>
        <v>31U1703-98-0012</v>
      </c>
      <c s="82"/>
      <c s="83" t="str">
        <f>'波长示值误差与重复性校验'!$C2&amp;";"&amp;'波长示值误差与重复性校验'!$D2&amp;";"&amp;'波长示值误差与重复性校验'!$E2</f>
        <v>656.1;656.1;656.08</v>
      </c>
      <c s="83">
        <f>'波长示值误差与重复性校验'!$F2</f>
        <v>656.0933333333334</v>
      </c>
      <c s="83">
        <f>'波长示值误差与重复性校验'!$G2</f>
        <v>-0.006666666666660603</v>
      </c>
      <c s="83">
        <f>'波长示值误差与重复性校验'!$H2</f>
        <v>0.01999999999998181</v>
      </c>
      <c s="83">
        <f>Report!$F$5</f>
        <v>0</v>
      </c>
      <c s="85">
        <f ca="1" ref="I2:I41" t="shared" si="1">NOW()</f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'波长示值误差与重复性校验'!$K2</f>
        <v>合格</v>
      </c>
      <c s="83"/>
      <c s="329">
        <v>1001</v>
      </c>
    </row>
    <row r="3" ht="27.75">
      <c r="A3" s="82">
        <v>1002</v>
      </c>
      <c s="90" t="str">
        <f ca="1" t="shared" si="0"/>
        <v>31U1703-98-0012</v>
      </c>
      <c s="82"/>
      <c s="83" t="str">
        <f>'波长示值误差与重复性校验'!$C3&amp;";"&amp;'波长示值误差与重复性校验'!$D3&amp;";"&amp;'波长示值误差与重复性校验'!$E3</f>
        <v>486.02;486.06;486.06</v>
      </c>
      <c s="83">
        <f>'波长示值误差与重复性校验'!$F3</f>
        <v>486.0466666666666</v>
      </c>
      <c s="83">
        <f>'波长示值误差与重复性校验'!$G3</f>
        <v>0.046666666666624224</v>
      </c>
      <c s="83">
        <f>'波长示值误差与重复性校验'!$H3</f>
        <v>0.040000000000020464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'波长示值误差与重复性校验'!$K3</f>
        <v>合格</v>
      </c>
      <c s="83"/>
      <c s="329">
        <v>1002</v>
      </c>
    </row>
    <row r="4" ht="27.75">
      <c r="A4" s="82">
        <v>1003</v>
      </c>
      <c s="90" t="str">
        <f ca="1" t="shared" si="0"/>
        <v>31U1703-98-0012</v>
      </c>
      <c s="82"/>
      <c s="83" t="str">
        <f>'波长示值误差与重复性校验'!$C4&amp;";"&amp;'波长示值误差与重复性校验'!$D4&amp;";"&amp;'波长示值误差与重复性校验'!$E4</f>
        <v>807.3;807.3;807.3</v>
      </c>
      <c s="83">
        <f>'波长示值误差与重复性校验'!$F4</f>
        <v>807.2999999999998</v>
      </c>
      <c s="83">
        <f>'波长示值误差与重复性校验'!$G4</f>
        <v>-0.10000000000013642</v>
      </c>
      <c s="83">
        <f>'波长示值误差与重复性校验'!$H4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'波长示值误差与重复性校验'!$K4</f>
        <v>合格</v>
      </c>
      <c s="83"/>
      <c s="329">
        <v>1003</v>
      </c>
    </row>
    <row r="5" ht="27.75">
      <c r="A5" s="82">
        <v>1008</v>
      </c>
      <c s="90" t="str">
        <f ca="1" t="shared" si="0"/>
        <v>31U1703-98-0012</v>
      </c>
      <c s="82"/>
      <c s="83" t="str">
        <f>'波长示值误差与重复性校验'!$C5&amp;";"&amp;'波长示值误差与重复性校验'!$D5&amp;";"&amp;'波长示值误差与重复性校验'!$E5</f>
        <v>640.9;641;640.9</v>
      </c>
      <c s="83">
        <f>'波长示值误差与重复性校验'!$F5</f>
        <v>640.9333333333334</v>
      </c>
      <c s="83">
        <f>'波长示值误差与重复性校验'!$G5</f>
        <v>0.2333333333333485</v>
      </c>
      <c s="83">
        <f>'波长示值误差与重复性校验'!$H5</f>
        <v>0.10000000000002274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'波长示值误差与重复性校验'!$K5</f>
        <v>合格</v>
      </c>
      <c s="83"/>
      <c s="329">
        <v>1004</v>
      </c>
    </row>
    <row r="6" ht="27.75">
      <c r="A6" s="82">
        <v>1009</v>
      </c>
      <c s="90" t="str">
        <f ca="1" t="shared" si="0"/>
        <v>31U1703-98-0012</v>
      </c>
      <c s="82"/>
      <c s="83" t="str">
        <f>'波长示值误差与重复性校验'!$C6&amp;";"&amp;'波长示值误差与重复性校验'!$D6&amp;";"&amp;'波长示值误差与重复性校验'!$E6</f>
        <v>536.9;536.9;536.9</v>
      </c>
      <c s="83">
        <f>'波长示值误差与重复性校验'!$F6</f>
        <v>536.9</v>
      </c>
      <c s="83">
        <f>'波长示值误差与重复性校验'!$G6</f>
        <v>0.10000000000002274</v>
      </c>
      <c s="83">
        <f>'波长示值误差与重复性校验'!$H6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'波长示值误差与重复性校验'!$K6</f>
        <v>合格</v>
      </c>
      <c s="83"/>
      <c s="329">
        <v>1004</v>
      </c>
    </row>
    <row r="7" ht="27.75">
      <c r="A7" s="82">
        <v>1010</v>
      </c>
      <c s="90" t="str">
        <f ca="1" t="shared" si="0"/>
        <v>31U1703-98-0012</v>
      </c>
      <c s="82"/>
      <c s="83" t="str">
        <f>'波长示值误差与重复性校验'!$C7&amp;";"&amp;'波长示值误差与重复性校验'!$D7&amp;";"&amp;'波长示值误差与重复性校验'!$E7</f>
        <v>416.5;416.5;416.5</v>
      </c>
      <c s="83">
        <f>'波长示值误差与重复性校验'!$F7</f>
        <v>416.5</v>
      </c>
      <c s="83">
        <f>'波长示值误差与重复性校验'!$G7</f>
        <v>0</v>
      </c>
      <c s="83">
        <f>'波长示值误差与重复性校验'!$H7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'波长示值误差与重复性校验'!$K7</f>
        <v>合格</v>
      </c>
      <c s="83"/>
      <c s="329">
        <v>1004</v>
      </c>
    </row>
    <row r="8" ht="27.75">
      <c r="A8" s="82">
        <v>1011</v>
      </c>
      <c s="90" t="str">
        <f ca="1" t="shared" si="0"/>
        <v>31U1703-98-0012</v>
      </c>
      <c s="82"/>
      <c s="83" t="str">
        <f>'波长示值误差与重复性校验'!$C8&amp;";"&amp;'波长示值误差与重复性校验'!$D8&amp;";"&amp;'波长示值误差与重复性校验'!$E8</f>
        <v>361.1;361.1;361.1</v>
      </c>
      <c s="83">
        <f>'波长示值误差与重复性校验'!$F8</f>
        <v>361.1000000000001</v>
      </c>
      <c s="83">
        <f>'波长示值误差与重复性校验'!$G8</f>
        <v>0.10000000000007958</v>
      </c>
      <c s="83">
        <f>'波长示值误差与重复性校验'!$H8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'波长示值误差与重复性校验'!$K8</f>
        <v>合格</v>
      </c>
      <c s="83"/>
      <c s="329">
        <v>1004</v>
      </c>
    </row>
    <row r="9" ht="27.75">
      <c r="A9" s="82">
        <v>1012</v>
      </c>
      <c s="90" t="str">
        <f ca="1" t="shared" si="0"/>
        <v>31U1703-98-0012</v>
      </c>
      <c s="82"/>
      <c s="83" t="str">
        <f>'波长示值误差与重复性校验'!$C9&amp;";"&amp;'波长示值误差与重复性校验'!$D9&amp;";"&amp;'波长示值误差与重复性校验'!$E9</f>
        <v>287.4;287.5;287.5</v>
      </c>
      <c s="83">
        <f>'波长示值误差与重复性校验'!$F9</f>
        <v>287.46666666666664</v>
      </c>
      <c s="83">
        <f>'波长示值误差与重复性校验'!$G9</f>
        <v>0.06666666666666288</v>
      </c>
      <c s="83">
        <f>'波长示值误差与重复性校验'!$H9</f>
        <v>0.10000000000002274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'波长示值误差与重复性校验'!$K9</f>
        <v>合格</v>
      </c>
      <c s="83"/>
      <c s="329">
        <v>1004</v>
      </c>
    </row>
    <row r="10" ht="27.75">
      <c r="A10" s="82">
        <v>1013</v>
      </c>
      <c s="90" t="str">
        <f ca="1" t="shared" si="0"/>
        <v>31U1703-98-0012</v>
      </c>
      <c s="82"/>
      <c s="83" t="str">
        <f>'波长示值误差与重复性校验'!$C10&amp;";"&amp;'波长示值误差与重复性校验'!$D10&amp;";"&amp;'波长示值误差与重复性校验'!$E10</f>
        <v>241.1;241.1;241.1</v>
      </c>
      <c s="83">
        <f>'波长示值误差与重复性校验'!$F10</f>
        <v>241.1</v>
      </c>
      <c s="83">
        <f>'波长示值误差与重复性校验'!$G10</f>
        <v>0.09999999999999432</v>
      </c>
      <c s="83">
        <f>'波长示值误差与重复性校验'!$H10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'波长示值误差与重复性校验'!$K10</f>
        <v>合格</v>
      </c>
      <c s="83"/>
      <c s="329">
        <v>1004</v>
      </c>
    </row>
    <row r="11" ht="27.75">
      <c r="A11" s="82">
        <v>2001</v>
      </c>
      <c s="90" t="str">
        <f ca="1" t="shared" si="0"/>
        <v>31U1703-98-0012</v>
      </c>
      <c s="82">
        <f>'透射比示值误差与重复性校验'!$C2</f>
        <v>23.2</v>
      </c>
      <c s="83" t="str">
        <f>'透射比示值误差与重复性校验'!$D2&amp;";"&amp;'透射比示值误差与重复性校验'!$E2&amp;";"&amp;'透射比示值误差与重复性校验'!$F2</f>
        <v>23.1695086092232;23.1709922083654;23.1714843847568</v>
      </c>
      <c s="83">
        <f>'透射比示值误差与重复性校验'!$G2</f>
        <v>23.170661734115132</v>
      </c>
      <c s="83">
        <f>'透射比示值误差与重复性校验'!$H2</f>
        <v>-0.0293382658848671</v>
      </c>
      <c s="83">
        <f>'透射比示值误差与重复性校验'!$I2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'透射比示值误差与重复性校验'!$L2</f>
        <v>合格</v>
      </c>
      <c s="83"/>
      <c s="82">
        <v>2001</v>
      </c>
    </row>
    <row r="12" ht="27.75">
      <c r="A12" s="82">
        <v>2002</v>
      </c>
      <c s="90" t="str">
        <f ca="1" t="shared" si="0"/>
        <v>31U1703-98-0012</v>
      </c>
      <c s="82">
        <f>'透射比示值误差与重复性校验'!$C3</f>
        <v>51.58</v>
      </c>
      <c s="83" t="str">
        <f>'透射比示值误差与重复性校验'!$D3&amp;";"&amp;'透射比示值误差与重复性校验'!$E3&amp;";"&amp;'透射比示值误差与重复性校验'!$F3</f>
        <v>51.5395744647791;51.539634642875;51.541964158334</v>
      </c>
      <c s="83">
        <f>'透射比示值误差与重复性校验'!$G3</f>
        <v>51.540391088662695</v>
      </c>
      <c s="83">
        <f>'透射比示值误差与重复性校验'!$H3</f>
        <v>-0.03960891133730371</v>
      </c>
      <c s="83">
        <f>'透射比示值误差与重复性校验'!$I3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'透射比示值误差与重复性校验'!$L3</f>
        <v>合格</v>
      </c>
      <c s="83"/>
      <c s="82">
        <v>2001</v>
      </c>
    </row>
    <row r="13" ht="27.75">
      <c r="A13" s="82">
        <v>2003</v>
      </c>
      <c s="90" t="str">
        <f ca="1" t="shared" si="0"/>
        <v>31U1703-98-0012</v>
      </c>
      <c s="82">
        <f>'透射比示值误差与重复性校验'!$C4</f>
        <v>14.06</v>
      </c>
      <c s="83" t="str">
        <f>'透射比示值误差与重复性校验'!$D4&amp;";"&amp;'透射比示值误差与重复性校验'!$E4&amp;";"&amp;'透射比示值误差与重复性校验'!$F4</f>
        <v>14.029948316703;14.0303284843965;14.029771595901</v>
      </c>
      <c s="83">
        <f>'透射比示值误差与重复性校验'!$G4</f>
        <v>14.0300161323335</v>
      </c>
      <c s="83">
        <f>'透射比示值误差与重复性校验'!$H4</f>
        <v>-0.029983867666500075</v>
      </c>
      <c s="83">
        <f>'透射比示值误差与重复性校验'!$I4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'透射比示值误差与重复性校验'!$L4</f>
        <v>合格</v>
      </c>
      <c s="83"/>
      <c s="82">
        <v>2001</v>
      </c>
    </row>
    <row r="14" ht="27.75">
      <c r="A14" s="82">
        <v>2004</v>
      </c>
      <c s="90" t="str">
        <f ca="1" t="shared" si="0"/>
        <v>31U1703-98-0012</v>
      </c>
      <c s="82">
        <f>'透射比示值误差与重复性校验'!$C5</f>
        <v>18.42</v>
      </c>
      <c s="83" t="str">
        <f>'透射比示值误差与重复性校验'!$D5&amp;";"&amp;'透射比示值误差与重复性校验'!$E5&amp;";"&amp;'透射比示值误差与重复性校验'!$F5</f>
        <v>18.2940473077242;18.293776577737;18.2937851133586</v>
      </c>
      <c s="83">
        <f>'透射比示值误差与重复性校验'!$G5</f>
        <v>18.293869666273267</v>
      </c>
      <c s="83">
        <f>'透射比示值误差与重复性校验'!$H5</f>
        <v>-0.126130333726735</v>
      </c>
      <c s="83">
        <f>'透射比示值误差与重复性校验'!$I5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'透射比示值误差与重复性校验'!$L5</f>
        <v>合格</v>
      </c>
      <c s="83"/>
      <c s="82">
        <v>2001</v>
      </c>
    </row>
    <row r="15" ht="27.75">
      <c r="A15" s="82">
        <v>2005</v>
      </c>
      <c s="90" t="str">
        <f ca="1" t="shared" si="0"/>
        <v>31U1703-98-0012</v>
      </c>
      <c s="82">
        <f>'透射比示值误差与重复性校验'!$C6</f>
        <v>7.57</v>
      </c>
      <c s="83" t="str">
        <f>'透射比示值误差与重复性校验'!$D6&amp;";"&amp;'透射比示值误差与重复性校验'!$E6&amp;";"&amp;'透射比示值误差与重复性校验'!$F6</f>
        <v>7.75166824161767;7.75191707520083;7.75181047646345</v>
      </c>
      <c s="83">
        <f>'透射比示值误差与重复性校验'!$G6</f>
        <v>7.751798597760651</v>
      </c>
      <c s="83">
        <f>'透射比示值误差与重复性校验'!$H6</f>
        <v>0.18179859776065044</v>
      </c>
      <c s="83">
        <f>'透射比示值误差与重复性校验'!$I6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'透射比示值误差与重复性校验'!$L6</f>
        <v>合格</v>
      </c>
      <c s="83"/>
      <c s="82">
        <v>2002</v>
      </c>
    </row>
    <row r="16" ht="27.75">
      <c r="A16" s="82">
        <v>2006</v>
      </c>
      <c s="90" t="str">
        <f ca="1" t="shared" si="0"/>
        <v>31U1703-98-0012</v>
      </c>
      <c s="82">
        <f>'透射比示值误差与重复性校验'!$C7</f>
        <v>10.1</v>
      </c>
      <c s="83" t="str">
        <f>'透射比示值误差与重复性校验'!$D7&amp;";"&amp;'透射比示值误差与重复性校验'!$E7&amp;";"&amp;'透射比示值误差与重复性校验'!$F7</f>
        <v>10.3301436804514;10.3299302494288;10.3298861317142</v>
      </c>
      <c s="83">
        <f>'透射比示值误差与重复性校验'!$G7</f>
        <v>10.329986687198133</v>
      </c>
      <c s="83">
        <f>'透射比示值误差与重复性校验'!$H7</f>
        <v>0.2299866871981333</v>
      </c>
      <c s="83">
        <f>'透射比示值误差与重复性校验'!$I7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'透射比示值误差与重复性校验'!$L7</f>
        <v>合格</v>
      </c>
      <c s="83"/>
      <c s="82">
        <v>2002</v>
      </c>
    </row>
    <row r="17" ht="27.75">
      <c r="A17" s="82">
        <v>2007</v>
      </c>
      <c s="90" t="str">
        <f ca="1" t="shared" si="0"/>
        <v>31U1703-98-0012</v>
      </c>
      <c s="82">
        <f>'透射比示值误差与重复性校验'!$C8</f>
        <v>10.07</v>
      </c>
      <c s="83" t="str">
        <f>'透射比示值误差与重复性校验'!$D8&amp;";"&amp;'透射比示值误差与重复性校验'!$E8&amp;";"&amp;'透射比示值误差与重复性校验'!$F8</f>
        <v>10.3640863392208;10.3641182773453;10.3637519667705</v>
      </c>
      <c s="83">
        <f>'透射比示值误差与重复性校验'!$G8</f>
        <v>10.363985527778867</v>
      </c>
      <c s="83">
        <f>'透射比示值误差与重复性校验'!$H8</f>
        <v>0.293985527778867</v>
      </c>
      <c s="83">
        <f>'透射比示值误差与重复性校验'!$I8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'透射比示值误差与重复性校验'!$L8</f>
        <v>合格</v>
      </c>
      <c s="83"/>
      <c s="82">
        <v>2002</v>
      </c>
    </row>
    <row r="18" ht="27.75">
      <c r="A18" s="82">
        <v>2008</v>
      </c>
      <c s="90" t="str">
        <f ca="1" t="shared" si="0"/>
        <v>31U1703-98-0012</v>
      </c>
      <c s="82">
        <f>'透射比示值误差与重复性校验'!$C9</f>
        <v>18.98</v>
      </c>
      <c s="83" t="str">
        <f>'透射比示值误差与重复性校验'!$D9&amp;";"&amp;'透射比示值误差与重复性校验'!$E9&amp;";"&amp;'透射比示值误差与重复性校验'!$F9</f>
        <v>19.0585833343744;19.0579438521496;19.058252734163</v>
      </c>
      <c s="83">
        <f>'透射比示值误差与重复性校验'!$G9</f>
        <v>19.058259973562333</v>
      </c>
      <c s="83">
        <f>'透射比示值误差与重复性校验'!$H9</f>
        <v>0.07825997356233216</v>
      </c>
      <c s="83">
        <f>'透射比示值误差与重复性校验'!$I9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'透射比示值误差与重复性校验'!$L9</f>
        <v>合格</v>
      </c>
      <c s="83"/>
      <c s="125">
        <v>2003</v>
      </c>
    </row>
    <row r="19" ht="27.75">
      <c r="A19" s="82">
        <v>2009</v>
      </c>
      <c s="90" t="str">
        <f ca="1" t="shared" si="0"/>
        <v>31U1703-98-0012</v>
      </c>
      <c s="82">
        <f>'透射比示值误差与重复性校验'!$C10</f>
        <v>20.09</v>
      </c>
      <c s="83" t="str">
        <f>'透射比示值误差与重复性校验'!$D10&amp;";"&amp;'透射比示值误差与重复性校验'!$E10&amp;";"&amp;'透射比示值误差与重复性校验'!$F10</f>
        <v>20.1903415407004;20.1902413228065;20.190618913159</v>
      </c>
      <c s="83">
        <f>'透射比示值误差与重复性校验'!$G10</f>
        <v>20.190400592221966</v>
      </c>
      <c s="83">
        <f>'透射比示值误差与重复性校验'!$H10</f>
        <v>0.10040059222196618</v>
      </c>
      <c s="83">
        <f>'透射比示值误差与重复性校验'!$I10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'透射比示值误差与重复性校验'!$L10</f>
        <v>合格</v>
      </c>
      <c s="83"/>
      <c s="125">
        <v>2003</v>
      </c>
    </row>
    <row r="20" ht="27.75">
      <c r="A20" s="82">
        <v>2010</v>
      </c>
      <c s="90" t="str">
        <f ca="1" t="shared" si="0"/>
        <v>31U1703-98-0012</v>
      </c>
      <c s="82">
        <f>'透射比示值误差与重复性校验'!$C11</f>
        <v>20.91</v>
      </c>
      <c s="83" t="str">
        <f>'透射比示值误差与重复性校验'!$D11&amp;";"&amp;'透射比示值误差与重复性校验'!$E11&amp;";"&amp;'透射比示值误差与重复性校验'!$F11</f>
        <v>21.0502365018174;21.0502065973662;21.0499554629932</v>
      </c>
      <c s="83">
        <f>'透射比示值误差与重复性校验'!$G11</f>
        <v>21.05013285405893</v>
      </c>
      <c s="83">
        <f>'透射比示值误差与重复性校验'!$H11</f>
        <v>0.14013285405892972</v>
      </c>
      <c s="83">
        <f>'透射比示值误差与重复性校验'!$I11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'透射比示值误差与重复性校验'!$L11</f>
        <v>合格</v>
      </c>
      <c s="83"/>
      <c s="125">
        <v>2003</v>
      </c>
    </row>
    <row r="21" ht="27.75">
      <c r="A21" s="82">
        <v>2011</v>
      </c>
      <c s="90" t="str">
        <f ca="1" t="shared" si="0"/>
        <v>31U1703-98-0012</v>
      </c>
      <c s="82">
        <f>'透射比示值误差与重复性校验'!$C12</f>
        <v>29.96</v>
      </c>
      <c s="83" t="str">
        <f>'透射比示值误差与重复性校验'!$D12&amp;";"&amp;'透射比示值误差与重复性校验'!$E12&amp;";"&amp;'透射比示值误差与重复性校验'!$F12</f>
        <v>30.0224254920484;30.0211371589313;30.0214548843335</v>
      </c>
      <c s="83">
        <f>'透射比示值误差与重复性校验'!$G12</f>
        <v>30.02167251177106</v>
      </c>
      <c s="83">
        <f>'透射比示值误差与重复性校验'!$H12</f>
        <v>0.06167251177106081</v>
      </c>
      <c s="83">
        <f>'透射比示值误差与重复性校验'!$I12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'透射比示值误差与重复性校验'!$L12</f>
        <v>合格</v>
      </c>
      <c s="83"/>
      <c s="82">
        <v>2004</v>
      </c>
    </row>
    <row r="22" ht="27.75">
      <c r="A22" s="82">
        <v>2012</v>
      </c>
      <c s="90" t="str">
        <f ca="1" t="shared" si="0"/>
        <v>31U1703-98-0012</v>
      </c>
      <c s="82">
        <f>'透射比示值误差与重复性校验'!$C13</f>
        <v>30.43</v>
      </c>
      <c s="83" t="str">
        <f>'透射比示值误差与重复性校验'!$D13&amp;";"&amp;'透射比示值误差与重复性校验'!$E13&amp;";"&amp;'透射比示值误差与重复性校验'!$F13</f>
        <v>30.4766420500908;30.4769811718349;30.4756836227976</v>
      </c>
      <c s="83">
        <f>'透射比示值误差与重复性校验'!$G13</f>
        <v>30.476435614907768</v>
      </c>
      <c s="83">
        <f>'透射比示值误差与重复性校验'!$H13</f>
        <v>0.04643561490776804</v>
      </c>
      <c s="83">
        <f>'透射比示值误差与重复性校验'!$I13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'透射比示值误差与重复性校验'!$L13</f>
        <v>合格</v>
      </c>
      <c s="83"/>
      <c s="82">
        <v>2004</v>
      </c>
    </row>
    <row r="23" ht="27.75">
      <c r="A23" s="82">
        <v>2013</v>
      </c>
      <c s="90" t="str">
        <f ca="1" t="shared" si="0"/>
        <v>31U1703-98-0012</v>
      </c>
      <c s="82">
        <f>'透射比示值误差与重复性校验'!$C14</f>
        <v>28.88</v>
      </c>
      <c s="83" t="str">
        <f>'透射比示值误差与重复性校验'!$D14&amp;";"&amp;'透射比示值误差与重复性校验'!$E14&amp;";"&amp;'透射比示值误差与重复性校验'!$F14</f>
        <v>28.9858700643312;28.9860795998223;28.9862594930665</v>
      </c>
      <c s="83">
        <f>'透射比示值误差与重复性校验'!$G14</f>
        <v>28.98606971907333</v>
      </c>
      <c s="83">
        <f>'透射比示值误差与重复性校验'!$H14</f>
        <v>0.10606971907333218</v>
      </c>
      <c s="83">
        <f>'透射比示值误差与重复性校验'!$I14</f>
        <v>0</v>
      </c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'透射比示值误差与重复性校验'!$L14</f>
        <v>合格</v>
      </c>
      <c s="83"/>
      <c s="82">
        <v>2004</v>
      </c>
    </row>
    <row r="24" ht="27.75">
      <c r="A24" s="82">
        <v>3001</v>
      </c>
      <c s="90" t="str">
        <f ca="1" t="shared" si="0"/>
        <v>31U1703-98-0012</v>
      </c>
      <c s="82">
        <f>'杂散光校验'!$B2</f>
        <v>220</v>
      </c>
      <c s="334" t="str">
        <f>'杂散光校验'!$C2&amp;";"&amp;'杂散光校验'!$D2&amp;";"&amp;'杂散光校验'!$E2</f>
        <v>0.0069736489124968;0.0071436586051093;0.0068041054502955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'杂散光校验'!$G2</f>
        <v>合格</v>
      </c>
      <c s="83"/>
      <c s="82">
        <v>3001</v>
      </c>
    </row>
    <row r="25" ht="27.75">
      <c r="A25" s="82">
        <v>3002</v>
      </c>
      <c s="90" t="str">
        <f ca="1" t="shared" si="0"/>
        <v>31U1703-98-0012</v>
      </c>
      <c s="82">
        <f>'杂散光校验'!$B3</f>
        <v>360</v>
      </c>
      <c s="334" t="str">
        <f>'杂散光校验'!$C3&amp;";"&amp;'杂散光校验'!$D3&amp;";"&amp;'杂散光校验'!$E3</f>
        <v>0.0194904535420115;0.0139208583689395;0.0185611444919193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'杂散光校验'!$G3</f>
        <v>合格</v>
      </c>
      <c s="83"/>
      <c s="82">
        <v>3002</v>
      </c>
    </row>
    <row r="26" ht="27.75">
      <c r="A26" s="82">
        <v>4001</v>
      </c>
      <c s="90" t="str">
        <f ca="1" t="shared" si="0"/>
        <v>31U1703-98-0012</v>
      </c>
      <c s="82"/>
      <c s="83">
        <f>'基线平直度检验'!$B$2</f>
        <v>-0.000319983638945643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'基线平直度检验'!$D$2</f>
        <v>合格</v>
      </c>
      <c s="83"/>
      <c s="82">
        <v>4001</v>
      </c>
    </row>
    <row r="27" ht="27.75">
      <c r="A27" s="82">
        <v>5001</v>
      </c>
      <c s="90" t="str">
        <f ca="1" t="shared" si="0"/>
        <v>31U1703-98-0012</v>
      </c>
      <c s="82"/>
      <c s="83">
        <f>'基线暗噪声检验'!$B$2</f>
        <v>-0.00216665689667126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'基线暗噪声检验'!$D$2</f>
        <v>合格</v>
      </c>
      <c s="83"/>
      <c s="82">
        <v>5001</v>
      </c>
    </row>
    <row r="28" ht="27.75">
      <c r="A28" s="82">
        <v>6001</v>
      </c>
      <c s="90" t="str">
        <f ca="1" t="shared" si="0"/>
        <v>31U1703-98-0012</v>
      </c>
      <c s="82">
        <f>'光谱带宽与仪器最小光谱带宽'!$C2</f>
        <v>5</v>
      </c>
      <c s="83">
        <f>'光谱带宽与仪器最小光谱带宽'!$D2</f>
        <v>4.5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'光谱带宽与仪器最小光谱带宽'!$G2</f>
        <v>合格</v>
      </c>
      <c s="83"/>
      <c s="82">
        <v>6001</v>
      </c>
    </row>
    <row r="29" ht="27.75">
      <c r="A29" s="82">
        <v>6002</v>
      </c>
      <c s="90" t="str">
        <f ca="1" t="shared" si="0"/>
        <v>31U1703-98-0012</v>
      </c>
      <c s="82">
        <f>'光谱带宽与仪器最小光谱带宽'!$C3</f>
        <v>2</v>
      </c>
      <c s="83">
        <f>'光谱带宽与仪器最小光谱带宽'!$D3</f>
        <v>1.79999999999995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'光谱带宽与仪器最小光谱带宽'!$G3</f>
        <v>合格</v>
      </c>
      <c s="83"/>
      <c s="331">
        <v>6002</v>
      </c>
    </row>
    <row r="30" ht="27.75">
      <c r="A30" s="82">
        <v>6003</v>
      </c>
      <c s="90" t="str">
        <f ca="1" t="shared" si="0"/>
        <v>31U1703-98-0012</v>
      </c>
      <c s="82">
        <f>'光谱带宽与仪器最小光谱带宽'!$C4</f>
        <v>1</v>
      </c>
      <c s="83">
        <f>'光谱带宽与仪器最小光谱带宽'!$D4</f>
        <v>0.899999999999977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'光谱带宽与仪器最小光谱带宽'!$G4</f>
        <v>合格</v>
      </c>
      <c s="83"/>
      <c s="82">
        <v>6003</v>
      </c>
    </row>
    <row r="31" ht="27.75">
      <c r="A31" s="82">
        <v>6004</v>
      </c>
      <c s="90" t="str">
        <f ca="1" t="shared" si="0"/>
        <v>31U1703-98-0012</v>
      </c>
      <c s="82">
        <f>'光谱带宽与仪器最小光谱带宽'!$C5</f>
        <v>0.5</v>
      </c>
      <c s="83">
        <f>'光谱带宽与仪器最小光谱带宽'!$D5</f>
        <v>0.480000000000018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'光谱带宽与仪器最小光谱带宽'!$G5</f>
        <v>合格</v>
      </c>
      <c s="83"/>
      <c s="331">
        <v>6004</v>
      </c>
    </row>
    <row r="32" ht="27.75">
      <c r="A32" s="82">
        <v>6005</v>
      </c>
      <c s="90" t="str">
        <f ca="1" t="shared" si="0"/>
        <v>31U1703-98-0012</v>
      </c>
      <c s="82">
        <f>'光谱带宽与仪器最小光谱带宽'!$C6</f>
        <v>0.2</v>
      </c>
      <c s="83">
        <f>'光谱带宽与仪器最小光谱带宽'!$D6</f>
        <v>0.159999999999968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'光谱带宽与仪器最小光谱带宽'!$G6</f>
        <v>合格</v>
      </c>
      <c s="83"/>
      <c s="82">
        <v>6005</v>
      </c>
    </row>
    <row r="33" ht="27.75">
      <c r="A33" s="82">
        <v>7001</v>
      </c>
      <c s="90" t="str">
        <f ca="1" t="shared" si="0"/>
        <v>31U1703-98-0012</v>
      </c>
      <c s="82">
        <f>'噪声检验'!$B2</f>
        <v>500</v>
      </c>
      <c s="83">
        <f>'噪声检验'!$C2</f>
        <v>0.00427898705446239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'噪声检验'!$E2</f>
        <v>合格</v>
      </c>
      <c s="83"/>
      <c s="82">
        <v>7001</v>
      </c>
    </row>
    <row r="34" ht="27.75">
      <c r="A34" s="82">
        <v>7002</v>
      </c>
      <c s="90" t="str">
        <f ca="1" t="shared" si="0"/>
        <v>31U1703-98-0012</v>
      </c>
      <c s="82">
        <f>'噪声检验'!$B3</f>
        <v>500</v>
      </c>
      <c s="83">
        <f>'噪声检验'!$C3</f>
        <v>0.000301774530449169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'噪声检验'!$E3</f>
        <v>合格</v>
      </c>
      <c s="83"/>
      <c s="82">
        <v>7002</v>
      </c>
    </row>
    <row r="35" ht="27.75">
      <c r="A35" s="82">
        <v>7003</v>
      </c>
      <c s="90" t="str">
        <f ca="1" t="shared" si="0"/>
        <v>31U1703-98-0012</v>
      </c>
      <c s="82">
        <f>'噪声检验'!$B4</f>
        <v>250</v>
      </c>
      <c s="83">
        <f>'噪声检验'!$C4</f>
        <v>0.0055144232409674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'噪声检验'!$E4</f>
        <v>合格</v>
      </c>
      <c s="83"/>
      <c s="82">
        <v>7003</v>
      </c>
    </row>
    <row r="36" ht="27.75">
      <c r="A36" s="82">
        <v>7004</v>
      </c>
      <c s="90" t="str">
        <f ca="1" t="shared" si="0"/>
        <v>31U1703-98-0012</v>
      </c>
      <c s="82">
        <f>'噪声检验'!$B5</f>
        <v>250</v>
      </c>
      <c s="83">
        <f>'噪声检验'!$C5</f>
        <v>0.000909559935211796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'噪声检验'!$E5</f>
        <v>合格</v>
      </c>
      <c s="83"/>
      <c s="82">
        <v>7004</v>
      </c>
    </row>
    <row r="37" ht="27.75">
      <c r="A37" s="82">
        <v>8001</v>
      </c>
      <c s="90" t="str">
        <f ca="1" t="shared" si="0"/>
        <v>31U1703-98-0012</v>
      </c>
      <c s="82">
        <f>'波长边缘噪声'!$B2</f>
        <v>1090</v>
      </c>
      <c s="83">
        <f>'波长边缘噪声'!$C2</f>
        <v>0.00499773809168858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'波长边缘噪声'!$E2</f>
        <v>合格</v>
      </c>
      <c s="83"/>
      <c s="82">
        <v>8001</v>
      </c>
    </row>
    <row r="38" ht="27.75">
      <c r="A38" s="82">
        <v>8002</v>
      </c>
      <c s="90" t="str">
        <f ca="1" t="shared" si="0"/>
        <v>31U1703-98-0012</v>
      </c>
      <c s="82">
        <f>'波长边缘噪声'!$B3</f>
        <v>1090</v>
      </c>
      <c s="83">
        <f>'波长边缘噪声'!$C3</f>
        <v>0.000619899248647787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'波长边缘噪声'!$E3</f>
        <v>合格</v>
      </c>
      <c s="83"/>
      <c s="82">
        <v>8002</v>
      </c>
    </row>
    <row r="39" ht="27.75">
      <c r="A39" s="82">
        <v>8003</v>
      </c>
      <c s="90" t="str">
        <f ca="1" t="shared" si="0"/>
        <v>31U1703-98-0012</v>
      </c>
      <c s="82">
        <f>'波长边缘噪声'!$B4</f>
        <v>200</v>
      </c>
      <c s="83">
        <f>'波长边缘噪声'!$C4</f>
        <v>0.00852164732853566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'波长边缘噪声'!$E4</f>
        <v>合格</v>
      </c>
      <c s="83"/>
      <c s="82">
        <v>8003</v>
      </c>
    </row>
    <row r="40" ht="27.75">
      <c r="A40" s="13">
        <v>8004</v>
      </c>
      <c s="90" t="str">
        <f ca="1" t="shared" si="0"/>
        <v>31U1703-98-0012</v>
      </c>
      <c s="82">
        <f>'波长边缘噪声'!$B5</f>
        <v>200</v>
      </c>
      <c s="83">
        <f>'波长边缘噪声'!$C5</f>
        <v>0.00183237123158159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'波长边缘噪声'!$E5</f>
        <v>合格</v>
      </c>
      <c s="83"/>
      <c s="82">
        <v>8004</v>
      </c>
    </row>
    <row r="41" ht="27.75">
      <c r="A41" s="13">
        <v>9001</v>
      </c>
      <c s="90" t="str">
        <f ca="1" t="shared" si="0"/>
        <v>31U1703-98-0012</v>
      </c>
      <c s="82">
        <f>'漂移检验'!$B$2</f>
        <v>500</v>
      </c>
      <c s="83">
        <f>'漂移检验'!$C$2</f>
        <v>0.0108333450989448</v>
      </c>
      <c s="83"/>
      <c s="83"/>
      <c s="83"/>
      <c s="83">
        <f>Report!$F$5</f>
        <v>0</v>
      </c>
      <c s="85">
        <f ca="1" t="shared" si="1"/>
        <v>45182.59662278935</v>
      </c>
      <c s="83">
        <f>Report!$N$5</f>
        <v>0</v>
      </c>
      <c s="83"/>
      <c s="83">
        <f>Report!$C$6</f>
        <v>0</v>
      </c>
      <c s="83">
        <f>Report!$H$6</f>
        <v>0</v>
      </c>
      <c s="82" t="str">
        <f>'漂移检验'!$E$2</f>
        <v>合格</v>
      </c>
      <c s="83"/>
      <c s="82">
        <v>9001</v>
      </c>
    </row>
    <row r="42" customHeight="1">
      <c r="H42" s="62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42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9" style="12"/>
    <col min="2" max="2" width="17.25" customWidth="1" style="12"/>
    <col min="3" max="3" width="29.25" customWidth="1" style="12"/>
    <col min="4" max="4" width="12.38" customWidth="1" style="12"/>
    <col min="5" max="5" width="22.63" customWidth="1" style="57"/>
    <col min="6" max="6" width="9" style="12"/>
    <col min="7" max="7" width="16.88" customWidth="1" style="12"/>
    <col min="8" max="8" width="29.25" customWidth="1" style="12"/>
    <col min="9" max="9" width="12.38" customWidth="1" style="12"/>
    <col min="10" max="10" width="3.75" customWidth="1" style="12"/>
    <col min="11" max="11" width="17.25" customWidth="1" style="12"/>
    <col min="12" max="12" width="16.88" customWidth="1" style="12"/>
    <col min="13" max="13" width="12.38" customWidth="1" style="56"/>
    <col min="14" max="14" width="5.75" customWidth="1" style="12"/>
    <col min="15" max="15" width="11.63" customWidth="1" style="12"/>
    <col min="16" max="16" width="5.75" customWidth="1" style="12"/>
    <col min="17" max="17" width="20.38" customWidth="1" style="12"/>
    <col min="18" max="18" width="14.88" customWidth="1" style="12"/>
    <col min="19" max="20" width="13.88" customWidth="1" style="12"/>
    <col min="21" max="21" width="19" customWidth="1" style="12"/>
    <col min="22" max="22" width="7.5" customWidth="1" style="12"/>
    <col min="23" max="23" width="19.38" customWidth="1" style="12"/>
    <col min="24" max="25" width="13.88" customWidth="1" style="12"/>
    <col min="26" max="26" width="14.88" customWidth="1" style="12"/>
    <col min="27" max="16384" width="9" style="12"/>
  </cols>
  <sheetData>
    <row r="1" customHeight="1">
      <c r="A1" s="307" t="s">
        <v>12</v>
      </c>
      <c s="141"/>
      <c s="141"/>
      <c s="141"/>
      <c s="141"/>
      <c s="141"/>
      <c s="141"/>
      <c s="194"/>
      <c r="M1" s="12"/>
      <c r="O1" s="57"/>
    </row>
    <row r="2" customHeight="1">
      <c r="A2" s="76" t="s">
        <v>5</v>
      </c>
      <c s="76" t="s">
        <v>225</v>
      </c>
      <c s="76" t="s">
        <v>226</v>
      </c>
      <c s="76" t="s">
        <v>227</v>
      </c>
      <c s="76" t="s">
        <v>228</v>
      </c>
      <c s="76" t="s">
        <v>57</v>
      </c>
      <c s="76" t="s">
        <v>229</v>
      </c>
      <c s="76" t="s">
        <v>183</v>
      </c>
      <c r="M2" s="12"/>
      <c r="O2" s="57"/>
    </row>
    <row r="3" customHeight="1">
      <c r="A3" s="61" t="s">
        <v>223</v>
      </c>
      <c s="61">
        <v>1E+3</v>
      </c>
      <c s="61" t="s">
        <v>111</v>
      </c>
      <c s="61">
        <v>1001</v>
      </c>
      <c s="332" t="s">
        <v>17</v>
      </c>
      <c s="65" t="s">
        <v>116</v>
      </c>
      <c s="80">
        <v>0.1</v>
      </c>
      <c s="79">
        <v>0.1</v>
      </c>
      <c r="M3" s="12"/>
      <c r="O3" s="57"/>
    </row>
    <row r="4" customHeight="1">
      <c r="A4" s="61" t="s">
        <v>223</v>
      </c>
      <c s="61">
        <v>1E+3</v>
      </c>
      <c s="61" t="s">
        <v>111</v>
      </c>
      <c s="61">
        <v>1002</v>
      </c>
      <c s="332" t="s">
        <v>17</v>
      </c>
      <c s="61">
        <v>486</v>
      </c>
      <c s="80">
        <v>0.1</v>
      </c>
      <c s="79">
        <v>0.1</v>
      </c>
      <c r="M4" s="12"/>
      <c r="O4" s="57"/>
    </row>
    <row r="5" customHeight="1">
      <c r="A5" s="61" t="s">
        <v>223</v>
      </c>
      <c s="61">
        <v>1E+3</v>
      </c>
      <c s="61" t="s">
        <v>111</v>
      </c>
      <c s="61">
        <v>1003</v>
      </c>
      <c s="332" t="s">
        <v>16</v>
      </c>
      <c s="65" t="s">
        <v>112</v>
      </c>
      <c s="80">
        <v>0.3</v>
      </c>
      <c s="79">
        <v>0.1</v>
      </c>
      <c r="J5" s="62"/>
      <c s="62"/>
      <c s="62"/>
      <c s="62"/>
      <c r="S5" s="110"/>
    </row>
    <row r="6" customHeight="1">
      <c r="A6" s="61" t="s">
        <v>223</v>
      </c>
      <c s="61">
        <v>1E+3</v>
      </c>
      <c s="61" t="s">
        <v>111</v>
      </c>
      <c s="61">
        <v>1008</v>
      </c>
      <c s="332" t="s">
        <v>207</v>
      </c>
      <c s="65" t="s">
        <v>230</v>
      </c>
      <c s="80">
        <v>0.3</v>
      </c>
      <c s="79">
        <v>0.1</v>
      </c>
      <c s="81"/>
      <c s="77"/>
      <c s="77"/>
      <c r="M6" s="12"/>
    </row>
    <row r="7" customHeight="1">
      <c r="A7" s="61" t="s">
        <v>223</v>
      </c>
      <c s="61">
        <v>1E+3</v>
      </c>
      <c s="61" t="s">
        <v>111</v>
      </c>
      <c s="61">
        <v>1009</v>
      </c>
      <c s="332" t="s">
        <v>207</v>
      </c>
      <c s="65" t="s">
        <v>231</v>
      </c>
      <c s="80">
        <v>0.3</v>
      </c>
      <c s="79">
        <v>0.1</v>
      </c>
      <c r="J7" s="77"/>
      <c s="77"/>
      <c r="M7" s="12"/>
    </row>
    <row r="8" customHeight="1">
      <c r="A8" s="61" t="s">
        <v>223</v>
      </c>
      <c s="61">
        <v>1E+3</v>
      </c>
      <c s="61" t="s">
        <v>111</v>
      </c>
      <c s="61">
        <v>1010</v>
      </c>
      <c s="332" t="s">
        <v>207</v>
      </c>
      <c s="65" t="s">
        <v>232</v>
      </c>
      <c s="80">
        <v>0.3</v>
      </c>
      <c s="79">
        <v>0.1</v>
      </c>
      <c r="J8" s="77"/>
      <c s="77"/>
      <c r="M8" s="12"/>
    </row>
    <row r="9" customHeight="1">
      <c r="A9" s="61" t="s">
        <v>223</v>
      </c>
      <c s="61">
        <v>1E+3</v>
      </c>
      <c s="61" t="s">
        <v>111</v>
      </c>
      <c s="61">
        <v>1011</v>
      </c>
      <c s="332" t="s">
        <v>207</v>
      </c>
      <c s="65" t="s">
        <v>233</v>
      </c>
      <c s="80">
        <v>0.3</v>
      </c>
      <c s="79">
        <v>0.1</v>
      </c>
      <c r="J9" s="77"/>
      <c s="77"/>
      <c r="M9" s="12"/>
    </row>
    <row r="10" customHeight="1">
      <c r="A10" s="61" t="s">
        <v>223</v>
      </c>
      <c s="61">
        <v>1E+3</v>
      </c>
      <c s="61" t="s">
        <v>111</v>
      </c>
      <c s="61">
        <v>1012</v>
      </c>
      <c s="332" t="s">
        <v>207</v>
      </c>
      <c s="65" t="s">
        <v>234</v>
      </c>
      <c s="80">
        <v>0.3</v>
      </c>
      <c s="79">
        <v>0.1</v>
      </c>
      <c r="J10" s="77"/>
      <c s="77"/>
      <c r="M10" s="12"/>
    </row>
    <row r="11" customHeight="1">
      <c r="A11" s="61" t="s">
        <v>223</v>
      </c>
      <c s="61">
        <v>1E+3</v>
      </c>
      <c s="61" t="s">
        <v>111</v>
      </c>
      <c s="61">
        <v>1013</v>
      </c>
      <c s="332" t="s">
        <v>207</v>
      </c>
      <c s="65" t="s">
        <v>235</v>
      </c>
      <c s="80">
        <v>0.3</v>
      </c>
      <c s="79">
        <v>0.1</v>
      </c>
      <c r="J11" s="77"/>
      <c s="77"/>
      <c r="M11" s="12"/>
    </row>
    <row r="12" ht="14.25" customHeight="1">
      <c r="A12" s="61" t="s">
        <v>223</v>
      </c>
      <c s="61">
        <v>2E+3</v>
      </c>
      <c s="61" t="s">
        <v>117</v>
      </c>
      <c s="61">
        <v>2001</v>
      </c>
      <c s="332" t="s">
        <v>120</v>
      </c>
      <c s="59" t="s">
        <v>190</v>
      </c>
      <c s="61">
        <v>0.3</v>
      </c>
      <c s="61">
        <v>0.1</v>
      </c>
      <c r="J12" s="77"/>
      <c s="81"/>
      <c r="M12" s="12"/>
    </row>
    <row r="13" ht="28.5">
      <c r="A13" s="61" t="s">
        <v>223</v>
      </c>
      <c s="61">
        <v>2E+3</v>
      </c>
      <c s="61" t="s">
        <v>117</v>
      </c>
      <c s="61">
        <v>2002</v>
      </c>
      <c s="332" t="s">
        <v>120</v>
      </c>
      <c s="59" t="s">
        <v>191</v>
      </c>
      <c s="61">
        <v>0.3</v>
      </c>
      <c s="61">
        <v>0.1</v>
      </c>
      <c r="J13" s="77"/>
      <c s="81"/>
      <c r="M13" s="12"/>
    </row>
    <row r="14" ht="28.5">
      <c r="A14" s="61" t="s">
        <v>223</v>
      </c>
      <c s="61">
        <v>2E+3</v>
      </c>
      <c s="61" t="s">
        <v>117</v>
      </c>
      <c s="61">
        <v>2003</v>
      </c>
      <c s="332" t="s">
        <v>120</v>
      </c>
      <c s="59" t="s">
        <v>192</v>
      </c>
      <c s="61">
        <v>0.3</v>
      </c>
      <c s="61">
        <v>0.1</v>
      </c>
      <c r="J14" s="77"/>
      <c s="81"/>
      <c r="M14" s="12"/>
    </row>
    <row r="15" ht="28.5">
      <c r="A15" s="61" t="s">
        <v>223</v>
      </c>
      <c s="61">
        <v>2E+3</v>
      </c>
      <c s="61" t="s">
        <v>117</v>
      </c>
      <c s="61">
        <v>2004</v>
      </c>
      <c s="332" t="s">
        <v>120</v>
      </c>
      <c s="59" t="s">
        <v>193</v>
      </c>
      <c s="61">
        <v>0.3</v>
      </c>
      <c s="61">
        <v>0.1</v>
      </c>
      <c r="J15" s="77"/>
      <c s="81"/>
      <c r="M15" s="12"/>
    </row>
    <row r="16" customHeight="1">
      <c r="A16" s="61" t="s">
        <v>223</v>
      </c>
      <c s="61">
        <v>2E+3</v>
      </c>
      <c s="61" t="s">
        <v>117</v>
      </c>
      <c s="61">
        <v>2005</v>
      </c>
      <c s="59" t="s">
        <v>83</v>
      </c>
      <c s="59" t="s">
        <v>187</v>
      </c>
      <c s="61">
        <v>0.3</v>
      </c>
      <c s="61">
        <v>0.1</v>
      </c>
      <c r="M16" s="12"/>
    </row>
    <row r="17" customHeight="1">
      <c r="A17" s="61" t="s">
        <v>223</v>
      </c>
      <c s="61">
        <v>2E+3</v>
      </c>
      <c s="61" t="s">
        <v>117</v>
      </c>
      <c s="61">
        <v>2006</v>
      </c>
      <c s="59" t="s">
        <v>83</v>
      </c>
      <c s="59" t="s">
        <v>188</v>
      </c>
      <c s="61">
        <v>0.3</v>
      </c>
      <c s="61">
        <v>0.1</v>
      </c>
      <c r="M17" s="12"/>
    </row>
    <row r="18" customHeight="1">
      <c r="A18" s="61" t="s">
        <v>223</v>
      </c>
      <c s="61">
        <v>2E+3</v>
      </c>
      <c s="61" t="s">
        <v>117</v>
      </c>
      <c s="61">
        <v>2007</v>
      </c>
      <c s="59" t="s">
        <v>83</v>
      </c>
      <c s="59" t="s">
        <v>189</v>
      </c>
      <c s="61">
        <v>0.3</v>
      </c>
      <c s="61">
        <v>0.1</v>
      </c>
      <c r="M18" s="12"/>
    </row>
    <row r="19" customHeight="1">
      <c r="A19" s="61" t="s">
        <v>223</v>
      </c>
      <c s="61">
        <v>2E+3</v>
      </c>
      <c s="61" t="s">
        <v>117</v>
      </c>
      <c s="61">
        <v>2008</v>
      </c>
      <c s="59" t="s">
        <v>87</v>
      </c>
      <c s="59" t="s">
        <v>187</v>
      </c>
      <c s="61">
        <v>0.3</v>
      </c>
      <c s="61">
        <v>0.1</v>
      </c>
      <c r="M19" s="12"/>
    </row>
    <row r="20" customHeight="1">
      <c r="A20" s="61" t="s">
        <v>223</v>
      </c>
      <c s="61">
        <v>2E+3</v>
      </c>
      <c s="61" t="s">
        <v>117</v>
      </c>
      <c s="61">
        <v>2009</v>
      </c>
      <c s="59" t="s">
        <v>87</v>
      </c>
      <c s="59" t="s">
        <v>188</v>
      </c>
      <c s="61">
        <v>0.3</v>
      </c>
      <c s="61">
        <v>0.1</v>
      </c>
      <c r="M20" s="12"/>
    </row>
    <row r="21" customHeight="1">
      <c r="A21" s="61" t="s">
        <v>223</v>
      </c>
      <c s="61">
        <v>2E+3</v>
      </c>
      <c s="61" t="s">
        <v>117</v>
      </c>
      <c s="61">
        <v>2010</v>
      </c>
      <c s="59" t="s">
        <v>87</v>
      </c>
      <c s="59" t="s">
        <v>189</v>
      </c>
      <c s="61">
        <v>0.3</v>
      </c>
      <c s="61">
        <v>0.1</v>
      </c>
      <c r="M21" s="12"/>
    </row>
    <row r="22" customHeight="1">
      <c r="A22" s="61" t="s">
        <v>223</v>
      </c>
      <c s="61">
        <v>2E+3</v>
      </c>
      <c s="61" t="s">
        <v>117</v>
      </c>
      <c s="61">
        <v>2011</v>
      </c>
      <c s="59" t="s">
        <v>90</v>
      </c>
      <c s="59" t="s">
        <v>187</v>
      </c>
      <c s="61">
        <v>0.3</v>
      </c>
      <c s="61">
        <v>0.1</v>
      </c>
      <c r="M22" s="12"/>
    </row>
    <row r="23" customHeight="1">
      <c r="A23" s="61" t="s">
        <v>223</v>
      </c>
      <c s="61">
        <v>2E+3</v>
      </c>
      <c s="61" t="s">
        <v>117</v>
      </c>
      <c s="61">
        <v>2012</v>
      </c>
      <c s="59" t="s">
        <v>90</v>
      </c>
      <c s="59" t="s">
        <v>188</v>
      </c>
      <c s="61">
        <v>0.3</v>
      </c>
      <c s="61">
        <v>0.1</v>
      </c>
      <c r="M23" s="12"/>
    </row>
    <row r="24" customHeight="1">
      <c r="A24" s="61" t="s">
        <v>223</v>
      </c>
      <c s="61">
        <v>2E+3</v>
      </c>
      <c s="61" t="s">
        <v>117</v>
      </c>
      <c s="61">
        <v>2013</v>
      </c>
      <c s="59" t="s">
        <v>90</v>
      </c>
      <c s="59" t="s">
        <v>189</v>
      </c>
      <c s="61">
        <v>0.3</v>
      </c>
      <c s="61">
        <v>0.1</v>
      </c>
      <c r="M24" s="12"/>
    </row>
    <row r="25" customHeight="1">
      <c r="A25" s="61" t="s">
        <v>223</v>
      </c>
      <c s="61">
        <v>3E+3</v>
      </c>
      <c s="61" t="s">
        <v>121</v>
      </c>
      <c s="61">
        <v>3001</v>
      </c>
      <c s="66" t="s">
        <v>23</v>
      </c>
      <c s="63" t="s">
        <v>22</v>
      </c>
      <c s="71">
        <v>0.01</v>
      </c>
      <c s="61"/>
      <c r="M25" s="12"/>
    </row>
    <row r="26" customHeight="1">
      <c r="A26" s="61" t="s">
        <v>223</v>
      </c>
      <c s="61">
        <v>3E+3</v>
      </c>
      <c s="61" t="s">
        <v>121</v>
      </c>
      <c s="61">
        <v>3002</v>
      </c>
      <c s="66" t="s">
        <v>25</v>
      </c>
      <c s="63" t="s">
        <v>24</v>
      </c>
      <c s="71">
        <v>0.02</v>
      </c>
      <c s="61"/>
      <c r="M26" s="12"/>
    </row>
    <row r="27" customHeight="1">
      <c r="A27" s="61" t="s">
        <v>223</v>
      </c>
      <c s="61">
        <v>4E+3</v>
      </c>
      <c s="61" t="s">
        <v>125</v>
      </c>
      <c s="61">
        <v>4001</v>
      </c>
      <c s="66" t="s">
        <v>26</v>
      </c>
      <c s="61"/>
      <c s="67">
        <v>0.0005</v>
      </c>
      <c s="61"/>
      <c r="M27" s="12"/>
    </row>
    <row r="28" customHeight="1">
      <c r="A28" s="61" t="s">
        <v>223</v>
      </c>
      <c s="61">
        <v>5E+3</v>
      </c>
      <c s="61" t="s">
        <v>127</v>
      </c>
      <c s="61">
        <v>5001</v>
      </c>
      <c s="66" t="s">
        <v>28</v>
      </c>
      <c s="61"/>
      <c s="68">
        <v>0.1</v>
      </c>
      <c s="61"/>
      <c r="M28" s="12"/>
    </row>
    <row r="29" customHeight="1">
      <c r="A29" s="61" t="s">
        <v>223</v>
      </c>
      <c s="61">
        <v>6E+3</v>
      </c>
      <c s="61" t="s">
        <v>128</v>
      </c>
      <c s="61">
        <v>6001</v>
      </c>
      <c s="66" t="s">
        <v>129</v>
      </c>
      <c s="66">
        <v>656.1</v>
      </c>
      <c s="69">
        <v>20</v>
      </c>
      <c s="61"/>
      <c r="M29" s="12"/>
    </row>
    <row r="30" customHeight="1">
      <c r="A30" s="61" t="s">
        <v>223</v>
      </c>
      <c s="61">
        <v>6E+3</v>
      </c>
      <c s="61" t="s">
        <v>128</v>
      </c>
      <c s="61">
        <v>6002</v>
      </c>
      <c s="66" t="s">
        <v>131</v>
      </c>
      <c s="66">
        <v>656.1</v>
      </c>
      <c s="69">
        <v>20</v>
      </c>
      <c s="61"/>
      <c r="M30" s="12"/>
    </row>
    <row r="31" customHeight="1">
      <c r="A31" s="61" t="s">
        <v>223</v>
      </c>
      <c s="61">
        <v>6E+3</v>
      </c>
      <c s="61" t="s">
        <v>128</v>
      </c>
      <c s="61">
        <v>6003</v>
      </c>
      <c s="66" t="s">
        <v>132</v>
      </c>
      <c s="66">
        <v>656.1</v>
      </c>
      <c s="69">
        <v>20</v>
      </c>
      <c s="61"/>
      <c r="M31" s="12"/>
    </row>
    <row r="32" customHeight="1">
      <c r="A32" s="61" t="s">
        <v>223</v>
      </c>
      <c s="61">
        <v>6E+3</v>
      </c>
      <c s="61" t="s">
        <v>128</v>
      </c>
      <c s="61">
        <v>6004</v>
      </c>
      <c s="66" t="s">
        <v>133</v>
      </c>
      <c s="66">
        <v>656.1</v>
      </c>
      <c s="69">
        <v>20</v>
      </c>
      <c s="61"/>
      <c r="M32" s="12"/>
    </row>
    <row r="33" customHeight="1">
      <c r="A33" s="61" t="s">
        <v>223</v>
      </c>
      <c s="61">
        <v>6E+3</v>
      </c>
      <c s="61" t="s">
        <v>128</v>
      </c>
      <c s="61">
        <v>6005</v>
      </c>
      <c s="66" t="s">
        <v>134</v>
      </c>
      <c s="66">
        <v>656.1</v>
      </c>
      <c s="69">
        <v>20</v>
      </c>
      <c s="61"/>
      <c r="M33" s="12"/>
    </row>
    <row r="34" customHeight="1">
      <c r="A34" s="61" t="s">
        <v>223</v>
      </c>
      <c s="61">
        <v>7E+3</v>
      </c>
      <c s="61" t="s">
        <v>135</v>
      </c>
      <c s="61">
        <v>7001</v>
      </c>
      <c s="61" t="s">
        <v>136</v>
      </c>
      <c s="84">
        <v>500</v>
      </c>
      <c s="70">
        <v>0.05</v>
      </c>
      <c s="61"/>
      <c r="M34" s="12"/>
    </row>
    <row r="35" customHeight="1">
      <c r="A35" s="61" t="s">
        <v>223</v>
      </c>
      <c s="61">
        <v>7E+3</v>
      </c>
      <c s="61" t="s">
        <v>135</v>
      </c>
      <c s="61">
        <v>7002</v>
      </c>
      <c s="61" t="s">
        <v>137</v>
      </c>
      <c s="84">
        <v>500</v>
      </c>
      <c s="60">
        <v>0.005</v>
      </c>
      <c s="61"/>
      <c r="M35" s="12"/>
    </row>
    <row r="36" customHeight="1">
      <c r="A36" s="61" t="s">
        <v>223</v>
      </c>
      <c s="61">
        <v>7E+3</v>
      </c>
      <c s="61" t="s">
        <v>135</v>
      </c>
      <c s="61">
        <v>7003</v>
      </c>
      <c s="61" t="s">
        <v>138</v>
      </c>
      <c s="84">
        <v>250</v>
      </c>
      <c s="70">
        <v>0.05</v>
      </c>
      <c s="61"/>
      <c r="M36" s="12"/>
    </row>
    <row r="37" customHeight="1">
      <c r="A37" s="61" t="s">
        <v>223</v>
      </c>
      <c s="61">
        <v>7E+3</v>
      </c>
      <c s="61" t="s">
        <v>135</v>
      </c>
      <c s="61">
        <v>7004</v>
      </c>
      <c s="61" t="s">
        <v>139</v>
      </c>
      <c s="84">
        <v>250</v>
      </c>
      <c s="60">
        <v>0.005</v>
      </c>
      <c s="61"/>
      <c r="M37" s="12"/>
    </row>
    <row r="38" customHeight="1">
      <c r="A38" s="61" t="s">
        <v>223</v>
      </c>
      <c s="61">
        <v>8E+3</v>
      </c>
      <c s="61" t="s">
        <v>140</v>
      </c>
      <c s="61">
        <v>8001</v>
      </c>
      <c s="61" t="s">
        <v>141</v>
      </c>
      <c s="84">
        <v>1090</v>
      </c>
      <c s="73">
        <v>0.1</v>
      </c>
      <c s="61"/>
      <c r="M38" s="12"/>
    </row>
    <row r="39" customHeight="1">
      <c r="A39" s="61" t="s">
        <v>223</v>
      </c>
      <c s="61">
        <v>8E+3</v>
      </c>
      <c s="61" t="s">
        <v>140</v>
      </c>
      <c s="61">
        <v>8002</v>
      </c>
      <c s="61" t="s">
        <v>142</v>
      </c>
      <c s="84">
        <v>1090</v>
      </c>
      <c s="70">
        <v>0.02</v>
      </c>
      <c s="61"/>
      <c r="M39" s="12"/>
    </row>
    <row r="40" customHeight="1">
      <c r="A40" s="61" t="s">
        <v>223</v>
      </c>
      <c s="61">
        <v>8E+3</v>
      </c>
      <c s="61" t="s">
        <v>140</v>
      </c>
      <c s="61">
        <v>8003</v>
      </c>
      <c s="61" t="s">
        <v>143</v>
      </c>
      <c s="84">
        <v>200</v>
      </c>
      <c s="73">
        <v>0.1</v>
      </c>
      <c s="61"/>
      <c r="M40" s="12"/>
    </row>
    <row r="41" customHeight="1">
      <c r="A41" s="61" t="s">
        <v>223</v>
      </c>
      <c s="64">
        <v>8E+3</v>
      </c>
      <c s="64" t="s">
        <v>140</v>
      </c>
      <c s="64">
        <v>8004</v>
      </c>
      <c s="64" t="s">
        <v>144</v>
      </c>
      <c s="84">
        <v>200</v>
      </c>
      <c s="70">
        <v>0.02</v>
      </c>
      <c s="64"/>
      <c r="M41" s="12"/>
    </row>
    <row r="42" customHeight="1">
      <c r="A42" s="61" t="s">
        <v>223</v>
      </c>
      <c s="64">
        <v>9E+3</v>
      </c>
      <c s="64" t="s">
        <v>145</v>
      </c>
      <c s="64">
        <v>9001</v>
      </c>
      <c s="66" t="s">
        <v>145</v>
      </c>
      <c s="64" t="s">
        <v>196</v>
      </c>
      <c s="72">
        <v>0.1</v>
      </c>
      <c s="64"/>
      <c r="M42" s="12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 showRowColHeaders="0">
      <pane topLeftCell="A1"/>
      <selection activeCellId="0" activeCell="A1" sqref="A1"/>
    </sheetView>
  </sheetViews>
  <sheetFormatPr defaultColWidth="9" defaultRowHeight="14.25" customHeight="1"/>
  <cols>
    <col min="1" max="1" width="10.13" customWidth="1" style="11"/>
    <col min="2" max="2" width="12.5" customWidth="1" style="11"/>
    <col min="3" max="3" width="9" style="206"/>
    <col min="4" max="4" width="29.25" customWidth="1" style="206"/>
    <col min="5" max="5" width="12.38" customWidth="1" style="206"/>
    <col min="6" max="6" width="9" customWidth="1" style="206"/>
    <col min="7" max="16384" width="9" style="206"/>
  </cols>
  <sheetData>
    <row r="1" customHeight="1">
      <c r="A1" s="262" t="s">
        <v>6</v>
      </c>
      <c s="262" t="s">
        <v>5</v>
      </c>
      <c r="D1" s="52" t="s">
        <v>226</v>
      </c>
      <c s="52" t="s">
        <v>225</v>
      </c>
    </row>
    <row r="2" customHeight="1">
      <c r="A2" s="329" t="s">
        <v>211</v>
      </c>
      <c s="329" t="s">
        <v>214</v>
      </c>
      <c r="D2" s="61" t="s">
        <v>111</v>
      </c>
      <c s="61">
        <v>1E+3</v>
      </c>
    </row>
    <row r="3" customHeight="1">
      <c r="A3" s="329" t="s">
        <v>212</v>
      </c>
      <c s="329" t="s">
        <v>338</v>
      </c>
      <c r="D3" s="61" t="s">
        <v>117</v>
      </c>
      <c s="61">
        <v>2E+3</v>
      </c>
    </row>
    <row r="4" customHeight="1">
      <c r="A4" s="329" t="s">
        <v>213</v>
      </c>
      <c s="329" t="s">
        <v>339</v>
      </c>
      <c r="D4" s="61" t="s">
        <v>121</v>
      </c>
      <c s="61">
        <v>3E+3</v>
      </c>
    </row>
    <row r="5" customHeight="1">
      <c r="A5" s="329" t="s">
        <v>333</v>
      </c>
      <c s="329" t="s">
        <v>340</v>
      </c>
      <c r="D5" s="61" t="s">
        <v>125</v>
      </c>
      <c s="61">
        <v>4E+3</v>
      </c>
    </row>
    <row r="6" customHeight="1">
      <c r="A6" s="329" t="s">
        <v>334</v>
      </c>
      <c s="329" t="s">
        <v>341</v>
      </c>
      <c r="D6" s="61" t="s">
        <v>127</v>
      </c>
      <c s="61">
        <v>5E+3</v>
      </c>
    </row>
    <row r="7" customHeight="1">
      <c r="A7" s="329" t="s">
        <v>335</v>
      </c>
      <c s="329" t="s">
        <v>215</v>
      </c>
      <c r="D7" s="61" t="s">
        <v>128</v>
      </c>
      <c s="61">
        <v>6E+3</v>
      </c>
    </row>
    <row r="8" customHeight="1">
      <c r="A8" s="329" t="s">
        <v>336</v>
      </c>
      <c s="329" t="s">
        <v>223</v>
      </c>
      <c r="D8" s="61" t="s">
        <v>135</v>
      </c>
      <c s="61">
        <v>7E+3</v>
      </c>
    </row>
    <row r="9" customHeight="1">
      <c r="A9" s="74" t="s">
        <v>337</v>
      </c>
      <c s="74" t="s">
        <v>342</v>
      </c>
      <c r="D9" s="64" t="s">
        <v>140</v>
      </c>
      <c s="64">
        <v>8E+3</v>
      </c>
    </row>
    <row r="10" customHeight="1">
      <c r="A10" s="13"/>
      <c s="13"/>
      <c r="D10" s="64" t="s">
        <v>145</v>
      </c>
      <c s="64">
        <v>9E+3</v>
      </c>
    </row>
    <row r="11" customHeight="1">
      <c r="A11" s="13"/>
      <c s="13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 showRowColHeaders="0">
      <pane topLeftCell="A1"/>
      <selection activeCellId="0" activeCell="A1" sqref="A1"/>
    </sheetView>
  </sheetViews>
  <sheetFormatPr defaultColWidth="9" defaultRowHeight="14.25" customHeight="1"/>
  <cols>
    <col min="1" max="1" width="23.75" customWidth="1" style="206"/>
    <col min="2" max="2" width="49" customWidth="1" style="206"/>
    <col min="3" max="3" width="12" customWidth="1" style="206"/>
    <col min="4" max="16384" width="9" style="206"/>
  </cols>
  <sheetData>
    <row r="1" customHeight="1">
      <c r="A1" s="78" t="s">
        <v>308</v>
      </c>
      <c s="78" t="s">
        <v>309</v>
      </c>
      <c s="78" t="s">
        <v>310</v>
      </c>
      <c s="78" t="s">
        <v>321</v>
      </c>
      <c s="78" t="s">
        <v>322</v>
      </c>
    </row>
    <row r="2" customHeight="1">
      <c r="A2" s="75" t="str">
        <f ca="1" ref="A2:A18" t="shared" si="0">MID(CELL("filename"),FIND("[",CELL("filename"),1)+1,FIND(".",CELL("filename"),1)-FIND("[",CELL("filename"),1)-1)</f>
        <v>31U1703-98-0012</v>
      </c>
      <c s="58" t="s">
        <v>311</v>
      </c>
      <c s="109"/>
      <c s="75"/>
      <c s="75"/>
    </row>
    <row r="3" customHeight="1">
      <c r="A3" s="75" t="str">
        <f ca="1" t="shared" si="0"/>
        <v>31U1703-98-0012</v>
      </c>
      <c s="53" t="s">
        <v>301</v>
      </c>
      <c s="109"/>
      <c s="75"/>
      <c s="75"/>
    </row>
    <row r="4" customHeight="1">
      <c r="A4" s="75" t="str">
        <f ca="1" t="shared" si="0"/>
        <v>31U1703-98-0012</v>
      </c>
      <c s="53" t="s">
        <v>302</v>
      </c>
      <c s="109"/>
      <c s="75"/>
      <c s="75"/>
    </row>
    <row r="5" customHeight="1">
      <c r="A5" s="75" t="str">
        <f ca="1" t="shared" si="0"/>
        <v>31U1703-98-0012</v>
      </c>
      <c s="53" t="s">
        <v>303</v>
      </c>
      <c s="109"/>
      <c s="75"/>
      <c s="75"/>
    </row>
    <row r="6" customHeight="1">
      <c r="A6" s="75" t="str">
        <f ca="1" t="shared" si="0"/>
        <v>31U1703-98-0012</v>
      </c>
      <c s="53" t="s">
        <v>304</v>
      </c>
      <c s="109"/>
      <c s="75"/>
      <c s="75"/>
    </row>
    <row r="7" customHeight="1">
      <c r="A7" s="75" t="str">
        <f ca="1" t="shared" si="0"/>
        <v>31U1703-98-0012</v>
      </c>
      <c s="53" t="s">
        <v>305</v>
      </c>
      <c s="109"/>
      <c s="75"/>
      <c s="75"/>
    </row>
    <row r="8" customHeight="1">
      <c r="A8" s="75" t="str">
        <f ca="1" t="shared" si="0"/>
        <v>31U1703-98-0012</v>
      </c>
      <c s="53" t="s">
        <v>306</v>
      </c>
      <c s="109"/>
      <c s="75"/>
      <c s="75"/>
    </row>
    <row r="9" customHeight="1">
      <c r="A9" s="75" t="str">
        <f ca="1" t="shared" si="0"/>
        <v>31U1703-98-0012</v>
      </c>
      <c s="53" t="s">
        <v>307</v>
      </c>
      <c s="109"/>
      <c s="75"/>
      <c s="75"/>
    </row>
    <row r="10" customHeight="1">
      <c r="A10" s="75" t="str">
        <f ca="1" t="shared" si="0"/>
        <v>31U1703-98-0012</v>
      </c>
      <c s="58" t="s">
        <v>312</v>
      </c>
      <c s="109" t="s">
        <v>359</v>
      </c>
      <c s="75">
        <v>1001</v>
      </c>
      <c s="75">
        <v>1001</v>
      </c>
    </row>
    <row r="11" customHeight="1">
      <c r="A11" s="75" t="str">
        <f ca="1" t="shared" si="0"/>
        <v>31U1703-98-0012</v>
      </c>
      <c s="58" t="s">
        <v>313</v>
      </c>
      <c s="109" t="s">
        <v>361</v>
      </c>
      <c s="75">
        <v>1002</v>
      </c>
      <c s="75">
        <v>1002</v>
      </c>
    </row>
    <row r="12" customHeight="1">
      <c r="A12" s="75" t="str">
        <f ca="1" t="shared" si="0"/>
        <v>31U1703-98-0012</v>
      </c>
      <c s="58" t="s">
        <v>314</v>
      </c>
      <c s="109" t="s">
        <v>363</v>
      </c>
      <c s="75">
        <v>2001</v>
      </c>
      <c s="75">
        <v>2001</v>
      </c>
    </row>
    <row r="13" customHeight="1">
      <c r="A13" s="75" t="str">
        <f ca="1" t="shared" si="0"/>
        <v>31U1703-98-0012</v>
      </c>
      <c s="58" t="s">
        <v>315</v>
      </c>
      <c s="109" t="s">
        <v>364</v>
      </c>
      <c s="75">
        <v>2002</v>
      </c>
      <c s="75">
        <v>2001</v>
      </c>
    </row>
    <row r="14" customHeight="1">
      <c r="A14" s="75" t="str">
        <f ca="1" t="shared" si="0"/>
        <v>31U1703-98-0012</v>
      </c>
      <c s="58" t="s">
        <v>316</v>
      </c>
      <c s="109" t="s">
        <v>365</v>
      </c>
      <c s="75">
        <v>2003</v>
      </c>
      <c s="75">
        <v>2001</v>
      </c>
    </row>
    <row r="15" customHeight="1">
      <c r="A15" s="75" t="str">
        <f ca="1" t="shared" si="0"/>
        <v>31U1703-98-0012</v>
      </c>
      <c s="58" t="s">
        <v>317</v>
      </c>
      <c s="109"/>
      <c s="75">
        <v>2004</v>
      </c>
      <c s="75">
        <v>2001</v>
      </c>
    </row>
    <row r="16" customHeight="1">
      <c r="A16" s="75" t="str">
        <f ca="1" t="shared" si="0"/>
        <v>31U1703-98-0012</v>
      </c>
      <c s="58" t="s">
        <v>318</v>
      </c>
      <c s="109"/>
      <c s="75">
        <v>3001</v>
      </c>
      <c s="75">
        <v>3001</v>
      </c>
    </row>
    <row r="17" customHeight="1">
      <c r="A17" s="75" t="str">
        <f ca="1" t="shared" si="0"/>
        <v>31U1703-98-0012</v>
      </c>
      <c s="58" t="s">
        <v>319</v>
      </c>
      <c s="109"/>
      <c s="75">
        <v>3002</v>
      </c>
      <c s="75">
        <v>3002</v>
      </c>
    </row>
    <row r="18" customHeight="1">
      <c r="A18" s="75" t="str">
        <f ca="1" t="shared" si="0"/>
        <v>31U1703-98-0012</v>
      </c>
      <c s="107" t="s">
        <v>320</v>
      </c>
      <c s="109" t="s">
        <v>362</v>
      </c>
      <c s="75">
        <v>4001</v>
      </c>
      <c s="75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B34"/>
  <sheetViews>
    <sheetView topLeftCell="A1" workbookViewId="0" zoomScale="70" showGridLines="0" showRowColHeaders="0" zoomScaleNormal="70">
      <pane topLeftCell="A1"/>
      <selection activeCellId="0" activeCell="A1" sqref="A1"/>
    </sheetView>
  </sheetViews>
  <sheetFormatPr defaultColWidth="8.88" defaultRowHeight="14.25" customHeight="1"/>
  <cols>
    <col min="1" max="1" width="29.25" customWidth="1" style="122"/>
    <col min="2" max="2" width="18.38" customWidth="1" style="118"/>
    <col min="3" max="3" width="21.5" customWidth="1" style="118"/>
    <col min="4" max="4" width="40" customWidth="1" style="118"/>
    <col min="5" max="5" width="46.5" customWidth="1" style="118"/>
    <col min="6" max="6" width="8.88" style="118"/>
    <col min="7" max="7" width="10.5" customWidth="1" style="118"/>
    <col min="8" max="8" width="20.13" customWidth="1" style="118"/>
    <col min="9" max="9" width="79.5" customWidth="1" hidden="1" style="118"/>
    <col min="10" max="10" width="15.38" customWidth="1" style="118"/>
    <col min="11" max="11" width="11.5" customWidth="1" style="118"/>
    <col min="12" max="12" width="9.63" customWidth="1" style="118"/>
    <col min="13" max="13" width="8.5" customWidth="1" style="118"/>
    <col min="14" max="14" width="9.88" customWidth="1" style="118"/>
    <col min="15" max="15" width="10" customWidth="1" style="118"/>
    <col min="16" max="16" width="9.63" customWidth="1" style="118"/>
    <col min="17" max="17" width="8.5" customWidth="1" style="118"/>
    <col min="18" max="18" width="9.13" customWidth="1" style="118"/>
    <col min="19" max="19" width="9.5" customWidth="1" style="118"/>
    <col min="20" max="21" width="9.63" customWidth="1" style="118"/>
    <col min="22" max="22" width="18" customWidth="1" style="118"/>
    <col min="23" max="23" width="12.38" customWidth="1" style="118"/>
    <col min="24" max="24" width="18.5" customWidth="1" style="118"/>
    <col min="25" max="25" width="19.38" customWidth="1" style="118"/>
    <col min="26" max="26" width="15.13" customWidth="1" hidden="1" style="10"/>
    <col min="27" max="27" width="11.63" customWidth="1" style="10"/>
    <col min="28" max="28" width="26.25" customWidth="1" style="127"/>
    <col min="29" max="16384" width="8.88" style="118"/>
  </cols>
  <sheetData>
    <row r="1" ht="40.5" customFormat="1" s="114">
      <c r="A1" s="108" t="s">
        <v>96</v>
      </c>
      <c s="108" t="s">
        <v>97</v>
      </c>
      <c s="108" t="s">
        <v>237</v>
      </c>
      <c s="108" t="s">
        <v>98</v>
      </c>
      <c s="108" t="s">
        <v>99</v>
      </c>
      <c s="108" t="s">
        <v>64</v>
      </c>
      <c s="108" t="s">
        <v>100</v>
      </c>
      <c s="108" t="s">
        <v>57</v>
      </c>
      <c s="262" t="s">
        <v>101</v>
      </c>
      <c s="108" t="s">
        <v>101</v>
      </c>
      <c s="9" t="s">
        <v>204</v>
      </c>
      <c s="9" t="s">
        <v>102</v>
      </c>
      <c s="9" t="s">
        <v>62</v>
      </c>
      <c s="9" t="s">
        <v>103</v>
      </c>
      <c s="9" t="s">
        <v>104</v>
      </c>
      <c s="9" t="s">
        <v>105</v>
      </c>
      <c s="9" t="s">
        <v>67</v>
      </c>
      <c s="9" t="s">
        <v>30</v>
      </c>
      <c s="9" t="s">
        <v>106</v>
      </c>
      <c s="9" t="s">
        <v>107</v>
      </c>
      <c s="9" t="s">
        <v>241</v>
      </c>
      <c s="108" t="s">
        <v>59</v>
      </c>
      <c s="108" t="s">
        <v>108</v>
      </c>
      <c s="108" t="s">
        <v>109</v>
      </c>
      <c s="108" t="s">
        <v>110</v>
      </c>
      <c s="108" t="s">
        <v>225</v>
      </c>
      <c s="108" t="s">
        <v>227</v>
      </c>
      <c s="111" t="s">
        <v>58</v>
      </c>
    </row>
    <row r="2" ht="44.25" customHeight="1">
      <c r="A2" s="123" t="s">
        <v>111</v>
      </c>
      <c s="120" t="s">
        <v>326</v>
      </c>
      <c s="337"/>
      <c s="123" t="str">
        <f>IF(L2="","",'字段对应'!$B$10&amp;"="&amp;VLOOKUP(L2,'基础信息'!$I$2:$J$6,2,0)&amp;";")&amp;IF(M2="","",'字段对应'!$B$11&amp;"="&amp;VLOOKUP(M2,'基础信息'!$K$2:$L$6,2,0)&amp;";")&amp;IF(N2="","",'字段对应'!$C$2&amp;"="&amp;N2&amp;","&amp;O2&amp;","&amp;P2&amp;";")&amp;IF(Q2="","",'字段对应'!$B$13&amp;"="&amp;Q2&amp;";")&amp;IF(R2="","",'字段对应'!$B$14&amp;"="&amp;R2&amp;";")&amp;IF(U2="","",'字段对应'!$B$22&amp;"="&amp;U2&amp;";")&amp;IF(K2="","",'字段对应'!$B$21&amp;"="&amp;VLOOKUP(K2,'基础信息'!$F$2:$G$4,2,0))</f>
        <v>PhotoMode=2;ScanSpeed=2;WlRange=660,650,0.02;Gain=4;Slit1=2.0;LampPos=1</v>
      </c>
      <c s="123" t="str">
        <f>IF(W2="","",'检测项信息'!W2&amp;":"&amp;'字段对应'!$B$16&amp;"|")&amp;IF(X2="","",X2&amp;":"&amp;IF(V2="是",'字段对应'!$C$17,'字段对应'!$B$17&amp;";"&amp;IF(H2="","",'字段对应'!$B$15&amp;"="&amp;'检测项信息'!H2))&amp;"|")&amp;IF(Y2="",":",Y2&amp;":")&amp;IF(V2="是",'字段对应'!$C$18,'字段对应'!$B$18&amp;";"&amp;IF(H2="","",'字段对应'!$B$15&amp;"="&amp;'检测项信息'!H2)&amp;IF(AND(T2="",S2=""),"",";"&amp;'字段对应'!$B$20&amp;"="&amp;T2&amp;";"&amp;'字段对应'!$B$19&amp;"="&amp;S2))</f>
        <v>空气:Scan</v>
      </c>
      <c s="123">
        <v>3</v>
      </c>
      <c s="123">
        <v>1</v>
      </c>
      <c s="123" t="s">
        <v>116</v>
      </c>
      <c s="123" t="str">
        <f>VLOOKUP(J2,'字段对应'!$D$2:$E$8,2,0)</f>
        <v>Validation.ViewModel.DataStructure.FindPeakAndAverageUVTestTool</v>
      </c>
      <c s="123" t="s">
        <v>113</v>
      </c>
      <c s="106" t="s">
        <v>17</v>
      </c>
      <c s="106" t="s">
        <v>78</v>
      </c>
      <c s="106" t="s">
        <v>79</v>
      </c>
      <c s="106">
        <v>660</v>
      </c>
      <c s="106">
        <v>650</v>
      </c>
      <c s="106">
        <v>0.02</v>
      </c>
      <c s="106">
        <v>4</v>
      </c>
      <c s="106" t="s">
        <v>239</v>
      </c>
      <c s="106"/>
      <c s="106"/>
      <c s="106"/>
      <c s="123" t="s">
        <v>68</v>
      </c>
      <c s="123"/>
      <c s="123"/>
      <c s="123" t="s">
        <v>115</v>
      </c>
      <c s="123">
        <f>VLOOKUP(A2,'对应信息'!$D$2:$E$10,2,0)</f>
        <v>1E+3</v>
      </c>
      <c s="123">
        <f ref="AA2:AA11" t="shared" si="0">IF(Z1=Z2,AA1+1,Z2+1)</f>
        <v>1001</v>
      </c>
      <c s="124"/>
    </row>
    <row r="3" ht="44.25" customHeight="1">
      <c r="A3" s="123" t="s">
        <v>111</v>
      </c>
      <c s="120" t="s">
        <v>327</v>
      </c>
      <c s="337"/>
      <c s="123" t="str">
        <f>IF(L3="","",'字段对应'!$B$10&amp;"="&amp;VLOOKUP(L3,'基础信息'!$I$2:$J$6,2,0)&amp;";")&amp;IF(M3="","",'字段对应'!$B$11&amp;"="&amp;VLOOKUP(M3,'基础信息'!$K$2:$L$6,2,0)&amp;";")&amp;IF(N3="","",'字段对应'!$C$2&amp;"="&amp;N3&amp;","&amp;O3&amp;","&amp;P3&amp;";")&amp;IF(Q3="","",'字段对应'!$B$13&amp;"="&amp;Q3&amp;";")&amp;IF(R3="","",'字段对应'!$B$14&amp;"="&amp;R3&amp;";")&amp;IF(U3="","",'字段对应'!$B$22&amp;"="&amp;U3&amp;";")&amp;IF(K3="","",'字段对应'!$B$21&amp;"="&amp;VLOOKUP(K3,'基础信息'!$F$2:$G$4,2,0))</f>
        <v>PhotoMode=2;ScanSpeed=2;WlRange=490,480,0.02;Gain=4;Slit1=2.0;LampPos=1</v>
      </c>
      <c s="123" t="str">
        <f>IF(W3="","",'检测项信息'!W3&amp;":"&amp;'字段对应'!$B$16&amp;"|")&amp;IF(X3="","",X3&amp;":"&amp;IF(V3="是",'字段对应'!$C$17,'字段对应'!$B$17&amp;";"&amp;IF(H3="","",'字段对应'!$B$15&amp;"="&amp;'检测项信息'!H3))&amp;"|")&amp;IF(Y3="",":",Y3&amp;":")&amp;IF(V3="是",'字段对应'!$C$18,'字段对应'!$B$18&amp;";"&amp;IF(H3="","",'字段对应'!$B$15&amp;"="&amp;'检测项信息'!H3)&amp;IF(AND(T3="",S3=""),"",";"&amp;'字段对应'!$B$20&amp;"="&amp;T3&amp;";"&amp;'字段对应'!$B$19&amp;"="&amp;S3))</f>
        <v>空气:Scan</v>
      </c>
      <c s="123">
        <v>3</v>
      </c>
      <c s="123">
        <v>1</v>
      </c>
      <c s="120">
        <v>486</v>
      </c>
      <c s="123" t="str">
        <f>VLOOKUP(J3,'字段对应'!$D$2:$E$8,2,0)</f>
        <v>Validation.ViewModel.DataStructure.FindPeakAndAverageUVTestTool</v>
      </c>
      <c s="123" t="s">
        <v>113</v>
      </c>
      <c s="106" t="s">
        <v>17</v>
      </c>
      <c s="106" t="s">
        <v>78</v>
      </c>
      <c s="106" t="s">
        <v>79</v>
      </c>
      <c s="106">
        <v>490</v>
      </c>
      <c s="106">
        <v>480</v>
      </c>
      <c s="106">
        <v>0.02</v>
      </c>
      <c s="106">
        <v>4</v>
      </c>
      <c s="106" t="s">
        <v>239</v>
      </c>
      <c s="106"/>
      <c s="106"/>
      <c s="106"/>
      <c s="123" t="s">
        <v>68</v>
      </c>
      <c s="123"/>
      <c s="123"/>
      <c s="123" t="s">
        <v>115</v>
      </c>
      <c s="123">
        <f>VLOOKUP(A3,'对应信息'!$D$2:$E$10,2,0)</f>
        <v>1E+3</v>
      </c>
      <c s="123">
        <f t="shared" si="0"/>
        <v>1002</v>
      </c>
      <c s="124"/>
    </row>
    <row r="4" ht="47.25" customHeight="1">
      <c r="A4" s="123" t="s">
        <v>111</v>
      </c>
      <c s="123" t="s">
        <v>16</v>
      </c>
      <c s="123"/>
      <c s="123" t="str">
        <f>IF(L4="","",'字段对应'!$B$10&amp;"="&amp;VLOOKUP(L4,'基础信息'!$I$2:$J$6,2,0)&amp;";")&amp;IF(M4="","",'字段对应'!$B$11&amp;"="&amp;VLOOKUP(M4,'基础信息'!$K$2:$L$6,2,0)&amp;";")&amp;IF(N4="","",'字段对应'!$C$2&amp;"="&amp;N4&amp;","&amp;O4&amp;","&amp;P4&amp;";")&amp;IF(Q4="","",'字段对应'!$B$13&amp;"="&amp;Q4&amp;";")&amp;IF(R4="","",'字段对应'!$B$14&amp;"="&amp;R4&amp;";")&amp;IF(U4="","",'字段对应'!$B$22&amp;"="&amp;U4&amp;";")&amp;IF(K4="","",'字段对应'!$B$21&amp;"="&amp;VLOOKUP(K4,'基础信息'!$F$2:$G$4,2,0))</f>
        <v>PhotoMode=0;ScanSpeed=2;WlRange=810,800,0.1;Slit1=2.0;</v>
      </c>
      <c s="123" t="str">
        <f>IF(W4="","",'检测项信息'!W4&amp;":"&amp;'字段对应'!$B$16&amp;"|")&amp;IF(X4="","",X4&amp;":"&amp;IF(V4="是",'字段对应'!$C$17,'字段对应'!$B$17&amp;";"&amp;IF(H4="","",'字段对应'!$B$15&amp;"="&amp;'检测项信息'!H4))&amp;"|")&amp;IF(Y4="",":",Y4&amp;":")&amp;IF(V4="是",'字段对应'!$C$18,'字段对应'!$B$18&amp;";"&amp;IF(H4="","",'字段对应'!$B$15&amp;"="&amp;'检测项信息'!H4)&amp;IF(AND(T4="",S4=""),"",";"&amp;'字段对应'!$B$20&amp;"="&amp;T4&amp;";"&amp;'字段对应'!$B$19&amp;"="&amp;S4))</f>
        <v>黑挡块:Dark|空气:BaseLine|镨钕滤光片:Scan</v>
      </c>
      <c s="123">
        <v>3</v>
      </c>
      <c s="123">
        <v>1</v>
      </c>
      <c s="123" t="s">
        <v>112</v>
      </c>
      <c s="123" t="str">
        <f>VLOOKUP(J4,'字段对应'!$D$2:$E$8,2,0)</f>
        <v>Validation.ViewModel.DataStructure.FindPeakAndAverageUVTestTool</v>
      </c>
      <c s="123" t="s">
        <v>113</v>
      </c>
      <c s="106"/>
      <c s="106" t="s">
        <v>69</v>
      </c>
      <c s="106" t="s">
        <v>79</v>
      </c>
      <c s="106">
        <v>810</v>
      </c>
      <c s="106">
        <v>800</v>
      </c>
      <c s="106">
        <v>0.1</v>
      </c>
      <c s="106"/>
      <c s="106" t="s">
        <v>239</v>
      </c>
      <c s="106"/>
      <c s="106"/>
      <c s="106"/>
      <c s="123" t="s">
        <v>68</v>
      </c>
      <c s="123" t="s">
        <v>114</v>
      </c>
      <c s="123" t="s">
        <v>115</v>
      </c>
      <c s="123" t="s">
        <v>16</v>
      </c>
      <c s="123">
        <f>VLOOKUP(A4,'对应信息'!$D$2:$E$10,2,0)</f>
        <v>1E+3</v>
      </c>
      <c s="123">
        <f t="shared" si="0"/>
        <v>1003</v>
      </c>
      <c s="124"/>
    </row>
    <row r="5" ht="44.25" customHeight="1">
      <c r="A5" s="123" t="s">
        <v>111</v>
      </c>
      <c s="120" t="s">
        <v>207</v>
      </c>
      <c s="123"/>
      <c s="123" t="str">
        <f>IF(L5="","",'字段对应'!$B$10&amp;"="&amp;VLOOKUP(L5,'基础信息'!$I$2:$J$6,2,0)&amp;";")&amp;IF(M5="","",'字段对应'!$B$11&amp;"="&amp;VLOOKUP(M5,'基础信息'!$K$2:$L$6,2,0)&amp;";")&amp;IF(N5="","",'字段对应'!$C$2&amp;"="&amp;N5&amp;","&amp;O5&amp;","&amp;P5&amp;";")&amp;IF(Q5="","",'字段对应'!$B$13&amp;"="&amp;Q5&amp;";")&amp;IF(R5="","",'字段对应'!$B$14&amp;"="&amp;R5&amp;";")&amp;IF(U5="","",'字段对应'!$B$22&amp;"="&amp;U5&amp;";")&amp;IF(K5="","",'字段对应'!$B$21&amp;"="&amp;VLOOKUP(K5,'基础信息'!$F$2:$G$4,2,0))</f>
        <v>PhotoMode=0;ScanSpeed=2;WlRange=645,235,0.1;Slit1=2.0;</v>
      </c>
      <c s="123" t="str">
        <f>IF(W5="","",'检测项信息'!W5&amp;":"&amp;'字段对应'!$B$16&amp;"|")&amp;IF(X5="","",X5&amp;":"&amp;IF(V5="是",'字段对应'!$C$17,'字段对应'!$B$17&amp;";"&amp;IF(H5="","",'字段对应'!$B$15&amp;"="&amp;'检测项信息'!H5))&amp;"|")&amp;IF(Y5="",":",Y5&amp;":")&amp;IF(V5="是",'字段对应'!$C$18,'字段对应'!$B$18&amp;";"&amp;IF(H5="","",'字段对应'!$B$15&amp;"="&amp;'检测项信息'!H5)&amp;IF(AND(T5="",S5=""),"",";"&amp;'字段对应'!$B$20&amp;"="&amp;T5&amp;";"&amp;'字段对应'!$B$19&amp;"="&amp;S5))</f>
        <v>黑挡块:Dark|空气:BaseLine|钬溶液:Scan</v>
      </c>
      <c s="123">
        <v>3</v>
      </c>
      <c s="123">
        <v>1</v>
      </c>
      <c s="120" t="s">
        <v>354</v>
      </c>
      <c s="123" t="str">
        <f>VLOOKUP(J5,'字段对应'!$D$2:$E$8,2,0)</f>
        <v>Validation.ViewModel.DataStructure.FindPeakAndAverageUVTestTool</v>
      </c>
      <c s="123" t="s">
        <v>113</v>
      </c>
      <c s="338"/>
      <c s="106" t="s">
        <v>69</v>
      </c>
      <c s="106" t="s">
        <v>79</v>
      </c>
      <c s="106">
        <v>645</v>
      </c>
      <c s="106">
        <v>235</v>
      </c>
      <c s="106">
        <v>0.1</v>
      </c>
      <c s="106"/>
      <c s="106" t="s">
        <v>239</v>
      </c>
      <c s="106"/>
      <c s="106"/>
      <c s="106"/>
      <c s="123" t="s">
        <v>68</v>
      </c>
      <c s="123" t="s">
        <v>114</v>
      </c>
      <c s="123" t="s">
        <v>115</v>
      </c>
      <c s="123" t="s">
        <v>207</v>
      </c>
      <c s="123">
        <f>VLOOKUP(A5,'对应信息'!$D$2:$E$10,2,0)</f>
        <v>1E+3</v>
      </c>
      <c s="123">
        <f t="shared" si="0"/>
        <v>1004</v>
      </c>
      <c s="124"/>
    </row>
    <row r="6" ht="28.5">
      <c r="A6" s="336" t="s">
        <v>128</v>
      </c>
      <c s="120" t="s">
        <v>129</v>
      </c>
      <c s="123"/>
      <c s="123" t="str">
        <f>IF(L6="","",'字段对应'!$B$10&amp;"="&amp;VLOOKUP(L6,'基础信息'!$I$2:$J$6,2,0)&amp;";")&amp;IF(M6="","",'字段对应'!$B$11&amp;"="&amp;VLOOKUP(M6,'基础信息'!$K$2:$L$6,2,0)&amp;";")&amp;IF(N6="","",'字段对应'!$C$2&amp;"="&amp;N6&amp;","&amp;O6&amp;","&amp;P6&amp;";")&amp;IF(Q6="","",'字段对应'!$B$13&amp;"="&amp;Q6&amp;";")&amp;IF(R6="","",'字段对应'!$B$14&amp;"="&amp;R6&amp;";")&amp;IF(U6="","",'字段对应'!$B$22&amp;"="&amp;U6&amp;";")&amp;IF(K6="","",'字段对应'!$B$21&amp;"="&amp;VLOOKUP(K6,'基础信息'!$F$2:$G$4,2,0))</f>
        <v>PhotoMode=2;ScanSpeed=2;WlRange=662,650,0.1;Gain=4;Slit1=5.0;LampPos=1</v>
      </c>
      <c s="123" t="str">
        <f>IF(W6="","",'检测项信息'!W6&amp;":"&amp;'字段对应'!$B$16&amp;"|")&amp;IF(X6="","",X6&amp;":"&amp;IF(V6="是",'字段对应'!$C$17,'字段对应'!$B$17&amp;";"&amp;IF(H6="","",'字段对应'!$B$15&amp;"="&amp;'检测项信息'!H6))&amp;"|")&amp;IF(Y6="",":",Y6&amp;":")&amp;IF(V6="是",'字段对应'!$C$18,'字段对应'!$B$18&amp;";"&amp;IF(H6="","",'字段对应'!$B$15&amp;"="&amp;'检测项信息'!H6)&amp;IF(AND(T6="",S6=""),"",";"&amp;'字段对应'!$B$20&amp;"="&amp;T6&amp;";"&amp;'字段对应'!$B$19&amp;"="&amp;S6))</f>
        <v>空气:Scan</v>
      </c>
      <c s="123">
        <v>1</v>
      </c>
      <c s="123"/>
      <c s="123">
        <v>656.1</v>
      </c>
      <c s="123" t="str">
        <f>VLOOKUP(J6,'字段对应'!$D$2:$E$8,2,0)</f>
        <v>Validation.ViewModel.DataStructure.FindHalfPeakUVTestTool</v>
      </c>
      <c s="123" t="s">
        <v>130</v>
      </c>
      <c s="106" t="s">
        <v>17</v>
      </c>
      <c s="106" t="s">
        <v>78</v>
      </c>
      <c s="106" t="s">
        <v>79</v>
      </c>
      <c s="106">
        <v>662</v>
      </c>
      <c s="106">
        <v>650</v>
      </c>
      <c s="106">
        <v>0.1</v>
      </c>
      <c s="106">
        <v>4</v>
      </c>
      <c s="106" t="s">
        <v>255</v>
      </c>
      <c s="106"/>
      <c s="106"/>
      <c s="106"/>
      <c s="123" t="s">
        <v>68</v>
      </c>
      <c s="120"/>
      <c s="123"/>
      <c s="123" t="s">
        <v>115</v>
      </c>
      <c s="123">
        <f>VLOOKUP(A6,'对应信息'!$D$2:$E$10,2,0)</f>
        <v>6E+3</v>
      </c>
      <c s="123">
        <f t="shared" si="0"/>
        <v>6001</v>
      </c>
      <c s="112" t="s">
        <v>255</v>
      </c>
    </row>
    <row r="7" ht="28.5">
      <c r="A7" s="336" t="s">
        <v>128</v>
      </c>
      <c s="120" t="s">
        <v>131</v>
      </c>
      <c s="123"/>
      <c s="123" t="str">
        <f>IF(L7="","",'字段对应'!$B$10&amp;"="&amp;VLOOKUP(L7,'基础信息'!$I$2:$J$6,2,0)&amp;";")&amp;IF(M7="","",'字段对应'!$B$11&amp;"="&amp;VLOOKUP(M7,'基础信息'!$K$2:$L$6,2,0)&amp;";")&amp;IF(N7="","",'字段对应'!$C$2&amp;"="&amp;N7&amp;","&amp;O7&amp;","&amp;P7&amp;";")&amp;IF(Q7="","",'字段对应'!$B$13&amp;"="&amp;Q7&amp;";")&amp;IF(R7="","",'字段对应'!$B$14&amp;"="&amp;R7&amp;";")&amp;IF(U7="","",'字段对应'!$B$22&amp;"="&amp;U7&amp;";")&amp;IF(K7="","",'字段对应'!$B$21&amp;"="&amp;VLOOKUP(K7,'基础信息'!$F$2:$G$4,2,0))</f>
        <v>PhotoMode=2;ScanSpeed=2;WlRange=660,650,0.1;Gain=4;Slit1=2.0;LampPos=1</v>
      </c>
      <c s="123" t="str">
        <f>IF(W7="","",'检测项信息'!W7&amp;":"&amp;'字段对应'!$B$16&amp;"|")&amp;IF(X7="","",X7&amp;":"&amp;IF(V7="是",'字段对应'!$C$17,'字段对应'!$B$17&amp;";"&amp;IF(H7="","",'字段对应'!$B$15&amp;"="&amp;'检测项信息'!H7))&amp;"|")&amp;IF(Y7="",":",Y7&amp;":")&amp;IF(V7="是",'字段对应'!$C$18,'字段对应'!$B$18&amp;";"&amp;IF(H7="","",'字段对应'!$B$15&amp;"="&amp;'检测项信息'!H7)&amp;IF(AND(T7="",S7=""),"",";"&amp;'字段对应'!$B$20&amp;"="&amp;T7&amp;";"&amp;'字段对应'!$B$19&amp;"="&amp;S7))</f>
        <v>空气:Scan</v>
      </c>
      <c s="123">
        <v>1</v>
      </c>
      <c s="123"/>
      <c s="123">
        <v>656.1</v>
      </c>
      <c s="123" t="str">
        <f>VLOOKUP(J7,'字段对应'!$D$2:$E$8,2,0)</f>
        <v>Validation.ViewModel.DataStructure.FindHalfPeakUVTestTool</v>
      </c>
      <c s="123" t="s">
        <v>130</v>
      </c>
      <c s="106" t="s">
        <v>17</v>
      </c>
      <c s="106" t="s">
        <v>78</v>
      </c>
      <c s="106" t="s">
        <v>79</v>
      </c>
      <c s="106">
        <v>660</v>
      </c>
      <c s="106">
        <v>650</v>
      </c>
      <c s="106">
        <v>0.1</v>
      </c>
      <c s="106">
        <v>4</v>
      </c>
      <c s="106" t="s">
        <v>239</v>
      </c>
      <c s="106"/>
      <c s="106"/>
      <c s="106"/>
      <c s="123" t="s">
        <v>68</v>
      </c>
      <c s="123"/>
      <c s="123"/>
      <c s="123" t="s">
        <v>115</v>
      </c>
      <c s="123">
        <f>VLOOKUP(A7,'对应信息'!$D$2:$E$10,2,0)</f>
        <v>6E+3</v>
      </c>
      <c s="123">
        <f t="shared" si="0"/>
        <v>6002</v>
      </c>
      <c s="112" t="s">
        <v>239</v>
      </c>
    </row>
    <row r="8" ht="28.5">
      <c r="A8" s="336" t="s">
        <v>128</v>
      </c>
      <c s="120" t="s">
        <v>132</v>
      </c>
      <c s="123"/>
      <c s="123" t="str">
        <f>IF(L8="","",'字段对应'!$B$10&amp;"="&amp;VLOOKUP(L8,'基础信息'!$I$2:$J$6,2,0)&amp;";")&amp;IF(M8="","",'字段对应'!$B$11&amp;"="&amp;VLOOKUP(M8,'基础信息'!$K$2:$L$6,2,0)&amp;";")&amp;IF(N8="","",'字段对应'!$C$2&amp;"="&amp;N8&amp;","&amp;O8&amp;","&amp;P8&amp;";")&amp;IF(Q8="","",'字段对应'!$B$13&amp;"="&amp;Q8&amp;";")&amp;IF(R8="","",'字段对应'!$B$14&amp;"="&amp;R8&amp;";")&amp;IF(U8="","",'字段对应'!$B$22&amp;"="&amp;U8&amp;";")&amp;IF(K8="","",'字段对应'!$B$21&amp;"="&amp;VLOOKUP(K8,'基础信息'!$F$2:$G$4,2,0))</f>
        <v>PhotoMode=2;ScanSpeed=2;WlRange=660,650,0.1;Gain=4;Slit1=1.0;LampPos=1</v>
      </c>
      <c s="123" t="str">
        <f>IF(W8="","",'检测项信息'!W8&amp;":"&amp;'字段对应'!$B$16&amp;"|")&amp;IF(X8="","",X8&amp;":"&amp;IF(V8="是",'字段对应'!$C$17,'字段对应'!$B$17&amp;";"&amp;IF(H8="","",'字段对应'!$B$15&amp;"="&amp;'检测项信息'!H8))&amp;"|")&amp;IF(Y8="",":",Y8&amp;":")&amp;IF(V8="是",'字段对应'!$C$18,'字段对应'!$B$18&amp;";"&amp;IF(H8="","",'字段对应'!$B$15&amp;"="&amp;'检测项信息'!H8)&amp;IF(AND(T8="",S8=""),"",";"&amp;'字段对应'!$B$20&amp;"="&amp;T8&amp;";"&amp;'字段对应'!$B$19&amp;"="&amp;S8))</f>
        <v>空气:Scan</v>
      </c>
      <c s="123">
        <v>1</v>
      </c>
      <c s="123"/>
      <c s="123">
        <v>656.1</v>
      </c>
      <c s="123" t="str">
        <f>VLOOKUP(J8,'字段对应'!$D$2:$E$8,2,0)</f>
        <v>Validation.ViewModel.DataStructure.FindHalfPeakUVTestTool</v>
      </c>
      <c s="123" t="s">
        <v>130</v>
      </c>
      <c s="106" t="s">
        <v>17</v>
      </c>
      <c s="106" t="s">
        <v>78</v>
      </c>
      <c s="106" t="s">
        <v>79</v>
      </c>
      <c s="106">
        <v>660</v>
      </c>
      <c s="106">
        <v>650</v>
      </c>
      <c s="106">
        <v>0.1</v>
      </c>
      <c s="106">
        <v>4</v>
      </c>
      <c s="106" t="s">
        <v>240</v>
      </c>
      <c s="106"/>
      <c s="106"/>
      <c s="106"/>
      <c s="123" t="s">
        <v>68</v>
      </c>
      <c s="120"/>
      <c s="123"/>
      <c s="123" t="s">
        <v>115</v>
      </c>
      <c s="123">
        <f>VLOOKUP(A8,'对应信息'!$D$2:$E$10,2,0)</f>
        <v>6E+3</v>
      </c>
      <c s="123">
        <f t="shared" si="0"/>
        <v>6003</v>
      </c>
      <c s="112" t="s">
        <v>240</v>
      </c>
    </row>
    <row r="9" ht="28.5">
      <c r="A9" s="336" t="s">
        <v>128</v>
      </c>
      <c s="120" t="s">
        <v>133</v>
      </c>
      <c s="123"/>
      <c s="123" t="str">
        <f>IF(L9="","",'字段对应'!$B$10&amp;"="&amp;VLOOKUP(L9,'基础信息'!$I$2:$J$6,2,0)&amp;";")&amp;IF(M9="","",'字段对应'!$B$11&amp;"="&amp;VLOOKUP(M9,'基础信息'!$K$2:$L$6,2,0)&amp;";")&amp;IF(N9="","",'字段对应'!$C$2&amp;"="&amp;N9&amp;","&amp;O9&amp;","&amp;P9&amp;";")&amp;IF(Q9="","",'字段对应'!$B$13&amp;"="&amp;Q9&amp;";")&amp;IF(R9="","",'字段对应'!$B$14&amp;"="&amp;R9&amp;";")&amp;IF(U9="","",'字段对应'!$B$22&amp;"="&amp;U9&amp;";")&amp;IF(K9="","",'字段对应'!$B$21&amp;"="&amp;VLOOKUP(K9,'基础信息'!$F$2:$G$4,2,0))</f>
        <v>PhotoMode=2;ScanSpeed=2;WlRange=660,650,0.02;Gain=4;Slit1=0.5;LampPos=1</v>
      </c>
      <c s="123" t="str">
        <f>IF(W9="","",'检测项信息'!W9&amp;":"&amp;'字段对应'!$B$16&amp;"|")&amp;IF(X9="","",X9&amp;":"&amp;IF(V9="是",'字段对应'!$C$17,'字段对应'!$B$17&amp;";"&amp;IF(H9="","",'字段对应'!$B$15&amp;"="&amp;'检测项信息'!H9))&amp;"|")&amp;IF(Y9="",":",Y9&amp;":")&amp;IF(V9="是",'字段对应'!$C$18,'字段对应'!$B$18&amp;";"&amp;IF(H9="","",'字段对应'!$B$15&amp;"="&amp;'检测项信息'!H9)&amp;IF(AND(T9="",S9=""),"",";"&amp;'字段对应'!$B$20&amp;"="&amp;T9&amp;";"&amp;'字段对应'!$B$19&amp;"="&amp;S9))</f>
        <v>空气:Scan</v>
      </c>
      <c s="123">
        <v>1</v>
      </c>
      <c s="123"/>
      <c s="123">
        <v>656.1</v>
      </c>
      <c s="123" t="str">
        <f>VLOOKUP(J9,'字段对应'!$D$2:$E$8,2,0)</f>
        <v>Validation.ViewModel.DataStructure.FindHalfPeakUVTestTool</v>
      </c>
      <c s="123" t="s">
        <v>130</v>
      </c>
      <c s="106" t="s">
        <v>17</v>
      </c>
      <c s="106" t="s">
        <v>78</v>
      </c>
      <c s="106" t="s">
        <v>79</v>
      </c>
      <c s="106">
        <v>660</v>
      </c>
      <c s="106">
        <v>650</v>
      </c>
      <c s="106">
        <v>0.02</v>
      </c>
      <c s="106">
        <v>4</v>
      </c>
      <c s="106">
        <v>0.5</v>
      </c>
      <c s="106"/>
      <c s="106"/>
      <c s="106"/>
      <c s="123" t="s">
        <v>68</v>
      </c>
      <c s="120"/>
      <c s="123"/>
      <c s="123" t="s">
        <v>115</v>
      </c>
      <c s="123">
        <f>VLOOKUP(A9,'对应信息'!$D$2:$E$10,2,0)</f>
        <v>6E+3</v>
      </c>
      <c s="123">
        <f t="shared" si="0"/>
        <v>6004</v>
      </c>
      <c s="124">
        <v>0.5</v>
      </c>
    </row>
    <row r="10" ht="28.5">
      <c r="A10" s="336" t="s">
        <v>128</v>
      </c>
      <c s="120" t="s">
        <v>134</v>
      </c>
      <c s="123"/>
      <c s="123" t="str">
        <f>IF(L10="","",'字段对应'!$B$10&amp;"="&amp;VLOOKUP(L10,'基础信息'!$I$2:$J$6,2,0)&amp;";")&amp;IF(M10="","",'字段对应'!$B$11&amp;"="&amp;VLOOKUP(M10,'基础信息'!$K$2:$L$6,2,0)&amp;";")&amp;IF(N10="","",'字段对应'!$C$2&amp;"="&amp;N10&amp;","&amp;O10&amp;","&amp;P10&amp;";")&amp;IF(Q10="","",'字段对应'!$B$13&amp;"="&amp;Q10&amp;";")&amp;IF(R10="","",'字段对应'!$B$14&amp;"="&amp;R10&amp;";")&amp;IF(U10="","",'字段对应'!$B$22&amp;"="&amp;U10&amp;";")&amp;IF(K10="","",'字段对应'!$B$21&amp;"="&amp;VLOOKUP(K10,'基础信息'!$F$2:$G$4,2,0))</f>
        <v>PhotoMode=2;ScanSpeed=3;WlRange=660,650,0.02;Gain=4;Slit1=0.2;LampPos=1</v>
      </c>
      <c s="123" t="str">
        <f>IF(W10="","",'检测项信息'!W10&amp;":"&amp;'字段对应'!$B$16&amp;"|")&amp;IF(X10="","",X10&amp;":"&amp;IF(V10="是",'字段对应'!$C$17,'字段对应'!$B$17&amp;";"&amp;IF(H10="","",'字段对应'!$B$15&amp;"="&amp;'检测项信息'!H10))&amp;"|")&amp;IF(Y10="",":",Y10&amp;":")&amp;IF(V10="是",'字段对应'!$C$18,'字段对应'!$B$18&amp;";"&amp;IF(H10="","",'字段对应'!$B$15&amp;"="&amp;'检测项信息'!H10)&amp;IF(AND(T10="",S10=""),"",";"&amp;'字段对应'!$B$20&amp;"="&amp;T10&amp;";"&amp;'字段对应'!$B$19&amp;"="&amp;S10))</f>
        <v>空气:Scan</v>
      </c>
      <c s="123">
        <v>1</v>
      </c>
      <c s="123"/>
      <c s="123">
        <v>656.1</v>
      </c>
      <c s="123" t="str">
        <f>VLOOKUP(J10,'字段对应'!$D$2:$E$8,2,0)</f>
        <v>Validation.ViewModel.DataStructure.FindHalfPeakUVTestTool</v>
      </c>
      <c s="123" t="s">
        <v>130</v>
      </c>
      <c s="106" t="s">
        <v>17</v>
      </c>
      <c s="106" t="s">
        <v>78</v>
      </c>
      <c s="106" t="s">
        <v>82</v>
      </c>
      <c s="106">
        <v>660</v>
      </c>
      <c s="106">
        <v>650</v>
      </c>
      <c s="106">
        <v>0.02</v>
      </c>
      <c s="106">
        <v>4</v>
      </c>
      <c s="106">
        <v>0.2</v>
      </c>
      <c s="106"/>
      <c s="106"/>
      <c s="106"/>
      <c s="123" t="s">
        <v>68</v>
      </c>
      <c s="120"/>
      <c s="123"/>
      <c s="123" t="s">
        <v>115</v>
      </c>
      <c s="123">
        <f>VLOOKUP(A10,'对应信息'!$D$2:$E$10,2,0)</f>
        <v>6E+3</v>
      </c>
      <c s="123">
        <f t="shared" si="0"/>
        <v>6005</v>
      </c>
      <c s="124">
        <v>0.2</v>
      </c>
    </row>
    <row r="11" ht="28.5">
      <c r="A11" s="336" t="s">
        <v>128</v>
      </c>
      <c s="120" t="s">
        <v>134</v>
      </c>
      <c s="123"/>
      <c s="123" t="str">
        <f>IF(L11="","",'字段对应'!$B$10&amp;"="&amp;VLOOKUP(L11,'基础信息'!$I$2:$J$6,2,0)&amp;";")&amp;IF(M11="","",'字段对应'!$B$11&amp;"="&amp;VLOOKUP(M11,'基础信息'!$K$2:$L$6,2,0)&amp;";")&amp;IF(N11="","",'字段对应'!$C$2&amp;"="&amp;N11&amp;","&amp;O11&amp;","&amp;P11&amp;";")&amp;IF(Q11="","",'字段对应'!$B$13&amp;"="&amp;Q11&amp;";")&amp;IF(R11="","",'字段对应'!$B$14&amp;"="&amp;R11&amp;";")&amp;IF(U11="","",'字段对应'!$B$22&amp;"="&amp;U11&amp;";")&amp;IF(K11="","",'字段对应'!$B$21&amp;"="&amp;VLOOKUP(K11,'基础信息'!$F$2:$G$4,2,0))</f>
        <v>PhotoMode=2;ScanSpeed=2;WlRange=660,650,0.1;Gain=4;Slit1=0.2;LampPos=1</v>
      </c>
      <c s="123" t="str">
        <f>IF(W11="","",'检测项信息'!W11&amp;":"&amp;'字段对应'!$B$16&amp;"|")&amp;IF(X11="","",X11&amp;":"&amp;IF(V11="是",'字段对应'!$C$17,'字段对应'!$B$17&amp;";"&amp;IF(H11="","",'字段对应'!$B$15&amp;"="&amp;'检测项信息'!H11))&amp;"|")&amp;IF(Y11="",":",Y11&amp;":")&amp;IF(V11="是",'字段对应'!$C$18,'字段对应'!$B$18&amp;";"&amp;IF(H11="","",'字段对应'!$B$15&amp;"="&amp;'检测项信息'!H11)&amp;IF(AND(T11="",S11=""),"",";"&amp;'字段对应'!$B$20&amp;"="&amp;T11&amp;";"&amp;'字段对应'!$B$19&amp;"="&amp;S11))</f>
        <v>空气:Scan</v>
      </c>
      <c s="123">
        <v>1</v>
      </c>
      <c s="123"/>
      <c s="123">
        <v>656.1</v>
      </c>
      <c s="123" t="str">
        <f>VLOOKUP(J11,'字段对应'!$D$2:$E$8,2,0)</f>
        <v>Validation.ViewModel.DataStructure.FindHalfPeakUVTestTool</v>
      </c>
      <c s="123" t="s">
        <v>130</v>
      </c>
      <c s="106" t="s">
        <v>17</v>
      </c>
      <c s="106" t="s">
        <v>78</v>
      </c>
      <c s="106" t="s">
        <v>79</v>
      </c>
      <c s="106">
        <v>660</v>
      </c>
      <c s="106">
        <v>650</v>
      </c>
      <c s="106">
        <v>0.1</v>
      </c>
      <c s="106">
        <v>4</v>
      </c>
      <c s="106">
        <v>0.2</v>
      </c>
      <c s="106"/>
      <c s="106"/>
      <c s="106"/>
      <c s="123" t="s">
        <v>68</v>
      </c>
      <c s="120"/>
      <c s="123"/>
      <c s="123" t="s">
        <v>115</v>
      </c>
      <c s="123">
        <f>VLOOKUP(A11,'对应信息'!$D$2:$E$10,2,0)</f>
        <v>6E+3</v>
      </c>
      <c s="123">
        <f t="shared" si="0"/>
        <v>6006</v>
      </c>
      <c s="124">
        <v>0.2</v>
      </c>
    </row>
    <row r="12" ht="28.5">
      <c r="A12" s="123" t="s">
        <v>125</v>
      </c>
      <c s="120" t="s">
        <v>26</v>
      </c>
      <c s="123"/>
      <c s="123" t="str">
        <f>IF(L12="","",'字段对应'!$B$10&amp;"="&amp;VLOOKUP(L12,'基础信息'!$I$2:$J$6,2,0)&amp;";")&amp;IF(M12="","",'字段对应'!$B$11&amp;"="&amp;VLOOKUP(M12,'基础信息'!$K$2:$L$6,2,0)&amp;";")&amp;IF(N12="","",'字段对应'!$C$2&amp;"="&amp;N12&amp;","&amp;O12&amp;","&amp;P12&amp;";")&amp;IF(Q12="","",'字段对应'!$B$13&amp;"="&amp;Q12&amp;";")&amp;IF(R12="","",'字段对应'!$B$14&amp;"="&amp;R12&amp;";")&amp;IF(U12="","",'字段对应'!$B$22&amp;"="&amp;U12&amp;";")&amp;IF(K12="","",'字段对应'!$B$21&amp;"="&amp;VLOOKUP(K12,'基础信息'!$F$2:$G$4,2,0))</f>
        <v>PhotoMode=0;ScanSpeed=2;WlRange=1090,200,1;Slit1=2.0;</v>
      </c>
      <c s="123" t="str">
        <f>IF(W12="","",'检测项信息'!W12&amp;":"&amp;'字段对应'!$B$16&amp;"|")&amp;IF(X12="","",X12&amp;":"&amp;IF(V12="是",'字段对应'!$C$17,'字段对应'!$B$17&amp;";"&amp;IF(H12="","",'字段对应'!$B$15&amp;"="&amp;'检测项信息'!H12))&amp;"|")&amp;IF(Y12="",":",Y12&amp;":")&amp;IF(V12="是",'字段对应'!$C$18,'字段对应'!$B$18&amp;";"&amp;IF(H12="","",'字段对应'!$B$15&amp;"="&amp;'检测项信息'!H12)&amp;IF(AND(T12="",S12=""),"",";"&amp;'字段对应'!$B$20&amp;"="&amp;T12&amp;";"&amp;'字段对应'!$B$19&amp;"="&amp;S12))</f>
        <v>黑挡块:Dark|空气:BaseLine|空气:Scan</v>
      </c>
      <c s="123">
        <v>1</v>
      </c>
      <c s="123"/>
      <c s="123"/>
      <c s="123" t="str">
        <f>VLOOKUP(J12,'字段对应'!$D$2:$E$8,2,0)</f>
        <v>Validation.ViewModel.DataStructure.GetMaxDIstanceUVTestTool</v>
      </c>
      <c s="123" t="s">
        <v>126</v>
      </c>
      <c s="106"/>
      <c s="106" t="s">
        <v>69</v>
      </c>
      <c s="106" t="s">
        <v>79</v>
      </c>
      <c s="106">
        <v>1090</v>
      </c>
      <c s="106">
        <v>200</v>
      </c>
      <c s="106">
        <v>1</v>
      </c>
      <c s="106"/>
      <c s="106" t="s">
        <v>239</v>
      </c>
      <c s="106"/>
      <c s="106"/>
      <c s="106"/>
      <c s="123" t="s">
        <v>68</v>
      </c>
      <c s="123" t="s">
        <v>114</v>
      </c>
      <c s="123" t="s">
        <v>115</v>
      </c>
      <c s="123" t="s">
        <v>115</v>
      </c>
      <c s="123">
        <f>VLOOKUP(A12,'对应信息'!$D$2:$E$10,2,0)</f>
        <v>4E+3</v>
      </c>
      <c s="123">
        <f>IF(Z10=Z12,AA10+1,Z12+1)</f>
        <v>4001</v>
      </c>
      <c s="124"/>
    </row>
    <row r="13" ht="37.5" customHeight="1">
      <c r="A13" s="123" t="s">
        <v>127</v>
      </c>
      <c s="120" t="s">
        <v>28</v>
      </c>
      <c s="123"/>
      <c s="123" t="str">
        <f>IF(L13="","",'字段对应'!$B$10&amp;"="&amp;VLOOKUP(L13,'基础信息'!$I$2:$J$6,2,0)&amp;";")&amp;IF(M13="","",'字段对应'!$B$11&amp;"="&amp;VLOOKUP(M13,'基础信息'!$K$2:$L$6,2,0)&amp;";")&amp;IF(N13="","",'字段对应'!$C$2&amp;"="&amp;N13&amp;","&amp;O13&amp;","&amp;P13&amp;";")&amp;IF(Q13="","",'字段对应'!$B$13&amp;"="&amp;Q13&amp;";")&amp;IF(R13="","",'字段对应'!$B$14&amp;"="&amp;R13&amp;";")&amp;IF(U13="","",'字段对应'!$B$22&amp;"="&amp;U13&amp;";")&amp;IF(K13="","",'字段对应'!$B$21&amp;"="&amp;VLOOKUP(K13,'基础信息'!$F$2:$G$4,2,0))</f>
        <v>PhotoMode=1;ScanSpeed=2;WlRange=1090,200,1;Slit1=2.0;</v>
      </c>
      <c s="123" t="str">
        <f>IF(W13="","",'检测项信息'!W13&amp;":"&amp;'字段对应'!$B$16&amp;"|")&amp;IF(X13="","",X13&amp;":"&amp;IF(V13="是",'字段对应'!$C$17,'字段对应'!$B$17&amp;";"&amp;IF(H13="","",'字段对应'!$B$15&amp;"="&amp;'检测项信息'!H13))&amp;"|")&amp;IF(Y13="",":",Y13&amp;":")&amp;IF(V13="是",'字段对应'!$C$18,'字段对应'!$B$18&amp;";"&amp;IF(H13="","",'字段对应'!$B$15&amp;"="&amp;'检测项信息'!H13)&amp;IF(AND(T13="",S13=""),"",";"&amp;'字段对应'!$B$20&amp;"="&amp;T13&amp;";"&amp;'字段对应'!$B$19&amp;"="&amp;S13))</f>
        <v>黑挡块:Dark|空气:BaseLine|黑挡块:Scan</v>
      </c>
      <c s="123">
        <v>1</v>
      </c>
      <c s="123"/>
      <c s="123"/>
      <c s="123" t="str">
        <f>VLOOKUP(J13,'字段对应'!$D$2:$E$8,2,0)</f>
        <v>Validation.ViewModel.DataStructure.GetMaxDIstanceUVTestTool</v>
      </c>
      <c s="123" t="s">
        <v>126</v>
      </c>
      <c s="106"/>
      <c s="106" t="s">
        <v>74</v>
      </c>
      <c s="106" t="s">
        <v>79</v>
      </c>
      <c s="106">
        <v>1090</v>
      </c>
      <c s="106">
        <v>200</v>
      </c>
      <c s="106">
        <v>1</v>
      </c>
      <c s="106"/>
      <c s="106" t="s">
        <v>239</v>
      </c>
      <c s="106"/>
      <c s="106"/>
      <c s="106"/>
      <c s="123" t="s">
        <v>68</v>
      </c>
      <c s="123" t="s">
        <v>114</v>
      </c>
      <c s="123" t="s">
        <v>115</v>
      </c>
      <c s="120" t="s">
        <v>114</v>
      </c>
      <c s="123">
        <f>VLOOKUP(A13,'对应信息'!$D$2:$E$10,2,0)</f>
        <v>5E+3</v>
      </c>
      <c s="123">
        <f ref="AA13:AA28" t="shared" si="1">IF(Z12=Z13,AA12+1,Z13+1)</f>
        <v>5001</v>
      </c>
      <c s="124"/>
    </row>
    <row r="14" ht="51" customHeight="1">
      <c r="A14" s="123" t="s">
        <v>135</v>
      </c>
      <c s="123" t="s">
        <v>136</v>
      </c>
      <c s="123"/>
      <c s="123" t="str">
        <f>IF(L14="","",'字段对应'!$B$10&amp;"="&amp;VLOOKUP(L14,'基础信息'!$I$2:$J$6,2,0)&amp;";")&amp;IF(M14="","",'字段对应'!$B$11&amp;"="&amp;VLOOKUP(M14,'基础信息'!$K$2:$L$6,2,0)&amp;";")&amp;IF(N14="","",'字段对应'!$C$2&amp;"="&amp;N14&amp;","&amp;O14&amp;","&amp;P14&amp;";")&amp;IF(Q14="","",'字段对应'!$B$13&amp;"="&amp;Q14&amp;";")&amp;IF(R14="","",'字段对应'!$B$14&amp;"="&amp;R14&amp;";")&amp;IF(U14="","",'字段对应'!$B$22&amp;"="&amp;U14&amp;";")&amp;IF(K14="","",'字段对应'!$B$21&amp;"="&amp;VLOOKUP(K14,'基础信息'!$F$2:$G$4,2,0))</f>
        <v>PhotoMode=1;ScanSpeed=2;Slit1=2.0;ResponseTime=1;</v>
      </c>
      <c s="123" t="str">
        <f>IF(W14="","",'检测项信息'!W14&amp;":"&amp;'字段对应'!$B$16&amp;"|")&amp;IF(X14="","",X14&amp;":"&amp;IF(V14="是",'字段对应'!$C$17,'字段对应'!$B$17&amp;";"&amp;IF(H14="","",'字段对应'!$B$15&amp;"="&amp;'检测项信息'!H14))&amp;"|")&amp;IF(Y14="",":",Y14&amp;":")&amp;IF(V14="是",'字段对应'!$C$18,'字段对应'!$B$18&amp;";"&amp;IF(H14="","",'字段对应'!$B$15&amp;"="&amp;'检测项信息'!H14)&amp;IF(AND(T14="",S14=""),"",";"&amp;'字段对应'!$B$20&amp;"="&amp;T14&amp;";"&amp;'字段对应'!$B$19&amp;"="&amp;S14))</f>
        <v>黑挡块:Dark|空气:Zero;Wl=500|空气:Measure;Wl=500;totalcount=120;timeinterval=1</v>
      </c>
      <c s="123">
        <v>1</v>
      </c>
      <c s="123"/>
      <c s="123">
        <v>500</v>
      </c>
      <c s="123" t="str">
        <f>VLOOKUP(J14,'字段对应'!$D$2:$E$8,2,0)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120</v>
      </c>
      <c s="106">
        <v>1</v>
      </c>
      <c s="123" t="s">
        <v>72</v>
      </c>
      <c s="123" t="s">
        <v>114</v>
      </c>
      <c s="123" t="s">
        <v>115</v>
      </c>
      <c s="123" t="s">
        <v>115</v>
      </c>
      <c s="123">
        <f>VLOOKUP(A14,'对应信息'!$D$2:$E$10,2,0)</f>
        <v>7E+3</v>
      </c>
      <c s="123">
        <f t="shared" si="1"/>
        <v>7001</v>
      </c>
      <c s="124"/>
    </row>
    <row r="15" ht="43.5">
      <c r="A15" s="123" t="s">
        <v>135</v>
      </c>
      <c s="123" t="s">
        <v>137</v>
      </c>
      <c s="123"/>
      <c s="123" t="str">
        <f>IF(L15="","",'字段对应'!$B$10&amp;"="&amp;VLOOKUP(L15,'基础信息'!$I$2:$J$6,2,0)&amp;";")&amp;IF(M15="","",'字段对应'!$B$11&amp;"="&amp;VLOOKUP(M15,'基础信息'!$K$2:$L$6,2,0)&amp;";")&amp;IF(N15="","",'字段对应'!$C$2&amp;"="&amp;N15&amp;","&amp;O15&amp;","&amp;P15&amp;";")&amp;IF(Q15="","",'字段对应'!$B$13&amp;"="&amp;Q15&amp;";")&amp;IF(R15="","",'字段对应'!$B$14&amp;"="&amp;R15&amp;";")&amp;IF(U15="","",'字段对应'!$B$22&amp;"="&amp;U15&amp;";")&amp;IF(K15="","",'字段对应'!$B$21&amp;"="&amp;VLOOKUP(K15,'基础信息'!$F$2:$G$4,2,0))</f>
        <v>PhotoMode=1;ScanSpeed=2;Slit1=2.0;ResponseTime=1;</v>
      </c>
      <c s="123" t="str">
        <f>IF(W15="","",'检测项信息'!W15&amp;":"&amp;'字段对应'!$B$16&amp;"|")&amp;IF(X15="","",X15&amp;":"&amp;IF(V15="是",'字段对应'!$C$17,'字段对应'!$B$17&amp;";"&amp;IF(H15="","",'字段对应'!$B$15&amp;"="&amp;'检测项信息'!H15))&amp;"|")&amp;IF(Y15="",":",Y15&amp;":")&amp;IF(V15="是",'字段对应'!$C$18,'字段对应'!$B$18&amp;";"&amp;IF(H15="","",'字段对应'!$B$15&amp;"="&amp;'检测项信息'!H15)&amp;IF(AND(T15="",S15=""),"",";"&amp;'字段对应'!$B$20&amp;"="&amp;T15&amp;";"&amp;'字段对应'!$B$19&amp;"="&amp;S15))</f>
        <v>黑挡块:Dark|空气:Zero;Wl=500|黑挡块:Measure;Wl=500;totalcount=120;timeinterval=1</v>
      </c>
      <c s="123">
        <v>1</v>
      </c>
      <c s="123"/>
      <c s="123">
        <v>500</v>
      </c>
      <c s="123" t="str">
        <f>VLOOKUP(J15,'字段对应'!$D$2:$E$8,2,0)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120</v>
      </c>
      <c s="106">
        <v>1</v>
      </c>
      <c s="123" t="s">
        <v>72</v>
      </c>
      <c s="123" t="s">
        <v>114</v>
      </c>
      <c s="123" t="s">
        <v>115</v>
      </c>
      <c s="120" t="s">
        <v>114</v>
      </c>
      <c s="123">
        <f>VLOOKUP(A15,'对应信息'!$D$2:$E$10,2,0)</f>
        <v>7E+3</v>
      </c>
      <c s="123">
        <f t="shared" si="1"/>
        <v>7002</v>
      </c>
      <c s="124"/>
    </row>
    <row r="16" ht="43.5">
      <c r="A16" s="123" t="s">
        <v>135</v>
      </c>
      <c s="123" t="s">
        <v>138</v>
      </c>
      <c s="123"/>
      <c s="123" t="str">
        <f>IF(L16="","",'字段对应'!$B$10&amp;"="&amp;VLOOKUP(L16,'基础信息'!$I$2:$J$6,2,0)&amp;";")&amp;IF(M16="","",'字段对应'!$B$11&amp;"="&amp;VLOOKUP(M16,'基础信息'!$K$2:$L$6,2,0)&amp;";")&amp;IF(N16="","",'字段对应'!$C$2&amp;"="&amp;N16&amp;","&amp;O16&amp;","&amp;P16&amp;";")&amp;IF(Q16="","",'字段对应'!$B$13&amp;"="&amp;Q16&amp;";")&amp;IF(R16="","",'字段对应'!$B$14&amp;"="&amp;R16&amp;";")&amp;IF(U16="","",'字段对应'!$B$22&amp;"="&amp;U16&amp;";")&amp;IF(K16="","",'字段对应'!$B$21&amp;"="&amp;VLOOKUP(K16,'基础信息'!$F$2:$G$4,2,0))</f>
        <v>PhotoMode=1;ScanSpeed=2;Slit1=2.0;ResponseTime=1;</v>
      </c>
      <c s="123" t="str">
        <f>IF(W16="","",'检测项信息'!W16&amp;":"&amp;'字段对应'!$B$16&amp;"|")&amp;IF(X16="","",X16&amp;":"&amp;IF(V16="是",'字段对应'!$C$17,'字段对应'!$B$17&amp;";"&amp;IF(H16="","",'字段对应'!$B$15&amp;"="&amp;'检测项信息'!H16))&amp;"|")&amp;IF(Y16="",":",Y16&amp;":")&amp;IF(V16="是",'字段对应'!$C$18,'字段对应'!$B$18&amp;";"&amp;IF(H16="","",'字段对应'!$B$15&amp;"="&amp;'检测项信息'!H16)&amp;IF(AND(T16="",S16=""),"",";"&amp;'字段对应'!$B$20&amp;"="&amp;T16&amp;";"&amp;'字段对应'!$B$19&amp;"="&amp;S16))</f>
        <v>黑挡块:Dark|空气:Zero;Wl=250|空气:Measure;Wl=250;totalcount=120;timeinterval=1</v>
      </c>
      <c s="123">
        <v>1</v>
      </c>
      <c s="123"/>
      <c s="123">
        <v>250</v>
      </c>
      <c s="123" t="str">
        <f>VLOOKUP(J16,'字段对应'!$D$2:$E$8,2,0)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120</v>
      </c>
      <c s="106">
        <v>1</v>
      </c>
      <c s="123" t="s">
        <v>72</v>
      </c>
      <c s="123" t="s">
        <v>114</v>
      </c>
      <c s="123" t="s">
        <v>115</v>
      </c>
      <c s="123" t="s">
        <v>115</v>
      </c>
      <c s="123">
        <f>VLOOKUP(A16,'对应信息'!$D$2:$E$10,2,0)</f>
        <v>7E+3</v>
      </c>
      <c s="123">
        <f t="shared" si="1"/>
        <v>7003</v>
      </c>
      <c s="124"/>
    </row>
    <row r="17" ht="43.5">
      <c r="A17" s="123" t="s">
        <v>135</v>
      </c>
      <c s="123" t="s">
        <v>139</v>
      </c>
      <c s="123"/>
      <c s="123" t="str">
        <f>IF(L17="","",'字段对应'!$B$10&amp;"="&amp;VLOOKUP(L17,'基础信息'!$I$2:$J$6,2,0)&amp;";")&amp;IF(M17="","",'字段对应'!$B$11&amp;"="&amp;VLOOKUP(M17,'基础信息'!$K$2:$L$6,2,0)&amp;";")&amp;IF(N17="","",'字段对应'!$C$2&amp;"="&amp;N17&amp;","&amp;O17&amp;","&amp;P17&amp;";")&amp;IF(Q17="","",'字段对应'!$B$13&amp;"="&amp;Q17&amp;";")&amp;IF(R17="","",'字段对应'!$B$14&amp;"="&amp;R17&amp;";")&amp;IF(U17="","",'字段对应'!$B$22&amp;"="&amp;U17&amp;";")&amp;IF(K17="","",'字段对应'!$B$21&amp;"="&amp;VLOOKUP(K17,'基础信息'!$F$2:$G$4,2,0))</f>
        <v>PhotoMode=1;ScanSpeed=2;Slit1=2.0;ResponseTime=1;</v>
      </c>
      <c s="123" t="str">
        <f>IF(W17="","",'检测项信息'!W17&amp;":"&amp;'字段对应'!$B$16&amp;"|")&amp;IF(X17="","",X17&amp;":"&amp;IF(V17="是",'字段对应'!$C$17,'字段对应'!$B$17&amp;";"&amp;IF(H17="","",'字段对应'!$B$15&amp;"="&amp;'检测项信息'!H17))&amp;"|")&amp;IF(Y17="",":",Y17&amp;":")&amp;IF(V17="是",'字段对应'!$C$18,'字段对应'!$B$18&amp;";"&amp;IF(H17="","",'字段对应'!$B$15&amp;"="&amp;'检测项信息'!H17)&amp;IF(AND(T17="",S17=""),"",";"&amp;'字段对应'!$B$20&amp;"="&amp;T17&amp;";"&amp;'字段对应'!$B$19&amp;"="&amp;S17))</f>
        <v>黑挡块:Dark|空气:Zero;Wl=250|黑挡块:Measure;Wl=250;totalcount=120;timeinterval=1</v>
      </c>
      <c s="123">
        <v>1</v>
      </c>
      <c s="123"/>
      <c s="123">
        <v>250</v>
      </c>
      <c s="123" t="str">
        <f>VLOOKUP(J17,'字段对应'!$D$2:$E$8,2,0)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120</v>
      </c>
      <c s="106">
        <v>1</v>
      </c>
      <c s="123" t="s">
        <v>72</v>
      </c>
      <c s="123" t="s">
        <v>114</v>
      </c>
      <c s="123" t="s">
        <v>115</v>
      </c>
      <c s="120" t="s">
        <v>114</v>
      </c>
      <c s="123">
        <f>VLOOKUP(A17,'对应信息'!$D$2:$E$10,2,0)</f>
        <v>7E+3</v>
      </c>
      <c s="123">
        <f t="shared" si="1"/>
        <v>7004</v>
      </c>
      <c s="124"/>
    </row>
    <row r="18" ht="43.5">
      <c r="A18" s="123" t="s">
        <v>140</v>
      </c>
      <c s="123" t="s">
        <v>141</v>
      </c>
      <c s="123"/>
      <c s="123" t="str">
        <f>IF(L18="","",'字段对应'!$B$10&amp;"="&amp;VLOOKUP(L18,'基础信息'!$I$2:$J$6,2,0)&amp;";")&amp;IF(M18="","",'字段对应'!$B$11&amp;"="&amp;VLOOKUP(M18,'基础信息'!$K$2:$L$6,2,0)&amp;";")&amp;IF(N18="","",'字段对应'!$C$2&amp;"="&amp;N18&amp;","&amp;O18&amp;","&amp;P18&amp;";")&amp;IF(Q18="","",'字段对应'!$B$13&amp;"="&amp;Q18&amp;";")&amp;IF(R18="","",'字段对应'!$B$14&amp;"="&amp;R18&amp;";")&amp;IF(U18="","",'字段对应'!$B$22&amp;"="&amp;U18&amp;";")&amp;IF(K18="","",'字段对应'!$B$21&amp;"="&amp;VLOOKUP(K18,'基础信息'!$F$2:$G$4,2,0))</f>
        <v>PhotoMode=1;ScanSpeed=2;Slit1=2.0;ResponseTime=1;</v>
      </c>
      <c s="123" t="str">
        <f>IF(W18="","",'检测项信息'!W18&amp;":"&amp;'字段对应'!$B$16&amp;"|")&amp;IF(X18="","",X18&amp;":"&amp;IF(V18="是",'字段对应'!$C$17,'字段对应'!$B$17&amp;";"&amp;IF(H18="","",'字段对应'!$B$15&amp;"="&amp;'检测项信息'!H18))&amp;"|")&amp;IF(Y18="",":",Y18&amp;":")&amp;IF(V18="是",'字段对应'!$C$18,'字段对应'!$B$18&amp;";"&amp;IF(H18="","",'字段对应'!$B$15&amp;"="&amp;'检测项信息'!H18)&amp;IF(AND(T18="",S18=""),"",";"&amp;'字段对应'!$B$20&amp;"="&amp;T18&amp;";"&amp;'字段对应'!$B$19&amp;"="&amp;S18))</f>
        <v>黑挡块:Dark|空气:Zero;Wl=1090|空气:Measure;Wl=1090;totalcount=180;timeinterval=1</v>
      </c>
      <c s="123">
        <v>1</v>
      </c>
      <c s="123"/>
      <c s="123">
        <v>1090</v>
      </c>
      <c s="123" t="str">
        <f>VLOOKUP(J18,'字段对应'!$D$2:$E$8,2,0)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180</v>
      </c>
      <c s="106">
        <v>1</v>
      </c>
      <c s="123" t="s">
        <v>72</v>
      </c>
      <c s="123" t="s">
        <v>114</v>
      </c>
      <c s="123" t="s">
        <v>115</v>
      </c>
      <c s="123" t="s">
        <v>115</v>
      </c>
      <c s="123">
        <f>VLOOKUP(A18,'对应信息'!$D$2:$E$10,2,0)</f>
        <v>8E+3</v>
      </c>
      <c s="123">
        <f t="shared" si="1"/>
        <v>8001</v>
      </c>
      <c s="124"/>
    </row>
    <row r="19" ht="43.5">
      <c r="A19" s="123" t="s">
        <v>140</v>
      </c>
      <c s="123" t="s">
        <v>142</v>
      </c>
      <c s="123"/>
      <c s="123" t="str">
        <f>IF(L19="","",'字段对应'!$B$10&amp;"="&amp;VLOOKUP(L19,'基础信息'!$I$2:$J$6,2,0)&amp;";")&amp;IF(M19="","",'字段对应'!$B$11&amp;"="&amp;VLOOKUP(M19,'基础信息'!$K$2:$L$6,2,0)&amp;";")&amp;IF(N19="","",'字段对应'!$C$2&amp;"="&amp;N19&amp;","&amp;O19&amp;","&amp;P19&amp;";")&amp;IF(Q19="","",'字段对应'!$B$13&amp;"="&amp;Q19&amp;";")&amp;IF(R19="","",'字段对应'!$B$14&amp;"="&amp;R19&amp;";")&amp;IF(U19="","",'字段对应'!$B$22&amp;"="&amp;U19&amp;";")&amp;IF(K19="","",'字段对应'!$B$21&amp;"="&amp;VLOOKUP(K19,'基础信息'!$F$2:$G$4,2,0))</f>
        <v>PhotoMode=1;ScanSpeed=2;Slit1=2.0;ResponseTime=1;</v>
      </c>
      <c s="123" t="str">
        <f>IF(W19="","",'检测项信息'!W19&amp;":"&amp;'字段对应'!$B$16&amp;"|")&amp;IF(X19="","",X19&amp;":"&amp;IF(V19="是",'字段对应'!$C$17,'字段对应'!$B$17&amp;";"&amp;IF(H19="","",'字段对应'!$B$15&amp;"="&amp;'检测项信息'!H19))&amp;"|")&amp;IF(Y19="",":",Y19&amp;":")&amp;IF(V19="是",'字段对应'!$C$18,'字段对应'!$B$18&amp;";"&amp;IF(H19="","",'字段对应'!$B$15&amp;"="&amp;'检测项信息'!H19)&amp;IF(AND(T19="",S19=""),"",";"&amp;'字段对应'!$B$20&amp;"="&amp;T19&amp;";"&amp;'字段对应'!$B$19&amp;"="&amp;S19))</f>
        <v>黑挡块:Dark|空气:Zero;Wl=1090|黑挡块:Measure;Wl=1090;totalcount=180;timeinterval=1</v>
      </c>
      <c s="123">
        <v>1</v>
      </c>
      <c s="123"/>
      <c s="123">
        <v>1090</v>
      </c>
      <c s="123" t="str">
        <f>VLOOKUP(J19,'字段对应'!$D$2:$E$8,2,0)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180</v>
      </c>
      <c s="106">
        <v>1</v>
      </c>
      <c s="123" t="s">
        <v>72</v>
      </c>
      <c s="123" t="s">
        <v>114</v>
      </c>
      <c s="123" t="s">
        <v>115</v>
      </c>
      <c s="120" t="s">
        <v>114</v>
      </c>
      <c s="123">
        <f>VLOOKUP(A19,'对应信息'!$D$2:$E$10,2,0)</f>
        <v>8E+3</v>
      </c>
      <c s="123">
        <f t="shared" si="1"/>
        <v>8002</v>
      </c>
      <c s="124"/>
    </row>
    <row r="20" ht="43.5">
      <c r="A20" s="123" t="s">
        <v>140</v>
      </c>
      <c s="123" t="s">
        <v>143</v>
      </c>
      <c s="123"/>
      <c s="123" t="str">
        <f>IF(L20="","",'字段对应'!$B$10&amp;"="&amp;VLOOKUP(L20,'基础信息'!$I$2:$J$6,2,0)&amp;";")&amp;IF(M20="","",'字段对应'!$B$11&amp;"="&amp;VLOOKUP(M20,'基础信息'!$K$2:$L$6,2,0)&amp;";")&amp;IF(N20="","",'字段对应'!$C$2&amp;"="&amp;N20&amp;","&amp;O20&amp;","&amp;P20&amp;";")&amp;IF(Q20="","",'字段对应'!$B$13&amp;"="&amp;Q20&amp;";")&amp;IF(R20="","",'字段对应'!$B$14&amp;"="&amp;R20&amp;";")&amp;IF(U20="","",'字段对应'!$B$22&amp;"="&amp;U20&amp;";")&amp;IF(K20="","",'字段对应'!$B$21&amp;"="&amp;VLOOKUP(K20,'基础信息'!$F$2:$G$4,2,0))</f>
        <v>PhotoMode=1;ScanSpeed=2;Slit1=2.0;ResponseTime=1;</v>
      </c>
      <c s="123" t="str">
        <f>IF(W20="","",'检测项信息'!W20&amp;":"&amp;'字段对应'!$B$16&amp;"|")&amp;IF(X20="","",X20&amp;":"&amp;IF(V20="是",'字段对应'!$C$17,'字段对应'!$B$17&amp;";"&amp;IF(H20="","",'字段对应'!$B$15&amp;"="&amp;'检测项信息'!H20))&amp;"|")&amp;IF(Y20="",":",Y20&amp;":")&amp;IF(V20="是",'字段对应'!$C$18,'字段对应'!$B$18&amp;";"&amp;IF(H20="","",'字段对应'!$B$15&amp;"="&amp;'检测项信息'!H20)&amp;IF(AND(T20="",S20=""),"",";"&amp;'字段对应'!$B$20&amp;"="&amp;T20&amp;";"&amp;'字段对应'!$B$19&amp;"="&amp;S20))</f>
        <v>黑挡块:Dark|空气:Zero;Wl=200|空气:Measure;Wl=200;totalcount=180;timeinterval=1</v>
      </c>
      <c s="123">
        <v>1</v>
      </c>
      <c s="123"/>
      <c s="123">
        <v>200</v>
      </c>
      <c s="123" t="str">
        <f>VLOOKUP(J20,'字段对应'!$D$2:$E$8,2,0)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180</v>
      </c>
      <c s="106">
        <v>1</v>
      </c>
      <c s="123" t="s">
        <v>72</v>
      </c>
      <c s="123" t="s">
        <v>114</v>
      </c>
      <c s="123" t="s">
        <v>115</v>
      </c>
      <c s="123" t="s">
        <v>115</v>
      </c>
      <c s="123">
        <f>VLOOKUP(A20,'对应信息'!$D$2:$E$10,2,0)</f>
        <v>8E+3</v>
      </c>
      <c s="123">
        <f t="shared" si="1"/>
        <v>8003</v>
      </c>
      <c s="124"/>
    </row>
    <row r="21" ht="43.5">
      <c r="A21" s="123" t="s">
        <v>140</v>
      </c>
      <c s="123" t="s">
        <v>144</v>
      </c>
      <c s="123"/>
      <c s="123" t="str">
        <f>IF(L21="","",'字段对应'!$B$10&amp;"="&amp;VLOOKUP(L21,'基础信息'!$I$2:$J$6,2,0)&amp;";")&amp;IF(M21="","",'字段对应'!$B$11&amp;"="&amp;VLOOKUP(M21,'基础信息'!$K$2:$L$6,2,0)&amp;";")&amp;IF(N21="","",'字段对应'!$C$2&amp;"="&amp;N21&amp;","&amp;O21&amp;","&amp;P21&amp;";")&amp;IF(Q21="","",'字段对应'!$B$13&amp;"="&amp;Q21&amp;";")&amp;IF(R21="","",'字段对应'!$B$14&amp;"="&amp;R21&amp;";")&amp;IF(U21="","",'字段对应'!$B$22&amp;"="&amp;U21&amp;";")&amp;IF(K21="","",'字段对应'!$B$21&amp;"="&amp;VLOOKUP(K21,'基础信息'!$F$2:$G$4,2,0))</f>
        <v>PhotoMode=1;ScanSpeed=2;Slit1=2.0;ResponseTime=1;</v>
      </c>
      <c s="123" t="str">
        <f>IF(W21="","",'检测项信息'!W21&amp;":"&amp;'字段对应'!$B$16&amp;"|")&amp;IF(X21="","",X21&amp;":"&amp;IF(V21="是",'字段对应'!$C$17,'字段对应'!$B$17&amp;";"&amp;IF(H21="","",'字段对应'!$B$15&amp;"="&amp;'检测项信息'!H21))&amp;"|")&amp;IF(Y21="",":",Y21&amp;":")&amp;IF(V21="是",'字段对应'!$C$18,'字段对应'!$B$18&amp;";"&amp;IF(H21="","",'字段对应'!$B$15&amp;"="&amp;'检测项信息'!H21)&amp;IF(AND(T21="",S21=""),"",";"&amp;'字段对应'!$B$20&amp;"="&amp;T21&amp;";"&amp;'字段对应'!$B$19&amp;"="&amp;S21))</f>
        <v>黑挡块:Dark|空气:Zero;Wl=200|黑挡块:Measure;Wl=200;totalcount=180;timeinterval=1</v>
      </c>
      <c s="123">
        <v>1</v>
      </c>
      <c s="123"/>
      <c s="123">
        <v>200</v>
      </c>
      <c s="123" t="str">
        <f>VLOOKUP(J21,'字段对应'!$D$2:$E$8,2,0)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180</v>
      </c>
      <c s="106">
        <v>1</v>
      </c>
      <c s="123" t="s">
        <v>72</v>
      </c>
      <c s="123" t="s">
        <v>114</v>
      </c>
      <c s="123" t="s">
        <v>115</v>
      </c>
      <c s="120" t="s">
        <v>114</v>
      </c>
      <c s="123">
        <f>VLOOKUP(A21,'对应信息'!$D$2:$E$10,2,0)</f>
        <v>8E+3</v>
      </c>
      <c s="123">
        <f t="shared" si="1"/>
        <v>8004</v>
      </c>
      <c s="124"/>
    </row>
    <row r="22" ht="39.75" customHeight="1">
      <c r="A22" s="123" t="s">
        <v>121</v>
      </c>
      <c s="120" t="s">
        <v>197</v>
      </c>
      <c s="123"/>
      <c s="123" t="str">
        <f>IF(L22="","",'字段对应'!$B$10&amp;"="&amp;VLOOKUP(L22,'基础信息'!$I$2:$J$6,2,0)&amp;";")&amp;IF(M22="","",'字段对应'!$B$11&amp;"="&amp;VLOOKUP(M22,'基础信息'!$K$2:$L$6,2,0)&amp;";")&amp;IF(N22="","",'字段对应'!$C$2&amp;"="&amp;N22&amp;","&amp;O22&amp;","&amp;P22&amp;";")&amp;IF(Q22="","",'字段对应'!$B$13&amp;"="&amp;Q22&amp;";")&amp;IF(R22="","",'字段对应'!$B$14&amp;"="&amp;R22&amp;";")&amp;IF(U22="","",'字段对应'!$B$22&amp;"="&amp;U22&amp;";")&amp;IF(K22="","",'字段对应'!$B$21&amp;"="&amp;VLOOKUP(K22,'基础信息'!$F$2:$G$4,2,0))</f>
        <v>PhotoMode=1;ScanSpeed=2;Slit1=2.0;</v>
      </c>
      <c s="123" t="str">
        <f>IF(W22="","",'检测项信息'!W22&amp;":"&amp;'字段对应'!$B$16&amp;"|")&amp;IF(X22="","",X22&amp;":"&amp;IF(V22="是",'字段对应'!$C$17,'字段对应'!$B$17&amp;";"&amp;IF(H22="","",'字段对应'!$B$15&amp;"="&amp;'检测项信息'!H22))&amp;"|")&amp;IF(Y22="",":",Y22&amp;":")&amp;IF(V22="是",'字段对应'!$C$18,'字段对应'!$B$18&amp;";"&amp;IF(H22="","",'字段对应'!$B$15&amp;"="&amp;'检测项信息'!H22)&amp;IF(AND(T22="",S22=""),"",";"&amp;'字段对应'!$B$20&amp;"="&amp;T22&amp;";"&amp;'字段对应'!$B$19&amp;"="&amp;S22))</f>
        <v>黑挡块:Dark|碘化钠空白溶液:Zero;Wl=220|碘化钠溶液:Measure;Wl=220</v>
      </c>
      <c s="123">
        <v>3</v>
      </c>
      <c s="123">
        <v>1</v>
      </c>
      <c s="123" t="s">
        <v>122</v>
      </c>
      <c s="123" t="str">
        <f>VLOOKUP(J22,'字段对应'!$D$2:$E$8,2,0)</f>
        <v>Validation.ViewModel.DataStructure.WlPointsUVTestTool</v>
      </c>
      <c s="123" t="s">
        <v>123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/>
      <c s="106"/>
      <c s="106"/>
      <c s="123" t="s">
        <v>72</v>
      </c>
      <c s="123" t="s">
        <v>114</v>
      </c>
      <c s="120" t="s">
        <v>355</v>
      </c>
      <c s="123" t="s">
        <v>94</v>
      </c>
      <c s="123">
        <f>VLOOKUP(A22,'对应信息'!$D$2:$E$10,2,0)</f>
        <v>3E+3</v>
      </c>
      <c s="123">
        <f t="shared" si="1"/>
        <v>3001</v>
      </c>
      <c s="124"/>
    </row>
    <row r="23" ht="28.5">
      <c r="A23" s="123" t="s">
        <v>121</v>
      </c>
      <c s="120" t="s">
        <v>198</v>
      </c>
      <c s="123"/>
      <c s="123" t="str">
        <f>IF(L23="","",'字段对应'!$B$10&amp;"="&amp;VLOOKUP(L23,'基础信息'!$I$2:$J$6,2,0)&amp;";")&amp;IF(M23="","",'字段对应'!$B$11&amp;"="&amp;VLOOKUP(M23,'基础信息'!$K$2:$L$6,2,0)&amp;";")&amp;IF(N23="","",'字段对应'!$C$2&amp;"="&amp;N23&amp;","&amp;O23&amp;","&amp;P23&amp;";")&amp;IF(Q23="","",'字段对应'!$B$13&amp;"="&amp;Q23&amp;";")&amp;IF(R23="","",'字段对应'!$B$14&amp;"="&amp;R23&amp;";")&amp;IF(U23="","",'字段对应'!$B$22&amp;"="&amp;U23&amp;";")&amp;IF(K23="","",'字段对应'!$B$21&amp;"="&amp;VLOOKUP(K23,'基础信息'!$F$2:$G$4,2,0))</f>
        <v>PhotoMode=1;ScanSpeed=2;Slit1=2.0;</v>
      </c>
      <c s="123" t="str">
        <f>IF(W23="","",'检测项信息'!W23&amp;":"&amp;'字段对应'!$B$16&amp;"|")&amp;IF(X23="","",X23&amp;":"&amp;IF(V23="是",'字段对应'!$C$17,'字段对应'!$B$17&amp;";"&amp;IF(H23="","",'字段对应'!$B$15&amp;"="&amp;'检测项信息'!H23))&amp;"|")&amp;IF(Y23="",":",Y23&amp;":")&amp;IF(V23="是",'字段对应'!$C$18,'字段对应'!$B$18&amp;";"&amp;IF(H23="","",'字段对应'!$B$15&amp;"="&amp;'检测项信息'!H23)&amp;IF(AND(T23="",S23=""),"",";"&amp;'字段对应'!$B$20&amp;"="&amp;T23&amp;";"&amp;'字段对应'!$B$19&amp;"="&amp;S23))</f>
        <v>黑挡块:Dark|亚硝酸钠空白溶液:Zero;Wl=360|亚硝酸钠溶液:Measure;Wl=360</v>
      </c>
      <c s="123">
        <v>3</v>
      </c>
      <c s="123">
        <v>1</v>
      </c>
      <c s="123" t="s">
        <v>124</v>
      </c>
      <c s="123" t="str">
        <f>VLOOKUP(J23,'字段对应'!$D$2:$E$8,2,0)</f>
        <v>Validation.ViewModel.DataStructure.WlPointsUVTestTool</v>
      </c>
      <c s="123" t="s">
        <v>123</v>
      </c>
      <c s="106"/>
      <c s="106" t="s">
        <v>74</v>
      </c>
      <c s="106" t="s">
        <v>79</v>
      </c>
      <c s="106"/>
      <c s="106"/>
      <c s="106"/>
      <c s="106"/>
      <c s="338" t="s">
        <v>239</v>
      </c>
      <c s="106"/>
      <c s="106"/>
      <c s="106"/>
      <c s="123" t="s">
        <v>72</v>
      </c>
      <c s="123" t="s">
        <v>114</v>
      </c>
      <c s="120" t="s">
        <v>356</v>
      </c>
      <c s="123" t="s">
        <v>95</v>
      </c>
      <c s="123">
        <f>VLOOKUP(A23,'对应信息'!$D$2:$E$10,2,0)</f>
        <v>3E+3</v>
      </c>
      <c s="123">
        <f t="shared" si="1"/>
        <v>3002</v>
      </c>
      <c s="124"/>
    </row>
    <row r="24" ht="43.5">
      <c r="A24" s="123" t="s">
        <v>117</v>
      </c>
      <c s="123" t="s">
        <v>120</v>
      </c>
      <c s="123"/>
      <c s="123" t="str">
        <f>IF(L24="","",'字段对应'!$B$10&amp;"="&amp;VLOOKUP(L24,'基础信息'!$I$2:$J$6,2,0)&amp;";")&amp;IF(M24="","",'字段对应'!$B$11&amp;"="&amp;VLOOKUP(M24,'基础信息'!$K$2:$L$6,2,0)&amp;";")&amp;IF(N24="","",'字段对应'!$C$2&amp;"="&amp;N24&amp;","&amp;O24&amp;","&amp;P24&amp;";")&amp;IF(Q24="","",'字段对应'!$B$13&amp;"="&amp;Q24&amp;";")&amp;IF(R24="","",'字段对应'!$B$14&amp;"="&amp;R24&amp;";")&amp;IF(U24="","",'字段对应'!$B$22&amp;"="&amp;U24&amp;";")&amp;IF(K24="","",'字段对应'!$B$21&amp;"="&amp;VLOOKUP(K24,'基础信息'!$F$2:$G$4,2,0))</f>
        <v>PhotoMode=1;ScanSpeed=2;Slit1=2.0;</v>
      </c>
      <c s="123" t="str">
        <f>IF(W24="","",'检测项信息'!W24&amp;":"&amp;'字段对应'!$B$16&amp;"|")&amp;IF(X24="","",X24&amp;":"&amp;IF(V24="是",'字段对应'!$C$17,'字段对应'!$B$17&amp;";"&amp;IF(H24="","",'字段对应'!$B$15&amp;"="&amp;'检测项信息'!H24))&amp;"|")&amp;IF(Y24="",":",Y24&amp;":")&amp;IF(V24="是",'字段对应'!$C$18,'字段对应'!$B$18&amp;";"&amp;IF(H24="","",'字段对应'!$B$15&amp;"="&amp;'检测项信息'!H24)&amp;IF(AND(T24="",S24=""),"",";"&amp;'字段对应'!$B$20&amp;"="&amp;T24&amp;";"&amp;'字段对应'!$B$19&amp;"="&amp;S24))</f>
        <v>黑挡块:Dark|紫外分光光度计标准物质空白溶液:Zero;Wl=350,313,257,235|紫外分光光度计标准物质GBW(E)130066:Measure;Wl=350,313,257,235</v>
      </c>
      <c s="123">
        <v>3</v>
      </c>
      <c s="123">
        <v>1</v>
      </c>
      <c s="120" t="s">
        <v>343</v>
      </c>
      <c s="123" t="str">
        <f>VLOOKUP(J24,'字段对应'!$D$2:$E$8,2,0)</f>
        <v>Validation.ViewModel.DataStructure.WlPointsAndAverageUVTestTool</v>
      </c>
      <c s="123" t="s">
        <v>119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/>
      <c s="106"/>
      <c s="106"/>
      <c s="123" t="s">
        <v>72</v>
      </c>
      <c s="123" t="s">
        <v>114</v>
      </c>
      <c s="105" t="s">
        <v>254</v>
      </c>
      <c s="123" t="s">
        <v>120</v>
      </c>
      <c s="123">
        <f>VLOOKUP(A24,'对应信息'!$D$2:$E$10,2,0)</f>
        <v>2E+3</v>
      </c>
      <c s="123">
        <f t="shared" si="1"/>
        <v>2001</v>
      </c>
      <c s="112" t="s">
        <v>348</v>
      </c>
    </row>
    <row r="25" ht="28.5">
      <c r="A25" s="123" t="s">
        <v>117</v>
      </c>
      <c s="123" t="s">
        <v>83</v>
      </c>
      <c s="123"/>
      <c s="123" t="str">
        <f>IF(L25="","",'字段对应'!$B$10&amp;"="&amp;VLOOKUP(L25,'基础信息'!$I$2:$J$6,2,0)&amp;";")&amp;IF(M25="","",'字段对应'!$B$11&amp;"="&amp;VLOOKUP(M25,'基础信息'!$K$2:$L$6,2,0)&amp;";")&amp;IF(N25="","",'字段对应'!$C$2&amp;"="&amp;N25&amp;","&amp;O25&amp;","&amp;P25&amp;";")&amp;IF(Q25="","",'字段对应'!$B$13&amp;"="&amp;Q25&amp;";")&amp;IF(R25="","",'字段对应'!$B$14&amp;"="&amp;R25&amp;";")&amp;IF(U25="","",'字段对应'!$B$22&amp;"="&amp;U25&amp;";")&amp;IF(K25="","",'字段对应'!$B$21&amp;"="&amp;VLOOKUP(K25,'基础信息'!$F$2:$G$4,2,0))</f>
        <v>PhotoMode=1;ScanSpeed=2;Slit1=2.0;</v>
      </c>
      <c s="123" t="str">
        <f>IF(W25="","",'检测项信息'!W25&amp;":"&amp;'字段对应'!$B$16&amp;"|")&amp;IF(X25="","",X25&amp;":"&amp;IF(V25="是",'字段对应'!$C$17,'字段对应'!$B$17&amp;";"&amp;IF(H25="","",'字段对应'!$B$15&amp;"="&amp;'检测项信息'!H25))&amp;"|")&amp;IF(Y25="",":",Y25&amp;":")&amp;IF(V25="是",'字段对应'!$C$18,'字段对应'!$B$18&amp;";"&amp;IF(H25="","",'字段对应'!$B$15&amp;"="&amp;'检测项信息'!H25)&amp;IF(AND(T25="",S25=""),"",";"&amp;'字段对应'!$B$20&amp;"="&amp;T25&amp;";"&amp;'字段对应'!$B$19&amp;"="&amp;S25))</f>
        <v>黑挡块:Dark|空气:Zero;Wl=635,546,440|10%中性滤光片:Measure;Wl=635,546,440</v>
      </c>
      <c s="123">
        <v>3</v>
      </c>
      <c s="123">
        <v>1</v>
      </c>
      <c s="123" t="s">
        <v>118</v>
      </c>
      <c s="123" t="str">
        <f>VLOOKUP(J25,'字段对应'!$D$2:$E$8,2,0)</f>
        <v>Validation.ViewModel.DataStructure.WlPointsAndAverageUVTestTool</v>
      </c>
      <c s="123" t="s">
        <v>119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/>
      <c s="106"/>
      <c s="106"/>
      <c s="123" t="s">
        <v>72</v>
      </c>
      <c s="123" t="s">
        <v>114</v>
      </c>
      <c s="123" t="s">
        <v>115</v>
      </c>
      <c s="123" t="s">
        <v>83</v>
      </c>
      <c s="123">
        <f>VLOOKUP(A25,'对应信息'!$D$2:$E$10,2,0)</f>
        <v>2E+3</v>
      </c>
      <c s="123">
        <f t="shared" si="1"/>
        <v>2002</v>
      </c>
      <c s="112" t="s">
        <v>349</v>
      </c>
    </row>
    <row r="26" ht="28.5">
      <c r="A26" s="123" t="s">
        <v>117</v>
      </c>
      <c s="123" t="s">
        <v>87</v>
      </c>
      <c s="123"/>
      <c s="123" t="str">
        <f>IF(L26="","",'字段对应'!$B$10&amp;"="&amp;VLOOKUP(L26,'基础信息'!$I$2:$J$6,2,0)&amp;";")&amp;IF(M26="","",'字段对应'!$B$11&amp;"="&amp;VLOOKUP(M26,'基础信息'!$K$2:$L$6,2,0)&amp;";")&amp;IF(N26="","",'字段对应'!$C$2&amp;"="&amp;N26&amp;","&amp;O26&amp;","&amp;P26&amp;";")&amp;IF(Q26="","",'字段对应'!$B$13&amp;"="&amp;Q26&amp;";")&amp;IF(R26="","",'字段对应'!$B$14&amp;"="&amp;R26&amp;";")&amp;IF(U26="","",'字段对应'!$B$22&amp;"="&amp;U26&amp;";")&amp;IF(K26="","",'字段对应'!$B$21&amp;"="&amp;VLOOKUP(K26,'基础信息'!$F$2:$G$4,2,0))</f>
        <v>PhotoMode=1;ScanSpeed=2;Slit1=2.0;</v>
      </c>
      <c s="123" t="str">
        <f>IF(W26="","",'检测项信息'!W26&amp;":"&amp;'字段对应'!$B$16&amp;"|")&amp;IF(X26="","",X26&amp;":"&amp;IF(V26="是",'字段对应'!$C$17,'字段对应'!$B$17&amp;";"&amp;IF(H26="","",'字段对应'!$B$15&amp;"="&amp;'检测项信息'!H26))&amp;"|")&amp;IF(Y26="",":",Y26&amp;":")&amp;IF(V26="是",'字段对应'!$C$18,'字段对应'!$B$18&amp;";"&amp;IF(H26="","",'字段对应'!$B$15&amp;"="&amp;'检测项信息'!H26)&amp;IF(AND(T26="",S26=""),"",";"&amp;'字段对应'!$B$20&amp;"="&amp;T26&amp;";"&amp;'字段对应'!$B$19&amp;"="&amp;S26))</f>
        <v>黑挡块:Dark|空气:Zero;Wl=635,546,440|20%中性滤光片:Measure;Wl=635,546,440</v>
      </c>
      <c s="123">
        <v>3</v>
      </c>
      <c s="123">
        <v>1</v>
      </c>
      <c s="123" t="s">
        <v>118</v>
      </c>
      <c s="123" t="str">
        <f>VLOOKUP(J26,'字段对应'!$D$2:$E$8,2,0)</f>
        <v>Validation.ViewModel.DataStructure.WlPointsAndAverageUVTestTool</v>
      </c>
      <c s="123" t="s">
        <v>119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/>
      <c s="106"/>
      <c s="106"/>
      <c s="123" t="s">
        <v>72</v>
      </c>
      <c s="123" t="s">
        <v>114</v>
      </c>
      <c s="123" t="s">
        <v>115</v>
      </c>
      <c s="123" t="s">
        <v>87</v>
      </c>
      <c s="123">
        <f>VLOOKUP(A26,'对应信息'!$D$2:$E$10,2,0)</f>
        <v>2E+3</v>
      </c>
      <c s="123">
        <f t="shared" si="1"/>
        <v>2003</v>
      </c>
      <c s="112" t="s">
        <v>350</v>
      </c>
    </row>
    <row r="27" ht="40.5" customHeight="1">
      <c r="A27" s="123" t="s">
        <v>117</v>
      </c>
      <c s="123" t="s">
        <v>90</v>
      </c>
      <c s="123"/>
      <c s="123" t="str">
        <f>IF(L27="","",'字段对应'!$B$10&amp;"="&amp;VLOOKUP(L27,'基础信息'!$I$2:$J$6,2,0)&amp;";")&amp;IF(M27="","",'字段对应'!$B$11&amp;"="&amp;VLOOKUP(M27,'基础信息'!$K$2:$L$6,2,0)&amp;";")&amp;IF(N27="","",'字段对应'!$C$2&amp;"="&amp;N27&amp;","&amp;O27&amp;","&amp;P27&amp;";")&amp;IF(Q27="","",'字段对应'!$B$13&amp;"="&amp;Q27&amp;";")&amp;IF(R27="","",'字段对应'!$B$14&amp;"="&amp;R27&amp;";")&amp;IF(U27="","",'字段对应'!$B$22&amp;"="&amp;U27&amp;";")&amp;IF(K27="","",'字段对应'!$B$21&amp;"="&amp;VLOOKUP(K27,'基础信息'!$F$2:$G$4,2,0))</f>
        <v>PhotoMode=1;ScanSpeed=2;Slit1=2.0;</v>
      </c>
      <c s="123" t="str">
        <f>IF(W27="","",'检测项信息'!W27&amp;":"&amp;'字段对应'!$B$16&amp;"|")&amp;IF(X27="","",X27&amp;":"&amp;IF(V27="是",'字段对应'!$C$17,'字段对应'!$B$17&amp;";"&amp;IF(H27="","",'字段对应'!$B$15&amp;"="&amp;'检测项信息'!H27))&amp;"|")&amp;IF(Y27="",":",Y27&amp;":")&amp;IF(V27="是",'字段对应'!$C$18,'字段对应'!$B$18&amp;";"&amp;IF(H27="","",'字段对应'!$B$15&amp;"="&amp;'检测项信息'!H27)&amp;IF(AND(T27="",S27=""),"",";"&amp;'字段对应'!$B$20&amp;"="&amp;T27&amp;";"&amp;'字段对应'!$B$19&amp;"="&amp;S27))</f>
        <v>黑挡块:Dark|空气:Zero;Wl=635,546,440|30%中性滤光片:Measure;Wl=635,546,440</v>
      </c>
      <c s="123">
        <v>3</v>
      </c>
      <c s="123">
        <v>1</v>
      </c>
      <c s="123" t="s">
        <v>118</v>
      </c>
      <c s="123" t="str">
        <f>VLOOKUP(J27,'字段对应'!$D$2:$E$8,2,0)</f>
        <v>Validation.ViewModel.DataStructure.WlPointsAndAverageUVTestTool</v>
      </c>
      <c s="123" t="s">
        <v>119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/>
      <c s="106"/>
      <c s="106"/>
      <c s="123" t="s">
        <v>72</v>
      </c>
      <c s="123" t="s">
        <v>114</v>
      </c>
      <c s="123" t="s">
        <v>115</v>
      </c>
      <c s="123" t="s">
        <v>90</v>
      </c>
      <c s="123">
        <f>VLOOKUP(A27,'对应信息'!$D$2:$E$10,2,0)</f>
        <v>2E+3</v>
      </c>
      <c s="123">
        <f t="shared" si="1"/>
        <v>2004</v>
      </c>
      <c s="112" t="s">
        <v>351</v>
      </c>
    </row>
    <row r="28" ht="43.5">
      <c r="A28" s="123" t="s">
        <v>145</v>
      </c>
      <c s="120" t="s">
        <v>145</v>
      </c>
      <c s="123" t="s">
        <v>146</v>
      </c>
      <c s="123" t="str">
        <f>IF(L28="","",'字段对应'!$B$10&amp;"="&amp;VLOOKUP(L28,'基础信息'!$I$2:$J$6,2,0)&amp;";")&amp;IF(M28="","",'字段对应'!$B$11&amp;"="&amp;VLOOKUP(M28,'基础信息'!$K$2:$L$6,2,0)&amp;";")&amp;IF(N28="","",'字段对应'!$C$2&amp;"="&amp;N28&amp;","&amp;O28&amp;","&amp;P28&amp;";")&amp;IF(Q28="","",'字段对应'!$B$13&amp;"="&amp;Q28&amp;";")&amp;IF(R28="","",'字段对应'!$B$14&amp;"="&amp;R28&amp;";")&amp;IF(U28="","",'字段对应'!$B$22&amp;"="&amp;U28&amp;";")&amp;IF(K28="","",'字段对应'!$B$21&amp;"="&amp;VLOOKUP(K28,'基础信息'!$F$2:$G$4,2,0))</f>
        <v>PhotoMode=1;ScanSpeed=2;Slit1=2.0;ResponseTime=1;</v>
      </c>
      <c s="123" t="str">
        <f>IF(W28="","",'检测项信息'!W28&amp;":"&amp;'字段对应'!$B$16&amp;"|")&amp;IF(X28="","",X28&amp;":"&amp;IF(V28="是",'字段对应'!$C$17,'字段对应'!$B$17&amp;";"&amp;IF(H28="","",'字段对应'!$B$15&amp;"="&amp;'检测项信息'!H28))&amp;"|")&amp;IF(Y28="",":",Y28&amp;":")&amp;IF(V28="是",'字段对应'!$C$18,'字段对应'!$B$18&amp;";"&amp;IF(H28="","",'字段对应'!$B$15&amp;"="&amp;'检测项信息'!H28)&amp;IF(AND(T28="",S28=""),"",";"&amp;'字段对应'!$B$20&amp;"="&amp;T28&amp;";"&amp;'字段对应'!$B$19&amp;"="&amp;S28))</f>
        <v>黑挡块:Dark|空气:Zero;Wl=500|空气:Measure;Wl=500;totalcount=3600;timeinterval=1</v>
      </c>
      <c s="123">
        <v>1</v>
      </c>
      <c s="123"/>
      <c s="123">
        <v>500</v>
      </c>
      <c s="123" t="str">
        <f>VLOOKUP(J28,'字段对应'!$D$2:$E$8,2,0)</f>
        <v>Validation.ViewModel.DataStructure.FindMaxOffsetUVTestTool</v>
      </c>
      <c s="123" t="s">
        <v>202</v>
      </c>
      <c s="106"/>
      <c s="106" t="s">
        <v>74</v>
      </c>
      <c s="106" t="s">
        <v>79</v>
      </c>
      <c s="106"/>
      <c s="106"/>
      <c s="106"/>
      <c s="106"/>
      <c s="106" t="s">
        <v>239</v>
      </c>
      <c s="106">
        <v>1</v>
      </c>
      <c s="106">
        <v>3600</v>
      </c>
      <c s="106">
        <v>1</v>
      </c>
      <c s="123" t="s">
        <v>72</v>
      </c>
      <c s="123" t="s">
        <v>114</v>
      </c>
      <c s="123" t="s">
        <v>115</v>
      </c>
      <c s="123" t="s">
        <v>115</v>
      </c>
      <c s="123">
        <f>VLOOKUP(A28,'对应信息'!$D$2:$E$10,2,0)</f>
        <v>9E+3</v>
      </c>
      <c s="123">
        <f t="shared" si="1"/>
        <v>9001</v>
      </c>
      <c s="124"/>
    </row>
    <row r="34" customHeight="1">
      <c r="E34" s="116"/>
    </row>
  </sheetData>
  <dataValidations>
    <dataValidation type="list" allowBlank="1" showInputMessage="1" showErrorMessage="1" sqref="M1:M1048576">
      <formula1>'基础信息'!$K$2:$K$6</formula1>
    </dataValidation>
    <dataValidation type="list" allowBlank="1" showInputMessage="1" showErrorMessage="1" sqref="J1:J1048576">
      <formula1>'字段对应'!$D$2:$D$8</formula1>
    </dataValidation>
    <dataValidation type="list" allowBlank="1" showInputMessage="1" showErrorMessage="1" sqref="L1:L1048576">
      <formula1>'基础信息'!$I$2:$I$6</formula1>
    </dataValidation>
    <dataValidation type="list" allowBlank="1" showInputMessage="1" showErrorMessage="1" sqref="Q1:Q1048576">
      <formula1>'基础信息'!$Q$2:$Q$7</formula1>
    </dataValidation>
    <dataValidation type="list" allowBlank="1" showInputMessage="1" showErrorMessage="1" sqref="R1:R1048576">
      <formula1>'基础信息'!$P$2:$P$6</formula1>
    </dataValidation>
    <dataValidation type="list" allowBlank="1" showInputMessage="1" showErrorMessage="1" sqref="V1:V1048576">
      <formula1>'基础信息'!$E$2:$E$3</formula1>
    </dataValidation>
    <dataValidation type="list" allowBlank="1" showInputMessage="1" showErrorMessage="1" sqref="K1:K1048576">
      <formula1>'基础信息'!$F$2:$F$4</formula1>
    </dataValidation>
    <dataValidation type="list" allowBlank="1" showInputMessage="1" showErrorMessage="1" sqref="U1:U1048576">
      <formula1>'基础信息'!$R$2:$R$5</formula1>
    </dataValidation>
    <dataValidation type="list" allowBlank="1" showInputMessage="1" showErrorMessage="1" sqref="P1:P1048576">
      <formula1>'基础信息'!$M$2:$M$9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2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35.38" customWidth="1" style="206"/>
    <col min="2" max="2" width="27.5" customWidth="1" style="206"/>
    <col min="3" max="3" width="15.75" customWidth="1" style="206"/>
    <col min="4" max="4" width="20.25" customWidth="1" style="206"/>
    <col min="5" max="16384" width="9" style="206"/>
  </cols>
  <sheetData>
    <row r="1" customHeight="1">
      <c r="A1" s="126" t="s">
        <v>210</v>
      </c>
      <c s="126" t="s">
        <v>15</v>
      </c>
      <c s="126" t="s">
        <v>57</v>
      </c>
      <c s="345" t="s">
        <v>271</v>
      </c>
    </row>
    <row r="2" customHeight="1">
      <c r="A2" s="173" t="s">
        <v>117</v>
      </c>
      <c s="217" t="s">
        <v>120</v>
      </c>
      <c s="343" t="s">
        <v>190</v>
      </c>
      <c s="343">
        <v>23.2</v>
      </c>
    </row>
    <row r="3" customHeight="1">
      <c r="A3" s="115"/>
      <c s="115"/>
      <c s="343" t="s">
        <v>191</v>
      </c>
      <c s="343">
        <v>51.58</v>
      </c>
    </row>
    <row r="4" ht="12" customHeight="1">
      <c r="A4" s="115"/>
      <c s="115"/>
      <c s="171" t="s">
        <v>192</v>
      </c>
      <c s="343">
        <v>14.06</v>
      </c>
    </row>
    <row r="5" customHeight="1">
      <c r="A5" s="115"/>
      <c s="121"/>
      <c s="171" t="s">
        <v>193</v>
      </c>
      <c s="343">
        <v>18.42</v>
      </c>
    </row>
    <row r="6" customHeight="1">
      <c r="A6" s="115"/>
      <c s="180" t="s">
        <v>83</v>
      </c>
      <c s="343" t="s">
        <v>187</v>
      </c>
      <c s="343">
        <v>7.57</v>
      </c>
    </row>
    <row r="7" customHeight="1">
      <c r="A7" s="115"/>
      <c s="113"/>
      <c s="343" t="s">
        <v>188</v>
      </c>
      <c s="343">
        <v>10.1</v>
      </c>
    </row>
    <row r="8" customHeight="1">
      <c r="A8" s="115"/>
      <c s="119"/>
      <c s="343" t="s">
        <v>189</v>
      </c>
      <c s="343">
        <v>10.07</v>
      </c>
    </row>
    <row r="9" customHeight="1">
      <c r="A9" s="115"/>
      <c s="180" t="s">
        <v>87</v>
      </c>
      <c s="343" t="s">
        <v>187</v>
      </c>
      <c s="343">
        <v>18.98</v>
      </c>
    </row>
    <row r="10" customHeight="1">
      <c r="A10" s="115"/>
      <c s="113"/>
      <c s="343" t="s">
        <v>188</v>
      </c>
      <c s="343">
        <v>20.09</v>
      </c>
    </row>
    <row r="11" customHeight="1">
      <c r="A11" s="115"/>
      <c s="119"/>
      <c s="343" t="s">
        <v>189</v>
      </c>
      <c s="343">
        <v>20.91</v>
      </c>
    </row>
    <row r="12" customHeight="1">
      <c r="A12" s="115"/>
      <c s="180" t="s">
        <v>90</v>
      </c>
      <c s="343" t="s">
        <v>187</v>
      </c>
      <c s="343">
        <v>29.96</v>
      </c>
    </row>
    <row r="13" customHeight="1">
      <c r="A13" s="115"/>
      <c s="113"/>
      <c s="343" t="s">
        <v>188</v>
      </c>
      <c s="343">
        <v>30.43</v>
      </c>
    </row>
    <row r="14" customHeight="1">
      <c r="A14" s="121"/>
      <c s="119"/>
      <c s="343" t="s">
        <v>189</v>
      </c>
      <c s="343">
        <v>28.88</v>
      </c>
    </row>
    <row r="15" customHeight="1">
      <c r="A15" s="217" t="s">
        <v>111</v>
      </c>
      <c s="339" t="s">
        <v>16</v>
      </c>
      <c s="344" t="s">
        <v>112</v>
      </c>
      <c s="344"/>
    </row>
    <row r="16" customHeight="1">
      <c r="A16" s="115"/>
      <c s="216" t="s">
        <v>207</v>
      </c>
      <c s="344" t="s">
        <v>294</v>
      </c>
      <c s="344"/>
    </row>
    <row r="17" customHeight="1">
      <c r="A17" s="115"/>
      <c s="341"/>
      <c s="344" t="s">
        <v>295</v>
      </c>
      <c s="344"/>
    </row>
    <row r="18" customHeight="1">
      <c r="A18" s="115"/>
      <c s="341"/>
      <c s="344" t="s">
        <v>296</v>
      </c>
      <c s="344"/>
    </row>
    <row r="19" customHeight="1">
      <c r="A19" s="115"/>
      <c s="341"/>
      <c s="344" t="s">
        <v>297</v>
      </c>
      <c s="344"/>
    </row>
    <row r="20" customHeight="1">
      <c r="A20" s="115"/>
      <c s="341"/>
      <c s="344" t="s">
        <v>298</v>
      </c>
      <c s="344"/>
    </row>
    <row r="21" customHeight="1">
      <c r="A21" s="121"/>
      <c s="342"/>
      <c s="344" t="s">
        <v>299</v>
      </c>
      <c s="344"/>
    </row>
    <row r="23" customHeight="1">
      <c r="A23" s="195" t="s">
        <v>238</v>
      </c>
      <c s="195"/>
      <c s="195"/>
      <c s="195"/>
    </row>
  </sheetData>
  <mergeCells>
    <mergeCell ref="A23:D23"/>
    <mergeCell ref="B16:B21"/>
    <mergeCell ref="A15:A21"/>
    <mergeCell ref="A2:A14"/>
    <mergeCell ref="B2:B5"/>
    <mergeCell ref="B6:B8"/>
    <mergeCell ref="B9:B11"/>
    <mergeCell ref="B12:B14"/>
  </mergeCells>
  <printOptions/>
  <pageMargins left="0.7" right="0.7" top="0.75" bottom="0.75" header="0.3" footer="0.3"/>
  <pageSetup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 showRowColHeaders="0">
      <pane topLeftCell="A1"/>
      <selection activeCellId="0" activeCell="A1" sqref="A1"/>
    </sheetView>
  </sheetViews>
  <sheetFormatPr defaultColWidth="9" defaultRowHeight="14.25" customHeight="1"/>
  <cols>
    <col min="1" max="2" width="16.13" customWidth="1" style="206"/>
    <col min="3" max="3" width="9" style="206"/>
    <col min="4" max="4" width="13.88" customWidth="1" style="206"/>
    <col min="5" max="5" width="69.88" customWidth="1" style="206"/>
    <col min="6" max="16384" width="9" style="206"/>
  </cols>
  <sheetData>
    <row r="1" customHeight="1">
      <c r="A1" s="52" t="s">
        <v>148</v>
      </c>
      <c s="52" t="s">
        <v>149</v>
      </c>
      <c r="D1" s="52" t="s">
        <v>150</v>
      </c>
      <c s="52" t="s">
        <v>151</v>
      </c>
    </row>
    <row r="2" customHeight="1">
      <c r="A2" s="82" t="s">
        <v>103</v>
      </c>
      <c s="82" t="s">
        <v>152</v>
      </c>
      <c s="82" t="s">
        <v>203</v>
      </c>
      <c s="13" t="s">
        <v>113</v>
      </c>
      <c s="82" t="s">
        <v>153</v>
      </c>
    </row>
    <row r="3" customHeight="1">
      <c r="A3" s="82" t="s">
        <v>104</v>
      </c>
      <c s="82" t="s">
        <v>154</v>
      </c>
      <c r="D3" s="82" t="s">
        <v>119</v>
      </c>
      <c s="82" t="s">
        <v>155</v>
      </c>
    </row>
    <row r="4" customHeight="1">
      <c r="A4" s="82" t="s">
        <v>64</v>
      </c>
      <c s="82" t="s">
        <v>156</v>
      </c>
      <c r="D4" s="13" t="s">
        <v>123</v>
      </c>
      <c s="82" t="s">
        <v>157</v>
      </c>
    </row>
    <row r="5" customHeight="1">
      <c r="A5" s="82" t="s">
        <v>100</v>
      </c>
      <c s="82" t="s">
        <v>158</v>
      </c>
      <c r="D5" s="13" t="s">
        <v>202</v>
      </c>
      <c s="82" t="s">
        <v>159</v>
      </c>
    </row>
    <row r="6" customHeight="1">
      <c r="A6" s="82" t="s">
        <v>98</v>
      </c>
      <c s="82" t="s">
        <v>160</v>
      </c>
      <c r="D6" s="13" t="s">
        <v>130</v>
      </c>
      <c s="82" t="s">
        <v>161</v>
      </c>
    </row>
    <row r="7" customHeight="1">
      <c r="A7" s="82" t="s">
        <v>99</v>
      </c>
      <c s="82" t="s">
        <v>162</v>
      </c>
      <c r="D7" s="329" t="s">
        <v>126</v>
      </c>
      <c s="82" t="s">
        <v>163</v>
      </c>
    </row>
    <row r="8" customHeight="1">
      <c r="A8" s="82" t="s">
        <v>164</v>
      </c>
      <c s="82" t="s">
        <v>165</v>
      </c>
      <c r="D8" s="13" t="s">
        <v>147</v>
      </c>
      <c s="82" t="s">
        <v>166</v>
      </c>
    </row>
    <row r="9" customHeight="1">
      <c r="A9" s="82" t="s">
        <v>97</v>
      </c>
      <c s="82" t="s">
        <v>167</v>
      </c>
    </row>
    <row r="10" customHeight="1">
      <c r="A10" s="82" t="s">
        <v>102</v>
      </c>
      <c s="82" t="s">
        <v>168</v>
      </c>
    </row>
    <row r="11" customHeight="1">
      <c r="A11" s="82" t="s">
        <v>62</v>
      </c>
      <c s="82" t="s">
        <v>323</v>
      </c>
    </row>
    <row r="12" customHeight="1">
      <c r="A12" s="82" t="s">
        <v>105</v>
      </c>
      <c s="82" t="s">
        <v>169</v>
      </c>
    </row>
    <row r="13" customHeight="1">
      <c r="A13" s="82" t="s">
        <v>67</v>
      </c>
      <c s="82" t="s">
        <v>324</v>
      </c>
    </row>
    <row r="14" customHeight="1">
      <c r="A14" s="82" t="s">
        <v>30</v>
      </c>
      <c s="82" t="s">
        <v>170</v>
      </c>
    </row>
    <row r="15" customHeight="1">
      <c r="A15" s="82" t="s">
        <v>57</v>
      </c>
      <c s="82" t="s">
        <v>171</v>
      </c>
    </row>
    <row r="16" customHeight="1">
      <c r="A16" s="82" t="s">
        <v>172</v>
      </c>
      <c s="82" t="s">
        <v>173</v>
      </c>
    </row>
    <row r="17" customHeight="1">
      <c r="A17" s="82" t="s">
        <v>174</v>
      </c>
      <c s="82" t="s">
        <v>175</v>
      </c>
      <c s="82" t="s">
        <v>176</v>
      </c>
    </row>
    <row r="18" customHeight="1">
      <c r="A18" s="82" t="s">
        <v>177</v>
      </c>
      <c s="82" t="s">
        <v>178</v>
      </c>
      <c s="82" t="s">
        <v>179</v>
      </c>
    </row>
    <row r="19" customHeight="1">
      <c r="A19" s="82" t="s">
        <v>106</v>
      </c>
      <c s="125" t="s">
        <v>200</v>
      </c>
    </row>
    <row r="20" customHeight="1">
      <c r="A20" s="82" t="s">
        <v>107</v>
      </c>
      <c s="82" t="s">
        <v>199</v>
      </c>
      <c r="D20" s="82"/>
    </row>
    <row r="21" customHeight="1">
      <c r="A21" s="82" t="s">
        <v>204</v>
      </c>
      <c s="125" t="s">
        <v>325</v>
      </c>
    </row>
    <row r="22" customHeight="1">
      <c r="A22" s="82" t="s">
        <v>241</v>
      </c>
      <c s="125" t="s">
        <v>242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N19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1.5" customWidth="1" style="24"/>
    <col min="2" max="2" width="7.75" customWidth="1" style="24"/>
    <col min="3" max="6" width="8.5" customWidth="1" style="33"/>
    <col min="7" max="7" width="8.5" customWidth="1" style="88"/>
    <col min="8" max="8" width="7.75" customWidth="1" style="33"/>
    <col min="9" max="9" width="9.75" customWidth="1" style="24"/>
    <col min="10" max="10" width="7.38" customWidth="1" style="24"/>
    <col min="11" max="11" width="10" customWidth="1" style="24"/>
    <col min="12" max="12" width="10.5" customWidth="1" style="35"/>
    <col min="13" max="13" width="9" style="24"/>
    <col min="14" max="14" width="6.63" customWidth="1" style="24"/>
    <col min="15" max="16384" width="9" style="24"/>
  </cols>
  <sheetData>
    <row r="1" ht="28.5">
      <c r="A1" s="126" t="s">
        <v>97</v>
      </c>
      <c s="126" t="s">
        <v>331</v>
      </c>
      <c s="207" t="s">
        <v>194</v>
      </c>
      <c s="22"/>
      <c s="143"/>
      <c s="345" t="s">
        <v>180</v>
      </c>
      <c s="94" t="s">
        <v>181</v>
      </c>
      <c s="345" t="s">
        <v>332</v>
      </c>
      <c s="196" t="s">
        <v>182</v>
      </c>
      <c s="38" t="s">
        <v>183</v>
      </c>
      <c s="39" t="s">
        <v>184</v>
      </c>
    </row>
    <row r="2" ht="15" customHeight="1">
      <c r="A2" s="339" t="s">
        <v>352</v>
      </c>
      <c s="344" t="s">
        <v>116</v>
      </c>
      <c s="145">
        <v>656.1</v>
      </c>
      <c s="145">
        <v>656.1</v>
      </c>
      <c s="145">
        <v>656.08</v>
      </c>
      <c s="203">
        <f ref="F2:F10" t="shared" si="0">IFERROR(AVERAGE(C2:E2),"")</f>
        <v>656.0933333333334</v>
      </c>
      <c s="204">
        <f ref="G2:G10" t="shared" si="1">IFERROR(F2-B2,"")</f>
        <v>-0.006666666666660603</v>
      </c>
      <c s="87">
        <f ref="H2:H10" t="shared" si="2">MAX(C2:E2)-MIN(C2:E2)</f>
        <v>0.01999999999998181</v>
      </c>
      <c s="87">
        <v>0.1</v>
      </c>
      <c s="129">
        <v>0.1</v>
      </c>
      <c s="52" t="str">
        <f ref="K2:K10" t="shared" si="3">IF(C2="","不合格",IF(AND(ROUND(ABS(G2),1)&lt;=ROUND(ABS(I2),1),ROUND(H2,1)&lt;=ROUND(J2,1)),"合格","不合格"))</f>
        <v>合格</v>
      </c>
      <c s="98"/>
    </row>
    <row r="3" ht="15" customHeight="1">
      <c r="A3" s="339" t="s">
        <v>353</v>
      </c>
      <c s="344" t="s">
        <v>208</v>
      </c>
      <c s="145">
        <v>486.02</v>
      </c>
      <c s="145">
        <v>486.06</v>
      </c>
      <c s="145">
        <v>486.06</v>
      </c>
      <c s="203">
        <f t="shared" si="0"/>
        <v>486.0466666666666</v>
      </c>
      <c s="204">
        <f t="shared" si="1"/>
        <v>0.046666666666624224</v>
      </c>
      <c s="87">
        <f t="shared" si="2"/>
        <v>0.040000000000020464</v>
      </c>
      <c s="87">
        <v>0.1</v>
      </c>
      <c s="129">
        <v>0.1</v>
      </c>
      <c s="52" t="str">
        <f t="shared" si="3"/>
        <v>合格</v>
      </c>
      <c s="98"/>
    </row>
    <row r="4" ht="15" customHeight="1">
      <c r="A4" s="339" t="s">
        <v>16</v>
      </c>
      <c s="344" t="str">
        <f>'标准值'!C15</f>
        <v>807.4</v>
      </c>
      <c s="145">
        <v>807.3</v>
      </c>
      <c s="145">
        <v>807.3</v>
      </c>
      <c s="145">
        <v>807.3</v>
      </c>
      <c s="203">
        <f t="shared" si="0"/>
        <v>807.2999999999998</v>
      </c>
      <c s="204">
        <f t="shared" si="1"/>
        <v>-0.10000000000013642</v>
      </c>
      <c s="87">
        <f t="shared" si="2"/>
        <v>0</v>
      </c>
      <c s="87">
        <v>0.3</v>
      </c>
      <c s="129">
        <v>0.1</v>
      </c>
      <c s="52" t="str">
        <f t="shared" si="3"/>
        <v>合格</v>
      </c>
      <c s="24"/>
      <c r="N4" s="37"/>
    </row>
    <row r="5" ht="12" customHeight="1">
      <c r="A5" s="216" t="s">
        <v>207</v>
      </c>
      <c s="344" t="str">
        <f>'标准值'!C16</f>
        <v>640.7</v>
      </c>
      <c s="145">
        <v>640.9</v>
      </c>
      <c s="145">
        <v>641</v>
      </c>
      <c s="145">
        <v>640.9</v>
      </c>
      <c s="203">
        <f t="shared" si="0"/>
        <v>640.9333333333334</v>
      </c>
      <c s="204">
        <f t="shared" si="1"/>
        <v>0.2333333333333485</v>
      </c>
      <c s="87">
        <f t="shared" si="2"/>
        <v>0.10000000000002274</v>
      </c>
      <c s="87">
        <v>0.3</v>
      </c>
      <c s="129">
        <v>0.1</v>
      </c>
      <c s="52" t="str">
        <f t="shared" si="3"/>
        <v>合格</v>
      </c>
      <c s="98"/>
    </row>
    <row r="6" customHeight="1">
      <c r="A6" s="341"/>
      <c s="344" t="str">
        <f>'标准值'!C17</f>
        <v>536.8</v>
      </c>
      <c s="145">
        <v>536.9</v>
      </c>
      <c s="145">
        <v>536.9</v>
      </c>
      <c s="145">
        <v>536.9</v>
      </c>
      <c s="203">
        <f t="shared" si="0"/>
        <v>536.9</v>
      </c>
      <c s="204">
        <f t="shared" si="1"/>
        <v>0.10000000000002274</v>
      </c>
      <c s="87">
        <f t="shared" si="2"/>
        <v>0</v>
      </c>
      <c s="87">
        <v>0.3</v>
      </c>
      <c s="129">
        <v>0.1</v>
      </c>
      <c s="52" t="str">
        <f t="shared" si="3"/>
        <v>合格</v>
      </c>
      <c s="98"/>
      <c r="N6" s="96"/>
    </row>
    <row r="7" customHeight="1">
      <c r="A7" s="341"/>
      <c s="344" t="str">
        <f>'标准值'!C18</f>
        <v>416.5</v>
      </c>
      <c s="145">
        <v>416.5</v>
      </c>
      <c s="145">
        <v>416.5</v>
      </c>
      <c s="145">
        <v>416.5</v>
      </c>
      <c s="203">
        <f t="shared" si="0"/>
        <v>416.5</v>
      </c>
      <c s="204">
        <f t="shared" si="1"/>
        <v>0</v>
      </c>
      <c s="87">
        <f t="shared" si="2"/>
        <v>0</v>
      </c>
      <c s="87">
        <v>0.3</v>
      </c>
      <c s="129">
        <v>0.1</v>
      </c>
      <c s="52" t="str">
        <f t="shared" si="3"/>
        <v>合格</v>
      </c>
      <c s="98"/>
    </row>
    <row r="8" ht="15" customHeight="1">
      <c r="A8" s="341"/>
      <c s="344" t="str">
        <f>'标准值'!C19</f>
        <v>361.0</v>
      </c>
      <c s="145">
        <v>361.1</v>
      </c>
      <c s="145">
        <v>361.1</v>
      </c>
      <c s="145">
        <v>361.1</v>
      </c>
      <c s="203">
        <f t="shared" si="0"/>
        <v>361.1000000000001</v>
      </c>
      <c s="204">
        <f t="shared" si="1"/>
        <v>0.10000000000007958</v>
      </c>
      <c s="87">
        <f t="shared" si="2"/>
        <v>0</v>
      </c>
      <c s="87">
        <v>0.3</v>
      </c>
      <c s="129">
        <v>0.1</v>
      </c>
      <c s="52" t="str">
        <f t="shared" si="3"/>
        <v>合格</v>
      </c>
      <c s="98"/>
    </row>
    <row r="9" ht="15" customHeight="1">
      <c r="A9" s="341"/>
      <c s="344" t="str">
        <f>'标准值'!C20</f>
        <v>287.4</v>
      </c>
      <c s="145">
        <v>287.4</v>
      </c>
      <c s="145">
        <v>287.5</v>
      </c>
      <c s="145">
        <v>287.5</v>
      </c>
      <c s="203">
        <f t="shared" si="0"/>
        <v>287.46666666666664</v>
      </c>
      <c s="204">
        <f t="shared" si="1"/>
        <v>0.06666666666666288</v>
      </c>
      <c s="87">
        <f t="shared" si="2"/>
        <v>0.10000000000002274</v>
      </c>
      <c s="87">
        <v>0.3</v>
      </c>
      <c s="129">
        <v>0.1</v>
      </c>
      <c s="52" t="str">
        <f t="shared" si="3"/>
        <v>合格</v>
      </c>
      <c s="98"/>
    </row>
    <row r="10" ht="15" customHeight="1">
      <c r="A10" s="342"/>
      <c s="344" t="str">
        <f>'标准值'!C21</f>
        <v>241.0</v>
      </c>
      <c s="145">
        <v>241.1</v>
      </c>
      <c s="145">
        <v>241.1</v>
      </c>
      <c s="145">
        <v>241.1</v>
      </c>
      <c s="203">
        <f t="shared" si="0"/>
        <v>241.1</v>
      </c>
      <c s="204">
        <f t="shared" si="1"/>
        <v>0.09999999999999432</v>
      </c>
      <c s="87">
        <f t="shared" si="2"/>
        <v>0</v>
      </c>
      <c s="87">
        <v>0.3</v>
      </c>
      <c s="129">
        <v>0.1</v>
      </c>
      <c s="52" t="str">
        <f t="shared" si="3"/>
        <v>合格</v>
      </c>
      <c s="98"/>
    </row>
    <row r="11" ht="15" customHeight="1">
      <c r="A11" s="215"/>
      <c s="8"/>
      <c s="23"/>
      <c s="179"/>
      <c s="179"/>
      <c s="179"/>
      <c s="95"/>
      <c s="179"/>
      <c s="179"/>
      <c s="36"/>
      <c s="32"/>
      <c s="98"/>
    </row>
    <row r="12" customHeight="1">
      <c r="L12" s="24"/>
    </row>
    <row r="13" customHeight="1">
      <c r="L13" s="24"/>
    </row>
    <row r="14" customHeight="1">
      <c r="L14" s="24"/>
    </row>
    <row r="15" customHeight="1">
      <c r="L15" s="24"/>
    </row>
    <row r="16" customHeight="1">
      <c r="L16" s="24"/>
    </row>
    <row r="17" customHeight="1">
      <c r="L17" s="24"/>
    </row>
    <row r="18" customHeight="1">
      <c r="L18" s="24"/>
    </row>
    <row r="19" customHeight="1">
      <c r="L19" s="24"/>
    </row>
  </sheetData>
  <mergeCells>
    <mergeCell ref="C1:E1"/>
    <mergeCell ref="A5:A10"/>
  </mergeCells>
  <conditionalFormatting sqref="K2:K11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L3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3.38" customWidth="1" style="24"/>
    <col min="2" max="2" width="7.25" customWidth="1" style="32"/>
    <col min="3" max="3" width="7.25" customWidth="1" style="33"/>
    <col min="4" max="6" width="7.88" customWidth="1" style="34"/>
    <col min="7" max="7" width="8.75" customWidth="1" style="100"/>
    <col min="8" max="8" width="7.88" customWidth="1" style="101"/>
    <col min="9" max="9" width="7.25" customWidth="1" style="33"/>
    <col min="10" max="11" width="7.25" customWidth="1" style="24"/>
    <col min="12" max="12" width="10" customWidth="1" style="24"/>
    <col min="13" max="13" width="9" style="24"/>
    <col min="14" max="14" width="14.38" customWidth="1" style="24"/>
    <col min="15" max="20" width="9" style="24"/>
    <col min="21" max="21" width="16.13" customWidth="1" style="24"/>
    <col min="22" max="22" width="13.88" customWidth="1" style="24"/>
    <col min="23" max="16384" width="9" style="24"/>
  </cols>
  <sheetData>
    <row r="1" ht="43.5">
      <c r="A1" s="126" t="s">
        <v>97</v>
      </c>
      <c s="126" t="s">
        <v>344</v>
      </c>
      <c s="345" t="s">
        <v>271</v>
      </c>
      <c s="340" t="s">
        <v>29</v>
      </c>
      <c s="3"/>
      <c s="197"/>
      <c s="345" t="s">
        <v>328</v>
      </c>
      <c s="94" t="s">
        <v>329</v>
      </c>
      <c s="345" t="s">
        <v>330</v>
      </c>
      <c s="196" t="s">
        <v>185</v>
      </c>
      <c s="196" t="s">
        <v>186</v>
      </c>
      <c s="126" t="s">
        <v>184</v>
      </c>
    </row>
    <row r="2" ht="15" customHeight="1">
      <c r="A2" s="217" t="s">
        <v>120</v>
      </c>
      <c s="343">
        <v>350</v>
      </c>
      <c s="343">
        <f>'标准值'!D2</f>
        <v>23.2</v>
      </c>
      <c s="198">
        <v>23.1695086092232</v>
      </c>
      <c s="198">
        <v>23.1709922083654</v>
      </c>
      <c s="198">
        <v>23.1714843847568</v>
      </c>
      <c s="29">
        <f ref="G2:G14" t="shared" si="0">IFERROR(AVERAGE(D2:F2),"")</f>
        <v>23.170661734115132</v>
      </c>
      <c s="86">
        <f ref="H2:H14" t="shared" si="1">IFERROR(G2-C2,"")</f>
        <v>-0.0293382658848671</v>
      </c>
      <c s="99">
        <f ref="I2:I14" t="shared" si="2">MAX(ROUND(D2,2),ROUND(E2,2),ROUND(F2,2))-MIN(ROUND(D2,2),ROUND(E2,2),ROUND(F2,2))</f>
        <v>0</v>
      </c>
      <c s="30">
        <v>0.3</v>
      </c>
      <c s="30">
        <v>0.1</v>
      </c>
      <c s="52" t="str">
        <f ref="L2:L14" t="shared" si="3">IF(D2="","不合格",IF(AND(ROUND(ABS(H2),2)&lt;=ROUND(ABS(J2),2),ROUND(I2,2)&lt;=ROUND(K2,2)),"合格","不合格"))</f>
        <v>合格</v>
      </c>
    </row>
    <row r="3" customHeight="1">
      <c r="A3" s="115"/>
      <c s="343">
        <v>313</v>
      </c>
      <c s="343">
        <f>'标准值'!D3</f>
        <v>51.58</v>
      </c>
      <c s="198">
        <v>51.5395744647791</v>
      </c>
      <c s="198">
        <v>51.539634642875</v>
      </c>
      <c s="198">
        <v>51.541964158334</v>
      </c>
      <c s="29">
        <f t="shared" si="0"/>
        <v>51.540391088662695</v>
      </c>
      <c s="86">
        <f t="shared" si="1"/>
        <v>-0.03960891133730371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4" customHeight="1">
      <c r="A4" s="115"/>
      <c s="171">
        <v>257</v>
      </c>
      <c s="343">
        <f>'标准值'!D4</f>
        <v>14.06</v>
      </c>
      <c s="198">
        <v>14.029948316703</v>
      </c>
      <c s="198">
        <v>14.0303284843965</v>
      </c>
      <c s="198">
        <v>14.029771595901</v>
      </c>
      <c s="29">
        <f t="shared" si="0"/>
        <v>14.0300161323335</v>
      </c>
      <c s="86">
        <f t="shared" si="1"/>
        <v>-0.029983867666500075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5" customHeight="1">
      <c r="A5" s="121"/>
      <c s="171">
        <v>235</v>
      </c>
      <c s="343">
        <f>'标准值'!D5</f>
        <v>18.42</v>
      </c>
      <c s="198">
        <v>18.2940473077242</v>
      </c>
      <c s="198">
        <v>18.293776577737</v>
      </c>
      <c s="198">
        <v>18.2937851133586</v>
      </c>
      <c s="29">
        <f t="shared" si="0"/>
        <v>18.293869666273267</v>
      </c>
      <c s="86">
        <f t="shared" si="1"/>
        <v>-0.126130333726735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6" customHeight="1">
      <c r="A6" s="180" t="s">
        <v>83</v>
      </c>
      <c s="343">
        <v>635</v>
      </c>
      <c s="343">
        <f>'标准值'!D6</f>
        <v>7.57</v>
      </c>
      <c s="198">
        <v>7.75166824161767</v>
      </c>
      <c s="198">
        <v>7.75191707520083</v>
      </c>
      <c s="198">
        <v>7.75181047646345</v>
      </c>
      <c s="29">
        <f t="shared" si="0"/>
        <v>7.751798597760651</v>
      </c>
      <c s="86">
        <f t="shared" si="1"/>
        <v>0.18179859776065044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7" ht="15" customHeight="1">
      <c r="A7" s="113"/>
      <c s="343">
        <v>546</v>
      </c>
      <c s="343">
        <f>'标准值'!D7</f>
        <v>10.1</v>
      </c>
      <c s="198">
        <v>10.3301436804514</v>
      </c>
      <c s="198">
        <v>10.3299302494288</v>
      </c>
      <c s="198">
        <v>10.3298861317142</v>
      </c>
      <c s="29">
        <f t="shared" si="0"/>
        <v>10.329986687198133</v>
      </c>
      <c s="86">
        <f t="shared" si="1"/>
        <v>0.2299866871981333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8" ht="15" customHeight="1">
      <c r="A8" s="119"/>
      <c s="343">
        <v>440</v>
      </c>
      <c s="343">
        <f>'标准值'!D8</f>
        <v>10.07</v>
      </c>
      <c s="198">
        <v>10.3640863392208</v>
      </c>
      <c s="198">
        <v>10.3641182773453</v>
      </c>
      <c s="198">
        <v>10.3637519667705</v>
      </c>
      <c s="29">
        <f t="shared" si="0"/>
        <v>10.363985527778867</v>
      </c>
      <c s="86">
        <f t="shared" si="1"/>
        <v>0.293985527778867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9" ht="15" customHeight="1">
      <c r="A9" s="180" t="s">
        <v>87</v>
      </c>
      <c s="343">
        <v>635</v>
      </c>
      <c s="343">
        <f>'标准值'!D9</f>
        <v>18.98</v>
      </c>
      <c s="198">
        <v>19.0585833343744</v>
      </c>
      <c s="198">
        <v>19.0579438521496</v>
      </c>
      <c s="198">
        <v>19.058252734163</v>
      </c>
      <c s="29">
        <f t="shared" si="0"/>
        <v>19.058259973562333</v>
      </c>
      <c s="86">
        <f t="shared" si="1"/>
        <v>0.07825997356233216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10" ht="15" customHeight="1">
      <c r="A10" s="113"/>
      <c s="343">
        <v>546</v>
      </c>
      <c s="343">
        <f>'标准值'!D10</f>
        <v>20.09</v>
      </c>
      <c s="198">
        <v>20.1903415407004</v>
      </c>
      <c s="198">
        <v>20.1902413228065</v>
      </c>
      <c s="198">
        <v>20.190618913159</v>
      </c>
      <c s="29">
        <f t="shared" si="0"/>
        <v>20.190400592221966</v>
      </c>
      <c s="86">
        <f t="shared" si="1"/>
        <v>0.10040059222196618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11" customHeight="1">
      <c r="A11" s="119"/>
      <c s="343">
        <v>440</v>
      </c>
      <c s="343">
        <f>'标准值'!D11</f>
        <v>20.91</v>
      </c>
      <c s="198">
        <v>21.0502365018174</v>
      </c>
      <c s="198">
        <v>21.0502065973662</v>
      </c>
      <c s="198">
        <v>21.0499554629932</v>
      </c>
      <c s="29">
        <f t="shared" si="0"/>
        <v>21.05013285405893</v>
      </c>
      <c s="86">
        <f t="shared" si="1"/>
        <v>0.14013285405892972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12" customHeight="1">
      <c r="A12" s="180" t="s">
        <v>90</v>
      </c>
      <c s="343">
        <v>635</v>
      </c>
      <c s="343">
        <f>'标准值'!D12</f>
        <v>29.96</v>
      </c>
      <c s="198">
        <v>30.0224254920484</v>
      </c>
      <c s="198">
        <v>30.0211371589313</v>
      </c>
      <c s="198">
        <v>30.0214548843335</v>
      </c>
      <c s="29">
        <f t="shared" si="0"/>
        <v>30.02167251177106</v>
      </c>
      <c s="86">
        <f t="shared" si="1"/>
        <v>0.06167251177106081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13" customHeight="1">
      <c r="A13" s="113"/>
      <c s="343">
        <v>546</v>
      </c>
      <c s="343">
        <f>'标准值'!D13</f>
        <v>30.43</v>
      </c>
      <c s="198">
        <v>30.4766420500908</v>
      </c>
      <c s="198">
        <v>30.4769811718349</v>
      </c>
      <c s="198">
        <v>30.4756836227976</v>
      </c>
      <c s="29">
        <f t="shared" si="0"/>
        <v>30.476435614907768</v>
      </c>
      <c s="86">
        <f t="shared" si="1"/>
        <v>0.04643561490776804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14" customHeight="1">
      <c r="A14" s="119"/>
      <c s="343">
        <v>440</v>
      </c>
      <c s="343">
        <f>'标准值'!D14</f>
        <v>28.88</v>
      </c>
      <c s="198">
        <v>28.9858700643312</v>
      </c>
      <c s="198">
        <v>28.9860795998223</v>
      </c>
      <c s="198">
        <v>28.9862594930665</v>
      </c>
      <c s="29">
        <f t="shared" si="0"/>
        <v>28.98606971907333</v>
      </c>
      <c s="86">
        <f t="shared" si="1"/>
        <v>0.10606971907333218</v>
      </c>
      <c s="99">
        <f t="shared" si="2"/>
        <v>0</v>
      </c>
      <c s="30">
        <v>0.3</v>
      </c>
      <c s="30">
        <v>0.1</v>
      </c>
      <c s="52" t="str">
        <f t="shared" si="3"/>
        <v>合格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>
    <mergeCell ref="D1:F1"/>
    <mergeCell ref="A6:A8"/>
    <mergeCell ref="A9:A11"/>
    <mergeCell ref="A12:A14"/>
    <mergeCell ref="A2:A5"/>
  </mergeCells>
  <conditionalFormatting sqref="L2:L14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8.38" customWidth="1" style="24"/>
    <col min="2" max="2" width="7.88" customWidth="1" style="24"/>
    <col min="3" max="5" width="12.75" customWidth="1" style="41"/>
    <col min="6" max="6" width="10" customWidth="1" style="33"/>
    <col min="7" max="7" width="9.38" customWidth="1" style="24"/>
    <col min="8" max="16384" width="9" style="24"/>
  </cols>
  <sheetData>
    <row r="1" ht="30" customHeight="1">
      <c r="A1" s="126" t="s">
        <v>97</v>
      </c>
      <c s="126" t="s">
        <v>243</v>
      </c>
      <c s="200" t="s">
        <v>29</v>
      </c>
      <c s="144"/>
      <c s="199"/>
      <c s="140" t="s">
        <v>244</v>
      </c>
      <c s="126" t="s">
        <v>184</v>
      </c>
    </row>
    <row r="2" ht="18" customHeight="1">
      <c r="A2" s="40" t="s">
        <v>23</v>
      </c>
      <c s="40">
        <v>220</v>
      </c>
      <c s="142">
        <v>0.00697364891249683</v>
      </c>
      <c s="142">
        <v>0.00714365860510933</v>
      </c>
      <c s="142">
        <v>0.00680410545029554</v>
      </c>
      <c s="130">
        <v>0.01</v>
      </c>
      <c s="52" t="str">
        <f ref="G2:G3" t="shared" si="0">IF(C2="","不合格",IF(ROUND(ABS(AVERAGE(C2:E2)),4)&lt;ROUND(F2,4),"合格","不合格"))</f>
        <v>合格</v>
      </c>
    </row>
    <row r="3" ht="16.5" customHeight="1">
      <c r="A3" s="40" t="s">
        <v>25</v>
      </c>
      <c s="40">
        <v>360</v>
      </c>
      <c s="142">
        <v>0.0194904535420115</v>
      </c>
      <c s="142">
        <v>0.0139208583689395</v>
      </c>
      <c s="142">
        <v>0.0185611444919193</v>
      </c>
      <c s="130">
        <v>0.05</v>
      </c>
      <c s="52" t="str">
        <f t="shared" si="0"/>
        <v>合格</v>
      </c>
    </row>
    <row r="5" customHeight="1">
      <c r="A5" s="6"/>
    </row>
  </sheetData>
  <mergeCells>
    <mergeCell ref="C1:E1"/>
  </mergeCells>
  <conditionalFormatting sqref="G2:G3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1.75" customWidth="1" style="206"/>
    <col min="2" max="2" width="16.13" customWidth="1" style="28"/>
    <col min="3" max="3" width="17.5" customWidth="1" style="206"/>
    <col min="4" max="4" width="12.25" customWidth="1" style="206"/>
    <col min="5" max="16384" width="9" style="206"/>
  </cols>
  <sheetData>
    <row r="1" ht="30" customHeight="1">
      <c r="A1" s="126" t="s">
        <v>97</v>
      </c>
      <c s="201" t="s">
        <v>27</v>
      </c>
      <c s="196" t="s">
        <v>244</v>
      </c>
      <c s="126" t="s">
        <v>184</v>
      </c>
    </row>
    <row r="2" customHeight="1">
      <c r="A2" s="18" t="s">
        <v>26</v>
      </c>
      <c s="26">
        <v>-0.000319983638945643</v>
      </c>
      <c s="27">
        <v>0.0005</v>
      </c>
      <c s="52" t="str">
        <f>IF(OR(B2="",(ABS(B2)&gt;C2)),"不合格","合格")</f>
        <v>合格</v>
      </c>
    </row>
    <row r="4" customHeight="1">
      <c r="B4" s="168"/>
    </row>
    <row r="5" customHeight="1">
      <c r="A5" s="202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2.25" customWidth="1" style="206"/>
    <col min="2" max="2" width="12.75" customWidth="1" style="17"/>
    <col min="3" max="3" width="13.25" customWidth="1" style="45"/>
    <col min="4" max="4" width="10.25" customWidth="1" style="206"/>
    <col min="5" max="5" width="13.5" customWidth="1" style="206"/>
    <col min="6" max="8" width="9" style="206"/>
    <col min="9" max="9" width="10" customWidth="1" style="206"/>
    <col min="10" max="16384" width="9" style="206"/>
  </cols>
  <sheetData>
    <row r="1" ht="30" customHeight="1">
      <c r="A1" s="126" t="s">
        <v>97</v>
      </c>
      <c s="55" t="s">
        <v>29</v>
      </c>
      <c s="20" t="s">
        <v>244</v>
      </c>
      <c s="126" t="s">
        <v>184</v>
      </c>
    </row>
    <row r="2" customHeight="1">
      <c r="A2" s="18" t="s">
        <v>28</v>
      </c>
      <c s="146">
        <v>-0.00216665689667126</v>
      </c>
      <c s="131">
        <v>0.1</v>
      </c>
      <c s="52" t="str">
        <f>IF(B2="","不合格",IF(ABS(ROUND(B2,4))&lt;ROUND(C2,4),"合格","不合格"))</f>
        <v>合格</v>
      </c>
    </row>
    <row r="4" customHeight="1">
      <c r="B4" s="48"/>
    </row>
    <row r="5" customHeight="1">
      <c r="A5" s="202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9.38" customWidth="1" style="24"/>
    <col min="2" max="2" width="9.38" customWidth="1" style="32"/>
    <col min="3" max="3" width="11.38" customWidth="1" style="35"/>
    <col min="4" max="4" width="14.75" customWidth="1" style="34"/>
    <col min="5" max="5" width="12.13" customWidth="1" style="34"/>
    <col min="6" max="6" width="14.88" customWidth="1" style="34"/>
    <col min="7" max="7" width="10" customWidth="1" style="24"/>
    <col min="8" max="11" width="9" style="24"/>
    <col min="12" max="12" width="16.5" customWidth="1" style="24"/>
    <col min="13" max="16384" width="9" style="24"/>
  </cols>
  <sheetData>
    <row r="1" ht="30" customHeight="1">
      <c r="A1" s="126" t="s">
        <v>97</v>
      </c>
      <c s="54" t="s">
        <v>57</v>
      </c>
      <c s="54" t="s">
        <v>58</v>
      </c>
      <c s="55" t="s">
        <v>194</v>
      </c>
      <c s="55" t="s">
        <v>275</v>
      </c>
      <c s="42" t="s">
        <v>209</v>
      </c>
      <c s="126" t="s">
        <v>184</v>
      </c>
    </row>
    <row r="2" ht="15" customHeight="1">
      <c r="A2" s="18" t="s">
        <v>129</v>
      </c>
      <c s="213">
        <v>656.1</v>
      </c>
      <c s="44">
        <v>5</v>
      </c>
      <c s="19">
        <v>4.5</v>
      </c>
      <c s="19">
        <f ref="E2:E6" t="shared" si="0">(D2-C2)/C2*100</f>
        <v>-10</v>
      </c>
      <c s="132">
        <v>20</v>
      </c>
      <c s="52" t="str">
        <f ref="G2:G6" t="shared" si="1">IF(D2="","不合格",IF(ROUND(ABS(E2),2)&lt;=ROUND(ABS(F2),2),"合格","不合格"))</f>
        <v>合格</v>
      </c>
    </row>
    <row r="3" ht="15" customHeight="1">
      <c r="A3" s="18" t="s">
        <v>131</v>
      </c>
      <c s="213">
        <v>656.1</v>
      </c>
      <c s="44">
        <v>2</v>
      </c>
      <c s="19">
        <v>1.79999999999995</v>
      </c>
      <c s="19">
        <f t="shared" si="0"/>
        <v>-10.000000000002496</v>
      </c>
      <c s="132">
        <v>20</v>
      </c>
      <c s="52" t="str">
        <f t="shared" si="1"/>
        <v>合格</v>
      </c>
    </row>
    <row r="4" customHeight="1">
      <c r="A4" s="18" t="s">
        <v>132</v>
      </c>
      <c s="213">
        <v>656.1</v>
      </c>
      <c s="44">
        <v>1</v>
      </c>
      <c s="19">
        <v>0.899999999999977</v>
      </c>
      <c s="19">
        <f t="shared" si="0"/>
        <v>-10.000000000002295</v>
      </c>
      <c s="132">
        <v>20</v>
      </c>
      <c s="52" t="str">
        <f t="shared" si="1"/>
        <v>合格</v>
      </c>
    </row>
    <row r="5" customHeight="1">
      <c r="A5" s="18" t="s">
        <v>133</v>
      </c>
      <c s="213">
        <v>656.1</v>
      </c>
      <c s="44">
        <v>0.5</v>
      </c>
      <c s="19">
        <v>0.480000000000018</v>
      </c>
      <c s="19">
        <f t="shared" si="0"/>
        <v>-3.9999999999963953</v>
      </c>
      <c s="132">
        <v>20</v>
      </c>
      <c s="52" t="str">
        <f t="shared" si="1"/>
        <v>合格</v>
      </c>
    </row>
    <row r="6" customHeight="1">
      <c r="A6" s="18" t="s">
        <v>134</v>
      </c>
      <c s="213">
        <v>656.1</v>
      </c>
      <c s="44">
        <v>0.2</v>
      </c>
      <c s="19">
        <v>0.159999999999968</v>
      </c>
      <c s="19">
        <f t="shared" si="0"/>
        <v>-20.000000000016005</v>
      </c>
      <c s="51">
        <v>20</v>
      </c>
      <c s="52" t="str">
        <f t="shared" si="1"/>
        <v>合格</v>
      </c>
    </row>
    <row r="7" customHeight="1">
      <c r="C7" s="50"/>
      <c s="135"/>
      <c s="135"/>
      <c s="135"/>
      <c s="32"/>
    </row>
  </sheetData>
  <conditionalFormatting sqref="G2:G6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5" customWidth="1" style="206"/>
    <col min="2" max="2" width="11.38" customWidth="1" style="206"/>
    <col min="3" max="3" width="14.63" customWidth="1" style="138"/>
    <col min="4" max="4" width="14.13" customWidth="1" style="46"/>
    <col min="5" max="5" width="10" customWidth="1" style="206"/>
    <col min="6" max="16384" width="9" style="206"/>
  </cols>
  <sheetData>
    <row r="1" ht="30" customHeight="1">
      <c r="A1" s="43" t="s">
        <v>97</v>
      </c>
      <c s="126" t="s">
        <v>57</v>
      </c>
      <c s="7" t="s">
        <v>29</v>
      </c>
      <c s="31" t="s">
        <v>195</v>
      </c>
      <c s="126" t="s">
        <v>184</v>
      </c>
    </row>
    <row r="2" customHeight="1">
      <c r="A2" s="30" t="s">
        <v>136</v>
      </c>
      <c s="49">
        <v>500</v>
      </c>
      <c s="136">
        <v>0.00427898705446239</v>
      </c>
      <c s="133">
        <v>0.05</v>
      </c>
      <c s="52" t="str">
        <f ref="E2:E5" t="shared" si="0">IF(C2="","不合格",IF(C2&lt;=D2,"合格","不合格"))</f>
        <v>合格</v>
      </c>
    </row>
    <row r="3" customHeight="1">
      <c r="A3" s="30" t="s">
        <v>137</v>
      </c>
      <c s="49">
        <v>500</v>
      </c>
      <c s="136">
        <v>0.000301774530449169</v>
      </c>
      <c s="2">
        <v>0.005</v>
      </c>
      <c s="52" t="str">
        <f t="shared" si="0"/>
        <v>合格</v>
      </c>
    </row>
    <row r="4" customHeight="1">
      <c r="A4" s="30" t="s">
        <v>138</v>
      </c>
      <c s="49">
        <v>250</v>
      </c>
      <c s="136">
        <v>0.0055144232409674</v>
      </c>
      <c s="133">
        <v>0.05</v>
      </c>
      <c s="52" t="str">
        <f t="shared" si="0"/>
        <v>合格</v>
      </c>
    </row>
    <row r="5" customHeight="1">
      <c r="A5" s="30" t="s">
        <v>139</v>
      </c>
      <c s="49">
        <v>250</v>
      </c>
      <c s="136">
        <v>0.000909559935211796</v>
      </c>
      <c s="2">
        <v>0.005</v>
      </c>
      <c s="52" t="str">
        <f t="shared" si="0"/>
        <v>合格</v>
      </c>
    </row>
    <row r="7" customHeight="1">
      <c r="A7" s="202"/>
      <c s="5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1" width="16.13" customWidth="1" style="206"/>
    <col min="2" max="2" width="11.38" customWidth="1" style="206"/>
    <col min="3" max="3" width="14.38" customWidth="1" style="46"/>
    <col min="4" max="4" width="14.25" customWidth="1" style="47"/>
    <col min="5" max="5" width="10.75" customWidth="1" style="206"/>
    <col min="6" max="16384" width="9" style="206"/>
  </cols>
  <sheetData>
    <row r="1" ht="30" customHeight="1">
      <c r="A1" s="43" t="s">
        <v>97</v>
      </c>
      <c s="126" t="s">
        <v>201</v>
      </c>
      <c s="4" t="s">
        <v>29</v>
      </c>
      <c s="137" t="s">
        <v>195</v>
      </c>
      <c s="126" t="s">
        <v>184</v>
      </c>
    </row>
    <row r="2" customHeight="1">
      <c r="A2" s="30" t="s">
        <v>141</v>
      </c>
      <c s="49">
        <v>1090</v>
      </c>
      <c s="139">
        <v>0.00499773809168858</v>
      </c>
      <c s="134">
        <v>0.1</v>
      </c>
      <c s="52" t="str">
        <f ref="E2:E5" t="shared" si="0">IF(C2="","不合格",IF(C2&lt;=D2,"合格","不合格"))</f>
        <v>合格</v>
      </c>
    </row>
    <row r="3" customHeight="1">
      <c r="A3" s="30" t="s">
        <v>142</v>
      </c>
      <c s="49">
        <v>1090</v>
      </c>
      <c s="139">
        <v>0.000619899248647787</v>
      </c>
      <c s="133">
        <v>0.02</v>
      </c>
      <c s="52" t="str">
        <f t="shared" si="0"/>
        <v>合格</v>
      </c>
    </row>
    <row r="4" customHeight="1">
      <c r="A4" s="30" t="s">
        <v>143</v>
      </c>
      <c s="49">
        <v>200</v>
      </c>
      <c s="139">
        <v>0.00852164732853566</v>
      </c>
      <c s="134">
        <v>0.1</v>
      </c>
      <c s="52" t="str">
        <f t="shared" si="0"/>
        <v>合格</v>
      </c>
    </row>
    <row r="5" customHeight="1">
      <c r="A5" s="30" t="s">
        <v>144</v>
      </c>
      <c s="49">
        <v>200</v>
      </c>
      <c s="139">
        <v>0.00183237123158159</v>
      </c>
      <c s="133">
        <v>0.02</v>
      </c>
      <c s="52" t="str">
        <f t="shared" si="0"/>
        <v>合格</v>
      </c>
    </row>
    <row r="7" customHeight="1">
      <c r="A7" s="202"/>
      <c s="5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xl/worksheets/sheet1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4.25" customHeight="1"/>
  <cols>
    <col min="1" max="2" width="10.5" customWidth="1" style="206"/>
    <col min="3" max="3" width="16.63" customWidth="1" style="47"/>
    <col min="4" max="4" width="16.63" customWidth="1" style="206"/>
    <col min="5" max="5" width="10.75" customWidth="1" style="206"/>
    <col min="6" max="16384" width="9" style="206"/>
  </cols>
  <sheetData>
    <row r="1" ht="30" customHeight="1">
      <c r="A1" s="126" t="s">
        <v>97</v>
      </c>
      <c s="126" t="s">
        <v>201</v>
      </c>
      <c s="345" t="s">
        <v>29</v>
      </c>
      <c s="196" t="s">
        <v>244</v>
      </c>
      <c s="126" t="s">
        <v>184</v>
      </c>
    </row>
    <row r="2" customHeight="1">
      <c r="A2" s="18" t="s">
        <v>145</v>
      </c>
      <c s="15">
        <v>500</v>
      </c>
      <c s="29">
        <v>0.0108333450989448</v>
      </c>
      <c s="128">
        <v>0.1</v>
      </c>
      <c s="52" t="str">
        <f ref="E2:E11" t="shared" si="0">IF(C2="","不合格",IF(C2&lt;=D2,"合格","不合格"))</f>
        <v>合格</v>
      </c>
    </row>
    <row r="3" customHeight="1">
      <c r="A3" s="18" t="s">
        <v>145</v>
      </c>
      <c s="15">
        <v>500</v>
      </c>
      <c s="29"/>
      <c s="128">
        <v>0.1</v>
      </c>
      <c s="52" t="str">
        <f t="shared" si="0"/>
        <v>不合格</v>
      </c>
    </row>
    <row r="4" customHeight="1">
      <c r="A4" s="18" t="s">
        <v>145</v>
      </c>
      <c s="15">
        <v>500</v>
      </c>
      <c s="29"/>
      <c s="128">
        <v>0.1</v>
      </c>
      <c s="52" t="str">
        <f t="shared" si="0"/>
        <v>不合格</v>
      </c>
    </row>
    <row r="5" customHeight="1">
      <c r="A5" s="18" t="s">
        <v>145</v>
      </c>
      <c s="15">
        <v>500</v>
      </c>
      <c s="29"/>
      <c s="128">
        <v>0.1</v>
      </c>
      <c s="52" t="str">
        <f t="shared" si="0"/>
        <v>不合格</v>
      </c>
    </row>
    <row r="6" customHeight="1">
      <c r="A6" s="18" t="s">
        <v>145</v>
      </c>
      <c s="15">
        <v>500</v>
      </c>
      <c s="29"/>
      <c s="128">
        <v>0.1</v>
      </c>
      <c s="52" t="str">
        <f t="shared" si="0"/>
        <v>不合格</v>
      </c>
    </row>
    <row r="7" customHeight="1">
      <c r="A7" s="18" t="s">
        <v>145</v>
      </c>
      <c s="15">
        <v>500</v>
      </c>
      <c s="29"/>
      <c s="128">
        <v>0.1</v>
      </c>
      <c s="52" t="str">
        <f t="shared" si="0"/>
        <v>不合格</v>
      </c>
    </row>
    <row r="8" customHeight="1">
      <c r="A8" s="18" t="s">
        <v>145</v>
      </c>
      <c s="15">
        <v>500</v>
      </c>
      <c s="29"/>
      <c s="128">
        <v>0.1</v>
      </c>
      <c s="52" t="str">
        <f t="shared" si="0"/>
        <v>不合格</v>
      </c>
    </row>
    <row r="9" customHeight="1">
      <c r="A9" s="18" t="s">
        <v>145</v>
      </c>
      <c s="15">
        <v>500</v>
      </c>
      <c s="29"/>
      <c s="128">
        <v>0.1</v>
      </c>
      <c s="52" t="str">
        <f t="shared" si="0"/>
        <v>不合格</v>
      </c>
    </row>
    <row r="10" customHeight="1">
      <c r="A10" s="18" t="s">
        <v>145</v>
      </c>
      <c s="15">
        <v>500</v>
      </c>
      <c s="29"/>
      <c s="128">
        <v>0.1</v>
      </c>
      <c s="52" t="str">
        <f t="shared" si="0"/>
        <v>不合格</v>
      </c>
    </row>
    <row r="11" customHeight="1">
      <c r="A11" s="18" t="s">
        <v>145</v>
      </c>
      <c s="15">
        <v>500</v>
      </c>
      <c s="29"/>
      <c s="128">
        <v>0.1</v>
      </c>
      <c s="52" t="str">
        <f t="shared" si="0"/>
        <v>不合格</v>
      </c>
    </row>
  </sheetData>
  <conditionalFormatting sqref="E2:E11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Administrator</cp:lastModifiedBy>
  <cp:revision>0</cp:revision>
  <dcterms:created xsi:type="dcterms:W3CDTF">2006-09-16T08:00:00+08:00</dcterms:created>
  <dcterms:modified xsi:type="dcterms:W3CDTF">2023-09-12T01:11:51+08:00</dcterms:modified>
</cp:coreProperties>
</file>