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showSheetTabs="0" windowWidth="22188" windowHeight="8735" tabRatio="865" firstSheet="10"/>
  </bookViews>
  <sheets>
    <sheet name="Report" sheetId="21" r:id="rId1"/>
    <sheet name="基础信息" sheetId="13" r:id="rId2"/>
    <sheet name="测量结果表" sheetId="20" r:id="rId3"/>
    <sheet name="管理表" sheetId="19" r:id="rId4"/>
    <sheet name="对应信息" sheetId="17" r:id="rId5"/>
    <sheet name="检测项信息" sheetId="14" r:id="rId6"/>
    <sheet name="仪器状态" sheetId="22" r:id="rId7"/>
    <sheet name="样品池准确度与重复性校验" sheetId="23" r:id="rId8"/>
    <sheet name="标准值" sheetId="16" r:id="rId9"/>
    <sheet name="字段对应" sheetId="15" r:id="rId10"/>
    <sheet name="样品池重复性" sheetId="6" r:id="rId11"/>
    <sheet name="波长拟合" sheetId="3" r:id="rId12"/>
    <sheet name="能量扫描" sheetId="7" r:id="rId13"/>
    <sheet name="波长示值误差与重复性校验" sheetId="24" r:id="rId14"/>
    <sheet name="杂散光校验" sheetId="25" r:id="rId15"/>
    <sheet name="基线平直度检验" sheetId="26" r:id="rId16"/>
  </sheets>
  <externalReferences>
    <externalReference r:id="rId17"/>
    <externalReference r:id="rId18"/>
  </externalReferences>
  <definedNames>
    <definedName name="OLE_LINK10" localSheetId="0">Report!#REF!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<sst xmlns="http://schemas.openxmlformats.org/spreadsheetml/2006/main" count="717" uniqueCount="308">
  <si>
    <t>北京普析通用仪器有限责任公司</t>
  </si>
  <si>
    <t>文件编号</t>
  </si>
  <si>
    <t>T600T700系列紫外可见分光光度计整机检验原始记录表</t>
  </si>
  <si>
    <t>版本/修订</t>
  </si>
  <si>
    <t>发布/修订日期</t>
  </si>
  <si>
    <t>产品型号</t>
  </si>
  <si>
    <t>产品编号</t>
  </si>
  <si>
    <t>检验员</t>
  </si>
  <si>
    <t>检验日期</t>
  </si>
  <si>
    <t>复核员</t>
  </si>
  <si>
    <t>30U1604-01-0010</t>
  </si>
  <si>
    <t>温度(℃)</t>
  </si>
  <si>
    <t>相对湿度(%)</t>
  </si>
  <si>
    <t>检验结果</t>
  </si>
  <si>
    <t>UVWin版本号</t>
  </si>
  <si>
    <t>UVTouch版本号</t>
  </si>
  <si>
    <t>检验软件版本号</t>
  </si>
  <si>
    <t>2.1.24.415</t>
  </si>
  <si>
    <t>序号</t>
  </si>
  <si>
    <t>检验项目</t>
  </si>
  <si>
    <t>结果</t>
  </si>
  <si>
    <t>样品池重复性</t>
  </si>
  <si>
    <t>准确度：100%±0.1%
重复性：&lt;0.1%</t>
  </si>
  <si>
    <t>1号池测量值(%)</t>
  </si>
  <si>
    <t>重复性(%)</t>
  </si>
  <si>
    <t>波长拟合</t>
  </si>
  <si>
    <t>检测工具</t>
  </si>
  <si>
    <t>模式</t>
  </si>
  <si>
    <t>增益</t>
  </si>
  <si>
    <t>标准值(nm)</t>
  </si>
  <si>
    <t>测量值（nm）</t>
  </si>
  <si>
    <t>氘灯</t>
  </si>
  <si>
    <t>镨钕滤光片</t>
  </si>
  <si>
    <t>汞灯</t>
  </si>
  <si>
    <t>钬溶液</t>
  </si>
  <si>
    <t>能量扫描</t>
  </si>
  <si>
    <t>提示</t>
  </si>
  <si>
    <t>标准值</t>
  </si>
  <si>
    <t>测量值</t>
  </si>
  <si>
    <t>定点波长：486nm</t>
  </si>
  <si>
    <t>波长段：656.1nm</t>
  </si>
  <si>
    <t>波长段：1100nm-300nm</t>
  </si>
  <si>
    <t>钨灯</t>
  </si>
  <si>
    <t>波长段：700nm-190nm</t>
  </si>
  <si>
    <t>波长示值误差与重复性</t>
  </si>
  <si>
    <t xml:space="preserve">
波长示值误差
氘灯：
±0.1nm
镨钕：
±0.3nm
波长重复性
≤0.1nm 
</t>
  </si>
  <si>
    <t>波长段</t>
  </si>
  <si>
    <t>B段</t>
  </si>
  <si>
    <t>0.00</t>
  </si>
  <si>
    <t>误差值(nm)</t>
  </si>
  <si>
    <t xml:space="preserve">波长示值误差与重复性
</t>
  </si>
  <si>
    <t xml:space="preserve">
波长示值误差
钬溶液：
±0.3nm
波长重复性
≤0.1nm </t>
  </si>
  <si>
    <t>杂散光</t>
  </si>
  <si>
    <t>检验工具</t>
  </si>
  <si>
    <t>220nm</t>
  </si>
  <si>
    <t>&lt;0.01%</t>
  </si>
  <si>
    <t>碘化钠标准溶液</t>
  </si>
  <si>
    <t>测量值
（%）</t>
  </si>
  <si>
    <t>360nm</t>
  </si>
  <si>
    <t>≤0.02%</t>
  </si>
  <si>
    <t>亚硝酸钠标准溶液</t>
  </si>
  <si>
    <t>基线平直度</t>
  </si>
  <si>
    <t>≤±0.0005（2.0nm光谱带宽）</t>
  </si>
  <si>
    <t>测量值（Abs）</t>
  </si>
  <si>
    <t>外观和结构</t>
  </si>
  <si>
    <t>仪器外观应清洁，所有电镀件表面不应有脱皮现象，喷漆表面色泽应均匀，无掉漆与划痕，不得有明显的擦伤、露底、裂纹、起泡现象，外露部件结合处应整齐，无粗糙不平现象。仪器应有下列标志：仪器名称、型号、制造厂名、出厂日期、仪器编号、工作电源电压、频率、制造计量器具许可证标志及编号，仪器的铭牌、二维码的内容及粘贴方向应正确。仪器的各紧固件均应紧固良好，外露螺钉无损伤，生锈，缺失。各按键、开关、指示灯工作正常，电缆线的接插件均能紧密配合且接地良好，启动后无异常杂音。</t>
  </si>
  <si>
    <t>合格□
不合格□</t>
  </si>
  <si>
    <t>检验结论</t>
  </si>
  <si>
    <t>合格 □                 不合格 □</t>
  </si>
  <si>
    <t>备注</t>
  </si>
  <si>
    <t xml:space="preserve">1.本表格依据T600T700系列紫外可见分光光度计整机检验工艺编制；
2. 测量结果保留的小数点位数应与指标要求的小数点位数一致；
3. 表格中的标准值依据有效期内的标准物质证书提供的标准值为准。
</t>
  </si>
  <si>
    <t>名称</t>
  </si>
  <si>
    <t>特征值</t>
  </si>
  <si>
    <t>是否为光谱扫描</t>
  </si>
  <si>
    <t>灯状态</t>
  </si>
  <si>
    <t>较零物质</t>
  </si>
  <si>
    <t>光度方式</t>
  </si>
  <si>
    <t>扫描速度</t>
  </si>
  <si>
    <t>扫描间隔(nm)</t>
  </si>
  <si>
    <t>重复次数</t>
  </si>
  <si>
    <t>重复时间间隔(S)</t>
  </si>
  <si>
    <t>光谱带宽(nm)</t>
  </si>
  <si>
    <t>响应时间</t>
  </si>
  <si>
    <t>是</t>
  </si>
  <si>
    <t>Abs</t>
  </si>
  <si>
    <t>极慢</t>
  </si>
  <si>
    <t>低压汞灯A段</t>
  </si>
  <si>
    <t>否</t>
  </si>
  <si>
    <t>其它</t>
  </si>
  <si>
    <t>T%</t>
  </si>
  <si>
    <t>慢速</t>
  </si>
  <si>
    <t>低压汞灯B段</t>
  </si>
  <si>
    <t>365.0,435.8,546.1</t>
  </si>
  <si>
    <t>Es</t>
  </si>
  <si>
    <t>中速</t>
  </si>
  <si>
    <t>1.0</t>
  </si>
  <si>
    <t>739.2,,807.4</t>
  </si>
  <si>
    <t>Er</t>
  </si>
  <si>
    <t>快速</t>
  </si>
  <si>
    <t>2.0</t>
  </si>
  <si>
    <t>10%中性滤光片</t>
  </si>
  <si>
    <t>635.0,546.0,440.0</t>
  </si>
  <si>
    <t>R%</t>
  </si>
  <si>
    <t>极快</t>
  </si>
  <si>
    <t>5.0</t>
  </si>
  <si>
    <t>20%中性滤光片</t>
  </si>
  <si>
    <t>635.0,546.0,440.1</t>
  </si>
  <si>
    <t xml:space="preserve"> </t>
  </si>
  <si>
    <t>30%中性滤光片</t>
  </si>
  <si>
    <t>635.0,546.0,440.2</t>
  </si>
  <si>
    <t>重铬酸钾标准物质</t>
  </si>
  <si>
    <t>22.9,51.3,13.7,18.2</t>
  </si>
  <si>
    <t>碘化钠溶液</t>
  </si>
  <si>
    <t>亚硝酸钠溶液</t>
  </si>
  <si>
    <t>项目编号</t>
  </si>
  <si>
    <t>仪器ID</t>
  </si>
  <si>
    <t>平均值</t>
  </si>
  <si>
    <t>误差值</t>
  </si>
  <si>
    <t>重复性</t>
  </si>
  <si>
    <t>检验地点</t>
  </si>
  <si>
    <t>温度</t>
  </si>
  <si>
    <t>湿度</t>
  </si>
  <si>
    <t>判定结果</t>
  </si>
  <si>
    <t>其他</t>
  </si>
  <si>
    <t>子项目编号-与检测项信息对应的</t>
  </si>
  <si>
    <t>父项目编号</t>
  </si>
  <si>
    <t>父项目名称</t>
  </si>
  <si>
    <t>子项目编号</t>
  </si>
  <si>
    <t>子项目名称</t>
  </si>
  <si>
    <t>可允许误差范围</t>
  </si>
  <si>
    <t>波长重复性</t>
  </si>
  <si>
    <t>T700S</t>
  </si>
  <si>
    <t>样品池重复性检测</t>
  </si>
  <si>
    <t>波长示值误差与重复性校验</t>
  </si>
  <si>
    <t>656.1</t>
  </si>
  <si>
    <t>807.4</t>
  </si>
  <si>
    <t>640.79</t>
  </si>
  <si>
    <t>536.86</t>
  </si>
  <si>
    <t>416.57</t>
  </si>
  <si>
    <t>361.12</t>
  </si>
  <si>
    <t>287.52</t>
  </si>
  <si>
    <t>241.12</t>
  </si>
  <si>
    <t>透射比示值误差与重复性校验</t>
  </si>
  <si>
    <t>紫外分光光度计标准物质GBW(E)130066</t>
  </si>
  <si>
    <t>350nm</t>
  </si>
  <si>
    <t>313nm</t>
  </si>
  <si>
    <t>257nm</t>
  </si>
  <si>
    <t>235nm</t>
  </si>
  <si>
    <t>635nm</t>
  </si>
  <si>
    <t>546nm</t>
  </si>
  <si>
    <t>440nm</t>
  </si>
  <si>
    <t>杂散光校验</t>
  </si>
  <si>
    <t>基线平直度检验</t>
  </si>
  <si>
    <t>基线暗噪声检验</t>
  </si>
  <si>
    <t>基线暗噪声</t>
  </si>
  <si>
    <t>光谱带宽与仪器最小光谱带宽</t>
  </si>
  <si>
    <t>氘灯2.0</t>
  </si>
  <si>
    <t>噪声检验</t>
  </si>
  <si>
    <t>500nm100%噪声</t>
  </si>
  <si>
    <t>500nm0%噪声</t>
  </si>
  <si>
    <t>250nm100%噪声</t>
  </si>
  <si>
    <t>250nm0%噪声</t>
  </si>
  <si>
    <t>波长边缘噪声</t>
  </si>
  <si>
    <t>1090nm100%噪声</t>
  </si>
  <si>
    <t>1090nm0%噪声</t>
  </si>
  <si>
    <t>200nm100%噪声</t>
  </si>
  <si>
    <t>200nm0%噪声</t>
  </si>
  <si>
    <t>漂移检验</t>
  </si>
  <si>
    <t>500nm</t>
  </si>
  <si>
    <t>U1601</t>
  </si>
  <si>
    <t>T600B</t>
  </si>
  <si>
    <t>U1602</t>
  </si>
  <si>
    <t>T600A</t>
  </si>
  <si>
    <t>U1603</t>
  </si>
  <si>
    <t>T600S</t>
  </si>
  <si>
    <t>U1604</t>
  </si>
  <si>
    <t>T600AS</t>
  </si>
  <si>
    <t>U1701</t>
  </si>
  <si>
    <t>T700B</t>
  </si>
  <si>
    <t>U1702</t>
  </si>
  <si>
    <t>T700A</t>
  </si>
  <si>
    <t>U1703</t>
  </si>
  <si>
    <t>U1704</t>
  </si>
  <si>
    <t>T700AS</t>
  </si>
  <si>
    <t>检测类别</t>
  </si>
  <si>
    <t>项目名称</t>
  </si>
  <si>
    <t>方法信息</t>
  </si>
  <si>
    <t>测量信息</t>
  </si>
  <si>
    <t>重复时间间隔</t>
  </si>
  <si>
    <t>分析方法</t>
  </si>
  <si>
    <t>光度模式</t>
  </si>
  <si>
    <t>起始波长</t>
  </si>
  <si>
    <t>终止波长</t>
  </si>
  <si>
    <t>扫描间隔</t>
  </si>
  <si>
    <t>光谱带宽</t>
  </si>
  <si>
    <t>时间间隔</t>
  </si>
  <si>
    <t>扫描个数</t>
  </si>
  <si>
    <t>暗电流物质</t>
  </si>
  <si>
    <t>校零物质</t>
  </si>
  <si>
    <t>测量物质</t>
  </si>
  <si>
    <t>最大最小值差</t>
  </si>
  <si>
    <t>空气</t>
  </si>
  <si>
    <t>486.0,656.1</t>
  </si>
  <si>
    <t>寻峰</t>
  </si>
  <si>
    <t>296.7,404.7,435.8,546.1</t>
  </si>
  <si>
    <t>640.7,361.0,241.0</t>
  </si>
  <si>
    <t>氘灯486.0</t>
  </si>
  <si>
    <t>黑挡块</t>
  </si>
  <si>
    <t>氘灯656.1</t>
  </si>
  <si>
    <t>640.7,536.8,416.5,361.0,287.4,241.0</t>
  </si>
  <si>
    <t>220nm杂散光</t>
  </si>
  <si>
    <t>PhotoMode=1;ScanSpeed=2;Slit1=2.0;</t>
  </si>
  <si>
    <t>220</t>
  </si>
  <si>
    <t>多次测量</t>
  </si>
  <si>
    <t>碘化钠空白溶液</t>
  </si>
  <si>
    <t>360nm杂散光</t>
  </si>
  <si>
    <t>360</t>
  </si>
  <si>
    <t>亚硝酸钠空白溶液</t>
  </si>
  <si>
    <t>求最大偏移量</t>
  </si>
  <si>
    <t>仪器id</t>
  </si>
  <si>
    <t>项目</t>
  </si>
  <si>
    <t>能量</t>
  </si>
  <si>
    <t>id</t>
  </si>
  <si>
    <t>父id</t>
  </si>
  <si>
    <t>关灯，增益1下的RSD值</t>
  </si>
  <si>
    <t>关灯，增益2下的RSD值</t>
  </si>
  <si>
    <t>关灯，增益3下的RSD值</t>
  </si>
  <si>
    <t>关灯，增益4下的RSD值</t>
  </si>
  <si>
    <t>开灯，增益1下的RSD值</t>
  </si>
  <si>
    <t>开灯，增益2下的RSD值</t>
  </si>
  <si>
    <t>开灯，增益3下的RSD值</t>
  </si>
  <si>
    <t>开灯，增益4下的RSD值</t>
  </si>
  <si>
    <t>氘灯656.1能量</t>
  </si>
  <si>
    <t>氘灯486.0能量</t>
  </si>
  <si>
    <t>紫外分光光度计标准物质GBW(E)130066-350nm能量</t>
  </si>
  <si>
    <t>紫外分光光度计标准物质GBW(E)130066-313nm能量</t>
  </si>
  <si>
    <t>紫外分光光度计标准物质GBW(E)130066-257nm能量</t>
  </si>
  <si>
    <t>紫外分光光度计标准物质GBW(E)130066-235nm能量</t>
  </si>
  <si>
    <t>碘化钠标准溶液-220nm能量</t>
  </si>
  <si>
    <t>亚硝酸钠标准溶液-360nm能量</t>
  </si>
  <si>
    <t>基线平直度-全波长能量</t>
  </si>
  <si>
    <t>测试项</t>
  </si>
  <si>
    <t>标准值（%）</t>
  </si>
  <si>
    <t>640.7</t>
  </si>
  <si>
    <t>536.8</t>
  </si>
  <si>
    <t>416.5</t>
  </si>
  <si>
    <t>361.0</t>
  </si>
  <si>
    <t>287.4</t>
  </si>
  <si>
    <t>241.0</t>
  </si>
  <si>
    <t>修改标准值时，该仪器对应的模板文件必须未打开，同时修改后光标要在未修改的单元格内！方可保存成功！</t>
  </si>
  <si>
    <t>仪器方法标记</t>
  </si>
  <si>
    <t>仪器方法字段</t>
  </si>
  <si>
    <t>算法标记</t>
  </si>
  <si>
    <t>算法字段</t>
  </si>
  <si>
    <t>StartWl</t>
  </si>
  <si>
    <t>WlRange</t>
  </si>
  <si>
    <t>Validation.ViewModel.DataStructure.FindPeakAndAverageUVTestTool</t>
  </si>
  <si>
    <t>EndWl</t>
  </si>
  <si>
    <t>求平均</t>
  </si>
  <si>
    <t>Validation.ViewModel.DataStructure.WlPointsAndAverageUVTestTool</t>
  </si>
  <si>
    <t>RepeatTimes</t>
  </si>
  <si>
    <t>Validation.ViewModel.DataStructure.WlPointsUVTestTool</t>
  </si>
  <si>
    <t>RepeatInterval</t>
  </si>
  <si>
    <t>Validation.ViewModel.DataStructure.FindMaxOffsetUVTestTool</t>
  </si>
  <si>
    <t>MethodStr</t>
  </si>
  <si>
    <t>求半峰宽</t>
  </si>
  <si>
    <t>Validation.ViewModel.DataStructure.FindHalfPeakUVTestTool</t>
  </si>
  <si>
    <t>MeasurePara</t>
  </si>
  <si>
    <t>Validation.ViewModel.DataStructure.GetMaxDIstanceUVTestTool</t>
  </si>
  <si>
    <t>使用物质</t>
  </si>
  <si>
    <t>ToolStr</t>
  </si>
  <si>
    <t>求漂移</t>
  </si>
  <si>
    <t>Validation.ViewModel.DataStructure.GetDriftUVTestTool</t>
  </si>
  <si>
    <t>Name</t>
  </si>
  <si>
    <t>PhotoMode</t>
  </si>
  <si>
    <t>ScanSpeed</t>
  </si>
  <si>
    <t>ScanWlInterval</t>
  </si>
  <si>
    <t>Gain</t>
  </si>
  <si>
    <t>Slit1</t>
  </si>
  <si>
    <t>Wl</t>
  </si>
  <si>
    <t>暗电流</t>
  </si>
  <si>
    <t>Dark</t>
  </si>
  <si>
    <t>校零</t>
  </si>
  <si>
    <t>Zero</t>
  </si>
  <si>
    <t>BaseLine</t>
  </si>
  <si>
    <t>测量</t>
  </si>
  <si>
    <t>Measure</t>
  </si>
  <si>
    <t>Scan</t>
  </si>
  <si>
    <t>timeinterval</t>
  </si>
  <si>
    <t>totalcount</t>
  </si>
  <si>
    <t>LampPos</t>
  </si>
  <si>
    <t>ResponseTime</t>
  </si>
  <si>
    <t>测量值（T%）</t>
  </si>
  <si>
    <t>1号</t>
  </si>
  <si>
    <t>2号</t>
  </si>
  <si>
    <t>3号</t>
  </si>
  <si>
    <t>4号</t>
  </si>
  <si>
    <t>5号</t>
  </si>
  <si>
    <t>检测结果</t>
  </si>
  <si>
    <t>特征值（nm）</t>
  </si>
  <si>
    <t>光源</t>
  </si>
  <si>
    <t>486</t>
  </si>
  <si>
    <t>误差值（nm）</t>
  </si>
  <si>
    <t>波长示值误差(nm)</t>
  </si>
  <si>
    <t>氘灯486</t>
  </si>
  <si>
    <t>波长点</t>
  </si>
  <si>
    <t>测量值（%）</t>
  </si>
  <si>
    <t>指标要求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</si>
</sst>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"/>
    <numFmt numFmtId="177" formatCode="0.0000_);[Red]\(0.0000\)"/>
    <numFmt numFmtId="178" formatCode="0.000_);[Red]\(0.000\)"/>
    <numFmt numFmtId="179" formatCode="0.00_);[Red]\(0.00\)"/>
    <numFmt numFmtId="180" formatCode="0.00_);[Red]\-0.00\ "/>
    <numFmt numFmtId="181" formatCode="0.0_);[Red]\-0.0\ "/>
    <numFmt numFmtId="182" formatCode="0.0"/>
    <numFmt numFmtId="183" formatCode="0.0_);[Red]\(0.0\)"/>
    <numFmt numFmtId="184" formatCode="[$-10804]yyyy&quot;年&quot;m&quot;月&quot;d&quot;日&quot;"/>
    <numFmt numFmtId="185" formatCode="[$-10804]yyyy/m/d\ h:mm"/>
    <numFmt numFmtId="186" formatCode="0.000_ "/>
    <numFmt numFmtId="187" formatCode="0.000"/>
  </numFmts>
  <fonts count="44">
    <font>
      <sz val="11"/>
      <name val="宋体"/>
      <charset val="134"/>
    </font>
    <font>
      <b/>
      <sz val="10.5"/>
      <color theme="1"/>
      <name val="宋体"/>
      <charset val="134"/>
    </font>
    <font>
      <b/>
      <sz val="10.5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0.5"/>
      <color rgb="FF000000"/>
      <name val="宋体"/>
      <charset val="134"/>
    </font>
    <font>
      <b/>
      <sz val="10.5"/>
      <color rgb="FF000000"/>
      <name val="Times New Roman"/>
      <charset val="134"/>
    </font>
    <font>
      <b/>
      <sz val="11"/>
      <color rgb="FFFF0000"/>
      <name val="宋体"/>
      <charset val="134"/>
      <scheme val="minor"/>
    </font>
    <font>
      <b/>
      <sz val="10.5"/>
      <color theme="1"/>
      <name val="Times New Roman"/>
      <charset val="134"/>
    </font>
    <font>
      <b/>
      <sz val="11"/>
      <color theme="1"/>
      <name val="宋体"/>
      <charset val="134"/>
    </font>
    <font>
      <sz val="12"/>
      <color rgb="FF43436B"/>
      <name val="Segoe UI"/>
      <charset val="134"/>
    </font>
    <font>
      <sz val="10.5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.5"/>
      <color theme="1"/>
      <name val="Times New Roman"/>
      <charset val="134"/>
    </font>
    <font>
      <sz val="10.5"/>
      <color theme="1"/>
      <name val="宋体"/>
      <charset val="134"/>
    </font>
    <font>
      <sz val="10.5"/>
      <color rgb="FF000000"/>
      <name val="Times New Roman"/>
      <charset val="134"/>
    </font>
    <font>
      <b/>
      <sz val="12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8"/>
      <color theme="1"/>
      <name val="黑体"/>
      <charset val="134"/>
    </font>
    <font>
      <sz val="16"/>
      <color theme="1"/>
      <name val="黑体"/>
      <charset val="134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theme="1"/>
      <name val="黑体"/>
      <charset val="134"/>
    </font>
    <font>
      <sz val="10.5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7994628742332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49339274269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4628742332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top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0" fillId="9" borderId="12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13">
      <alignment vertical="center"/>
    </xf>
    <xf numFmtId="0" fontId="31" fillId="0" borderId="13">
      <alignment vertical="center"/>
    </xf>
    <xf numFmtId="0" fontId="32" fillId="0" borderId="14">
      <alignment vertical="center"/>
    </xf>
    <xf numFmtId="0" fontId="32" fillId="0" borderId="0">
      <alignment vertical="center"/>
    </xf>
    <xf numFmtId="0" fontId="33" fillId="10" borderId="15">
      <alignment vertical="center"/>
    </xf>
    <xf numFmtId="0" fontId="34" fillId="11" borderId="16">
      <alignment vertical="center"/>
    </xf>
    <xf numFmtId="0" fontId="35" fillId="11" borderId="15">
      <alignment vertical="center"/>
    </xf>
    <xf numFmtId="0" fontId="36" fillId="12" borderId="17">
      <alignment vertical="center"/>
    </xf>
    <xf numFmtId="0" fontId="37" fillId="0" borderId="18">
      <alignment vertical="center"/>
    </xf>
    <xf numFmtId="0" fontId="38" fillId="0" borderId="19">
      <alignment vertical="center"/>
    </xf>
    <xf numFmtId="0" fontId="39" fillId="13" borderId="0">
      <alignment vertical="center"/>
    </xf>
    <xf numFmtId="0" fontId="40" fillId="14" borderId="0">
      <alignment vertical="center"/>
    </xf>
    <xf numFmtId="0" fontId="41" fillId="15" borderId="0">
      <alignment vertical="center"/>
    </xf>
    <xf numFmtId="0" fontId="42" fillId="16" borderId="0">
      <alignment vertical="center"/>
    </xf>
    <xf numFmtId="0" fontId="43" fillId="17" borderId="0">
      <alignment vertical="center"/>
    </xf>
    <xf numFmtId="0" fontId="43" fillId="18" borderId="0">
      <alignment vertical="center"/>
    </xf>
    <xf numFmtId="0" fontId="42" fillId="19" borderId="0">
      <alignment vertical="center"/>
    </xf>
    <xf numFmtId="0" fontId="42" fillId="20" borderId="0">
      <alignment vertical="center"/>
    </xf>
    <xf numFmtId="0" fontId="43" fillId="21" borderId="0">
      <alignment vertical="center"/>
    </xf>
    <xf numFmtId="0" fontId="43" fillId="22" borderId="0">
      <alignment vertical="center"/>
    </xf>
    <xf numFmtId="0" fontId="42" fillId="23" borderId="0">
      <alignment vertical="center"/>
    </xf>
    <xf numFmtId="0" fontId="42" fillId="24" borderId="0">
      <alignment vertical="center"/>
    </xf>
    <xf numFmtId="0" fontId="43" fillId="25" borderId="0">
      <alignment vertical="center"/>
    </xf>
    <xf numFmtId="0" fontId="43" fillId="26" borderId="0">
      <alignment vertical="center"/>
    </xf>
    <xf numFmtId="0" fontId="42" fillId="27" borderId="0">
      <alignment vertical="center"/>
    </xf>
    <xf numFmtId="0" fontId="42" fillId="28" borderId="0">
      <alignment vertical="center"/>
    </xf>
    <xf numFmtId="0" fontId="43" fillId="29" borderId="0">
      <alignment vertical="center"/>
    </xf>
    <xf numFmtId="0" fontId="43" fillId="30" borderId="0">
      <alignment vertical="center"/>
    </xf>
    <xf numFmtId="0" fontId="42" fillId="31" borderId="0">
      <alignment vertical="center"/>
    </xf>
    <xf numFmtId="0" fontId="42" fillId="32" borderId="0">
      <alignment vertical="center"/>
    </xf>
    <xf numFmtId="0" fontId="43" fillId="33" borderId="0">
      <alignment vertical="center"/>
    </xf>
    <xf numFmtId="0" fontId="43" fillId="34" borderId="0">
      <alignment vertical="center"/>
    </xf>
    <xf numFmtId="0" fontId="42" fillId="35" borderId="0">
      <alignment vertical="center"/>
    </xf>
    <xf numFmtId="0" fontId="42" fillId="36" borderId="0">
      <alignment vertical="center"/>
    </xf>
    <xf numFmtId="0" fontId="43" fillId="37" borderId="0">
      <alignment vertical="center"/>
    </xf>
    <xf numFmtId="0" fontId="43" fillId="38" borderId="0">
      <alignment vertical="center"/>
    </xf>
    <xf numFmtId="0" fontId="42" fillId="39" borderId="0">
      <alignment vertical="center"/>
    </xf>
    <xf numFmtId="0" fontId="0" fillId="0" borderId="0"/>
    <xf numFmtId="0" fontId="0" fillId="0" borderId="0"/>
  </cellStyleXfs>
  <cellXfs count="154">
    <xf numFmtId="0" fontId="0" fillId="0" borderId="0" xfId="0" applyNumberFormat="1" applyFont="1" applyFill="1" applyBorder="1" applyAlignment="1" applyProtection="1">
      <alignment vertical="top"/>
    </xf>
    <xf numFmtId="0" fontId="0" fillId="0" borderId="0" xfId="0" applyNumberFormat="1" applyFont="1" applyFill="1" applyBorder="1" applyAlignment="1" applyProtection="1"/>
    <xf numFmtId="0" fontId="1" fillId="2" borderId="1" xfId="0" applyNumberFormat="1" applyFont="1" applyFill="1" applyBorder="1" applyAlignment="1" applyProtection="1">
      <alignment horizontal="center" vertical="center" wrapText="1"/>
    </xf>
    <xf numFmtId="176" fontId="1" fillId="2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vertical="center" wrapText="1"/>
    </xf>
    <xf numFmtId="176" fontId="3" fillId="0" borderId="1" xfId="0" applyNumberFormat="1" applyFont="1" applyFill="1" applyBorder="1" applyAlignment="1" applyProtection="1">
      <alignment vertical="center"/>
    </xf>
    <xf numFmtId="177" fontId="3" fillId="0" borderId="1" xfId="0" applyNumberFormat="1" applyFont="1" applyFill="1" applyBorder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76" fontId="0" fillId="0" borderId="0" xfId="0" applyNumberFormat="1" applyFont="1" applyFill="1" applyBorder="1" applyAlignment="1" applyProtection="1"/>
    <xf numFmtId="176" fontId="4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vertical="center"/>
    </xf>
    <xf numFmtId="178" fontId="1" fillId="2" borderId="2" xfId="0" applyNumberFormat="1" applyFont="1" applyFill="1" applyBorder="1" applyAlignment="1" applyProtection="1">
      <alignment horizontal="center" vertical="center" wrapText="1"/>
    </xf>
    <xf numFmtId="178" fontId="1" fillId="2" borderId="3" xfId="0" applyNumberFormat="1" applyFont="1" applyFill="1" applyBorder="1" applyAlignment="1" applyProtection="1">
      <alignment horizontal="center" vertical="center" wrapText="1"/>
    </xf>
    <xf numFmtId="178" fontId="1" fillId="2" borderId="4" xfId="0" applyNumberFormat="1" applyFont="1" applyFill="1" applyBorder="1" applyAlignment="1" applyProtection="1">
      <alignment horizontal="center" vertical="center" wrapText="1"/>
    </xf>
    <xf numFmtId="179" fontId="1" fillId="3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vertical="center"/>
    </xf>
    <xf numFmtId="0" fontId="5" fillId="0" borderId="1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178" fontId="3" fillId="0" borderId="1" xfId="0" applyNumberFormat="1" applyFont="1" applyFill="1" applyBorder="1" applyAlignment="1" applyProtection="1">
      <alignment vertical="center"/>
    </xf>
    <xf numFmtId="179" fontId="6" fillId="0" borderId="1" xfId="0" applyNumberFormat="1" applyFont="1" applyFill="1" applyBorder="1" applyAlignment="1" applyProtection="1">
      <alignment vertical="center" wrapText="1"/>
    </xf>
    <xf numFmtId="178" fontId="3" fillId="0" borderId="0" xfId="0" applyNumberFormat="1" applyFont="1" applyFill="1" applyBorder="1" applyAlignment="1" applyProtection="1">
      <alignment vertical="center"/>
    </xf>
    <xf numFmtId="179" fontId="3" fillId="0" borderId="0" xfId="0" applyNumberFormat="1" applyFont="1" applyFill="1" applyBorder="1" applyAlignment="1" applyProtection="1">
      <alignment vertical="center"/>
    </xf>
    <xf numFmtId="0" fontId="7" fillId="0" borderId="0" xfId="0" applyNumberFormat="1" applyFont="1" applyFill="1" applyBorder="1" applyAlignment="1" applyProtection="1">
      <alignment vertical="center"/>
    </xf>
    <xf numFmtId="0" fontId="1" fillId="4" borderId="1" xfId="0" applyNumberFormat="1" applyFont="1" applyFill="1" applyBorder="1" applyAlignment="1" applyProtection="1">
      <alignment horizontal="center" vertical="center" wrapText="1"/>
    </xf>
    <xf numFmtId="179" fontId="1" fillId="4" borderId="2" xfId="0" applyNumberFormat="1" applyFont="1" applyFill="1" applyBorder="1" applyAlignment="1" applyProtection="1">
      <alignment horizontal="center" vertical="center" wrapText="1"/>
    </xf>
    <xf numFmtId="180" fontId="1" fillId="4" borderId="1" xfId="0" applyNumberFormat="1" applyFont="1" applyFill="1" applyBorder="1" applyAlignment="1" applyProtection="1">
      <alignment horizontal="center" vertical="center" wrapText="1"/>
    </xf>
    <xf numFmtId="0" fontId="1" fillId="4" borderId="5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49" fontId="8" fillId="0" borderId="1" xfId="0" applyNumberFormat="1" applyFont="1" applyFill="1" applyBorder="1" applyAlignment="1" applyProtection="1">
      <alignment horizontal="center" vertical="center" wrapText="1"/>
    </xf>
    <xf numFmtId="179" fontId="8" fillId="0" borderId="1" xfId="0" applyNumberFormat="1" applyFont="1" applyFill="1" applyBorder="1" applyAlignment="1" applyProtection="1">
      <alignment horizontal="center" vertical="center" wrapText="1"/>
    </xf>
    <xf numFmtId="181" fontId="3" fillId="0" borderId="1" xfId="0" applyNumberFormat="1" applyFont="1" applyFill="1" applyBorder="1" applyAlignment="1" applyProtection="1">
      <alignment horizontal="center"/>
    </xf>
    <xf numFmtId="182" fontId="3" fillId="0" borderId="1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horizontal="center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2" fontId="0" fillId="0" borderId="0" xfId="0" applyNumberFormat="1" applyFont="1" applyFill="1" applyBorder="1" applyAlignment="1" applyProtection="1"/>
    <xf numFmtId="183" fontId="0" fillId="0" borderId="0" xfId="0" applyNumberFormat="1" applyFont="1" applyFill="1" applyBorder="1" applyAlignment="1" applyProtection="1"/>
    <xf numFmtId="179" fontId="1" fillId="2" borderId="2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>
      <alignment vertical="center"/>
    </xf>
    <xf numFmtId="179" fontId="3" fillId="0" borderId="0" xfId="0" applyNumberFormat="1" applyFont="1" applyFill="1" applyBorder="1" applyAlignment="1" applyProtection="1"/>
    <xf numFmtId="183" fontId="3" fillId="0" borderId="0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>
      <alignment horizontal="center" vertical="center" wrapText="1"/>
    </xf>
    <xf numFmtId="2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2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0" xfId="0" applyNumberFormat="1" applyFont="1" applyFill="1" applyBorder="1" applyAlignment="1" applyProtection="1">
      <alignment horizontal="center" vertical="center"/>
    </xf>
    <xf numFmtId="0" fontId="1" fillId="0" borderId="8" xfId="0" applyNumberFormat="1" applyFont="1" applyFill="1" applyBorder="1" applyAlignment="1" applyProtection="1">
      <alignment horizontal="center" vertical="center"/>
    </xf>
    <xf numFmtId="176" fontId="0" fillId="0" borderId="0" xfId="0" applyNumberFormat="1" applyFont="1" applyFill="1" applyBorder="1" applyAlignment="1" applyProtection="1">
      <alignment vertical="center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176" fontId="3" fillId="0" borderId="0" xfId="0" applyNumberFormat="1" applyFont="1" applyFill="1" applyBorder="1" applyAlignment="1" applyProtection="1">
      <alignment vertical="center"/>
    </xf>
    <xf numFmtId="176" fontId="0" fillId="0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horizontal="center"/>
    </xf>
    <xf numFmtId="0" fontId="0" fillId="0" borderId="1" xfId="0" applyNumberFormat="1" applyFont="1" applyFill="1" applyBorder="1" applyAlignment="1" applyProtection="1">
      <alignment horizontal="center" vertical="center"/>
    </xf>
    <xf numFmtId="179" fontId="1" fillId="2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5" borderId="1" xfId="0" applyNumberFormat="1" applyFont="1" applyFill="1" applyBorder="1" applyAlignment="1" applyProtection="1">
      <alignment horizontal="center" vertical="center" wrapText="1"/>
    </xf>
    <xf numFmtId="0" fontId="8" fillId="0" borderId="2" xfId="0" applyNumberFormat="1" applyFont="1" applyFill="1" applyBorder="1" applyAlignment="1" applyProtection="1">
      <alignment horizontal="center" vertical="center" wrapText="1"/>
    </xf>
    <xf numFmtId="0" fontId="8" fillId="0" borderId="10" xfId="0" applyNumberFormat="1" applyFont="1" applyFill="1" applyBorder="1" applyAlignment="1" applyProtection="1">
      <alignment horizontal="center" vertical="center" wrapText="1"/>
    </xf>
    <xf numFmtId="0" fontId="8" fillId="0" borderId="8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left" vertical="top"/>
    </xf>
    <xf numFmtId="0" fontId="0" fillId="0" borderId="0" xfId="0" applyNumberFormat="1" applyFont="1" applyFill="1" applyBorder="1" applyAlignment="1" applyProtection="1">
      <alignment horizontal="left" vertical="center" wrapText="1"/>
    </xf>
    <xf numFmtId="0" fontId="0" fillId="6" borderId="1" xfId="0" applyNumberFormat="1" applyFont="1" applyFill="1" applyBorder="1" applyAlignment="1" applyProtection="1"/>
    <xf numFmtId="0" fontId="0" fillId="0" borderId="1" xfId="0" applyNumberFormat="1" applyFont="1" applyFill="1" applyBorder="1" applyAlignment="1" applyProtection="1"/>
    <xf numFmtId="0" fontId="0" fillId="5" borderId="1" xfId="0" applyNumberFormat="1" applyFont="1" applyFill="1" applyBorder="1" applyAlignment="1" applyProtection="1"/>
    <xf numFmtId="0" fontId="11" fillId="5" borderId="1" xfId="0" applyNumberFormat="1" applyFont="1" applyFill="1" applyBorder="1" applyAlignment="1" applyProtection="1">
      <alignment horizontal="left" vertical="center" wrapText="1"/>
    </xf>
    <xf numFmtId="0" fontId="12" fillId="0" borderId="0" xfId="0" applyNumberFormat="1" applyFont="1" applyFill="1" applyBorder="1" applyAlignment="1" applyProtection="1">
      <alignment wrapText="1"/>
    </xf>
    <xf numFmtId="0" fontId="0" fillId="0" borderId="0" xfId="0" applyNumberFormat="1" applyFont="1" applyFill="1" applyBorder="1" applyAlignment="1" applyProtection="1">
      <alignment wrapText="1"/>
    </xf>
    <xf numFmtId="0" fontId="0" fillId="0" borderId="0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ont="1" applyFill="1" applyBorder="1" applyAlignment="1" applyProtection="1">
      <alignment wrapText="1"/>
    </xf>
    <xf numFmtId="0" fontId="13" fillId="0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wrapText="1"/>
    </xf>
    <xf numFmtId="4" fontId="0" fillId="0" borderId="1" xfId="0" applyNumberFormat="1" applyFont="1" applyFill="1" applyBorder="1" applyAlignment="1" applyProtection="1">
      <alignment horizontal="center" vertical="center" wrapText="1"/>
    </xf>
    <xf numFmtId="0" fontId="0" fillId="0" borderId="11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 wrapText="1"/>
    </xf>
    <xf numFmtId="49" fontId="14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13" fillId="7" borderId="1" xfId="0" applyNumberFormat="1" applyFont="1" applyFill="1" applyBorder="1" applyAlignment="1" applyProtection="1">
      <alignment horizontal="center" vertical="center" wrapText="1"/>
    </xf>
    <xf numFmtId="0" fontId="0" fillId="7" borderId="1" xfId="0" applyNumberFormat="1" applyFont="1" applyFill="1" applyBorder="1" applyAlignment="1" applyProtection="1">
      <alignment horizontal="center" vertical="center" wrapText="1"/>
    </xf>
    <xf numFmtId="0" fontId="0" fillId="7" borderId="11" xfId="0" applyNumberFormat="1" applyFont="1" applyFill="1" applyBorder="1" applyAlignment="1" applyProtection="1">
      <alignment horizontal="center" vertical="center" wrapText="1"/>
    </xf>
    <xf numFmtId="0" fontId="15" fillId="0" borderId="0" xfId="0" applyNumberFormat="1" applyFont="1" applyFill="1" applyBorder="1" applyAlignment="1" applyProtection="1">
      <alignment horizontal="center" vertical="center" wrapText="1"/>
    </xf>
    <xf numFmtId="49" fontId="13" fillId="0" borderId="1" xfId="0" applyNumberFormat="1" applyFont="1" applyFill="1" applyBorder="1" applyAlignment="1" applyProtection="1">
      <alignment horizontal="center" vertical="center" wrapText="1"/>
    </xf>
    <xf numFmtId="49" fontId="0" fillId="0" borderId="1" xfId="0" applyNumberFormat="1" applyFont="1" applyFill="1" applyBorder="1" applyAlignment="1" applyProtection="1">
      <alignment wrapText="1"/>
    </xf>
    <xf numFmtId="49" fontId="0" fillId="0" borderId="11" xfId="0" applyNumberFormat="1" applyFont="1" applyFill="1" applyBorder="1" applyAlignment="1" applyProtection="1">
      <alignment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8" borderId="1" xfId="0" applyNumberFormat="1" applyFont="1" applyFill="1" applyBorder="1" applyAlignment="1" applyProtection="1">
      <alignment horizontal="center"/>
    </xf>
    <xf numFmtId="3" fontId="0" fillId="0" borderId="1" xfId="0" applyNumberFormat="1" applyFont="1" applyFill="1" applyBorder="1" applyAlignment="1" applyProtection="1">
      <alignment horizontal="center" vertical="center"/>
    </xf>
    <xf numFmtId="0" fontId="0" fillId="8" borderId="1" xfId="0" applyNumberFormat="1" applyFont="1" applyFill="1" applyBorder="1" applyAlignment="1" applyProtection="1">
      <alignment horizontal="center" vertical="center"/>
    </xf>
    <xf numFmtId="184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horizontal="center"/>
    </xf>
    <xf numFmtId="0" fontId="3" fillId="8" borderId="2" xfId="0" applyNumberFormat="1" applyFont="1" applyFill="1" applyBorder="1" applyAlignment="1" applyProtection="1">
      <alignment horizontal="center" vertical="center"/>
    </xf>
    <xf numFmtId="0" fontId="3" fillId="8" borderId="3" xfId="0" applyNumberFormat="1" applyFont="1" applyFill="1" applyBorder="1" applyAlignment="1" applyProtection="1">
      <alignment horizontal="center" vertical="center"/>
    </xf>
    <xf numFmtId="0" fontId="3" fillId="8" borderId="4" xfId="0" applyNumberFormat="1" applyFont="1" applyFill="1" applyBorder="1" applyAlignment="1" applyProtection="1">
      <alignment horizontal="center" vertical="center"/>
    </xf>
    <xf numFmtId="0" fontId="3" fillId="8" borderId="1" xfId="0" applyNumberFormat="1" applyFont="1" applyFill="1" applyBorder="1" applyAlignment="1" applyProtection="1">
      <alignment horizontal="center"/>
    </xf>
    <xf numFmtId="179" fontId="0" fillId="8" borderId="1" xfId="0" applyNumberFormat="1" applyFont="1" applyFill="1" applyBorder="1" applyAlignment="1" applyProtection="1">
      <alignment horizontal="center"/>
    </xf>
    <xf numFmtId="49" fontId="0" fillId="8" borderId="1" xfId="0" applyNumberFormat="1" applyFont="1" applyFill="1" applyBorder="1" applyAlignment="1" applyProtection="1">
      <alignment horizontal="center"/>
    </xf>
    <xf numFmtId="0" fontId="15" fillId="8" borderId="1" xfId="0" applyNumberFormat="1" applyFont="1" applyFill="1" applyBorder="1" applyAlignment="1" applyProtection="1">
      <alignment horizontal="center" vertical="center" wrapText="1"/>
    </xf>
    <xf numFmtId="49" fontId="14" fillId="8" borderId="1" xfId="0" applyNumberFormat="1" applyFont="1" applyFill="1" applyBorder="1" applyAlignment="1" applyProtection="1">
      <alignment horizontal="center" vertical="center" wrapText="1"/>
    </xf>
    <xf numFmtId="0" fontId="14" fillId="8" borderId="1" xfId="0" applyNumberFormat="1" applyFont="1" applyFill="1" applyBorder="1" applyAlignment="1" applyProtection="1">
      <alignment horizontal="center" vertical="center" wrapText="1"/>
    </xf>
    <xf numFmtId="0" fontId="11" fillId="8" borderId="1" xfId="0" applyNumberFormat="1" applyFont="1" applyFill="1" applyBorder="1" applyAlignment="1" applyProtection="1">
      <alignment horizontal="center" vertical="center" wrapText="1"/>
    </xf>
    <xf numFmtId="0" fontId="16" fillId="8" borderId="1" xfId="0" applyNumberFormat="1" applyFont="1" applyFill="1" applyBorder="1" applyAlignment="1" applyProtection="1">
      <alignment horizontal="center" vertical="center" wrapText="1"/>
    </xf>
    <xf numFmtId="179" fontId="16" fillId="8" borderId="1" xfId="0" applyNumberFormat="1" applyFont="1" applyFill="1" applyBorder="1" applyAlignment="1" applyProtection="1">
      <alignment horizontal="center" vertical="center" wrapText="1"/>
    </xf>
    <xf numFmtId="177" fontId="0" fillId="8" borderId="1" xfId="0" applyNumberFormat="1" applyFont="1" applyFill="1" applyBorder="1" applyAlignment="1" applyProtection="1">
      <alignment horizontal="center"/>
    </xf>
    <xf numFmtId="183" fontId="0" fillId="8" borderId="1" xfId="0" applyNumberFormat="1" applyFont="1" applyFill="1" applyBorder="1" applyAlignment="1" applyProtection="1">
      <alignment horizontal="center"/>
    </xf>
    <xf numFmtId="2" fontId="15" fillId="8" borderId="1" xfId="0" applyNumberFormat="1" applyFont="1" applyFill="1" applyBorder="1" applyAlignment="1" applyProtection="1">
      <alignment horizontal="center" vertical="center" wrapText="1"/>
    </xf>
    <xf numFmtId="182" fontId="16" fillId="8" borderId="1" xfId="0" applyNumberFormat="1" applyFont="1" applyFill="1" applyBorder="1" applyAlignment="1" applyProtection="1">
      <alignment horizontal="center" vertical="center" wrapText="1"/>
    </xf>
    <xf numFmtId="179" fontId="15" fillId="8" borderId="1" xfId="0" applyNumberFormat="1" applyFont="1" applyFill="1" applyBorder="1" applyAlignment="1" applyProtection="1">
      <alignment horizontal="center" vertical="center" wrapText="1"/>
    </xf>
    <xf numFmtId="178" fontId="15" fillId="8" borderId="1" xfId="0" applyNumberFormat="1" applyFont="1" applyFill="1" applyBorder="1" applyAlignment="1" applyProtection="1">
      <alignment horizontal="center" vertical="center" wrapText="1"/>
    </xf>
    <xf numFmtId="183" fontId="15" fillId="8" borderId="1" xfId="0" applyNumberFormat="1" applyFont="1" applyFill="1" applyBorder="1" applyAlignment="1" applyProtection="1">
      <alignment horizontal="center" vertical="center" wrapText="1"/>
    </xf>
    <xf numFmtId="183" fontId="0" fillId="8" borderId="1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left"/>
    </xf>
    <xf numFmtId="0" fontId="0" fillId="5" borderId="0" xfId="0" applyNumberFormat="1" applyFont="1" applyFill="1" applyBorder="1" applyAlignment="1" applyProtection="1">
      <alignment horizontal="left"/>
    </xf>
    <xf numFmtId="0" fontId="0" fillId="5" borderId="0" xfId="0" applyNumberFormat="1" applyFont="1" applyFill="1" applyBorder="1" applyAlignment="1" applyProtection="1">
      <alignment horizontal="left" vertical="center"/>
    </xf>
    <xf numFmtId="184" fontId="0" fillId="0" borderId="0" xfId="0" applyNumberFormat="1" applyFont="1" applyFill="1" applyBorder="1" applyAlignment="1" applyProtection="1">
      <alignment horizontal="left"/>
    </xf>
    <xf numFmtId="0" fontId="3" fillId="4" borderId="1" xfId="0" applyNumberFormat="1" applyFont="1" applyFill="1" applyBorder="1" applyAlignment="1" applyProtection="1">
      <alignment horizontal="center" vertical="center"/>
    </xf>
    <xf numFmtId="0" fontId="3" fillId="4" borderId="1" xfId="0" applyNumberFormat="1" applyFont="1" applyFill="1" applyBorder="1" applyAlignment="1" applyProtection="1">
      <alignment horizontal="left" vertical="center"/>
    </xf>
    <xf numFmtId="0" fontId="3" fillId="4" borderId="1" xfId="0" applyNumberFormat="1" applyFont="1" applyFill="1" applyBorder="1" applyAlignment="1" applyProtection="1">
      <alignment horizontal="left"/>
    </xf>
    <xf numFmtId="0" fontId="14" fillId="0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left"/>
    </xf>
    <xf numFmtId="184" fontId="3" fillId="4" borderId="1" xfId="0" applyNumberFormat="1" applyFont="1" applyFill="1" applyBorder="1" applyAlignment="1" applyProtection="1">
      <alignment horizontal="left"/>
    </xf>
    <xf numFmtId="185" fontId="0" fillId="0" borderId="1" xfId="0" applyNumberFormat="1" applyFont="1" applyFill="1" applyBorder="1" applyAlignment="1" applyProtection="1">
      <alignment horizontal="left"/>
    </xf>
    <xf numFmtId="49" fontId="0" fillId="0" borderId="0" xfId="0" applyNumberFormat="1" applyFont="1" applyFill="1" applyBorder="1" applyAlignment="1" applyProtection="1">
      <alignment horizontal="center" vertical="center"/>
    </xf>
    <xf numFmtId="0" fontId="17" fillId="0" borderId="1" xfId="0" applyNumberFormat="1" applyFont="1" applyFill="1" applyBorder="1" applyAlignment="1" applyProtection="1">
      <alignment horizontal="center" vertical="center" wrapText="1"/>
    </xf>
    <xf numFmtId="0" fontId="18" fillId="0" borderId="1" xfId="0" applyNumberFormat="1" applyFont="1" applyFill="1" applyBorder="1" applyAlignment="1" applyProtection="1">
      <alignment horizontal="center" vertical="center"/>
    </xf>
    <xf numFmtId="49" fontId="17" fillId="0" borderId="1" xfId="0" applyNumberFormat="1" applyFont="1" applyFill="1" applyBorder="1" applyAlignment="1" applyProtection="1">
      <alignment horizontal="center" vertical="center" wrapText="1"/>
    </xf>
    <xf numFmtId="49" fontId="0" fillId="0" borderId="1" xfId="0" applyNumberFormat="1" applyFont="1" applyFill="1" applyBorder="1" applyAlignment="1" applyProtection="1">
      <alignment horizontal="center" vertical="center"/>
    </xf>
    <xf numFmtId="0" fontId="0" fillId="5" borderId="0" xfId="0" applyNumberFormat="1" applyFont="1" applyFill="1" applyBorder="1" applyAlignment="1" applyProtection="1"/>
    <xf numFmtId="0" fontId="14" fillId="0" borderId="1" xfId="0" applyNumberFormat="1" applyFont="1" applyFill="1" applyBorder="1" applyAlignment="1" applyProtection="1">
      <alignment vertical="center" wrapText="1"/>
    </xf>
    <xf numFmtId="0" fontId="19" fillId="0" borderId="1" xfId="0" applyNumberFormat="1" applyFont="1" applyFill="1" applyBorder="1" applyAlignment="1" applyProtection="1">
      <alignment horizontal="center" vertical="center" wrapText="1"/>
    </xf>
    <xf numFmtId="0" fontId="20" fillId="0" borderId="1" xfId="0" applyNumberFormat="1" applyFont="1" applyFill="1" applyBorder="1" applyAlignment="1" applyProtection="1">
      <alignment horizontal="center" vertical="center" wrapText="1"/>
    </xf>
    <xf numFmtId="0" fontId="21" fillId="0" borderId="1" xfId="0" applyNumberFormat="1" applyFont="1" applyFill="1" applyBorder="1" applyAlignment="1" applyProtection="1">
      <alignment horizontal="center" vertical="center" wrapText="1"/>
    </xf>
    <xf numFmtId="179" fontId="0" fillId="0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left" vertical="center" wrapText="1"/>
    </xf>
    <xf numFmtId="2" fontId="0" fillId="0" borderId="1" xfId="0" applyNumberFormat="1" applyFont="1" applyFill="1" applyBorder="1" applyAlignment="1" applyProtection="1">
      <alignment horizontal="center" vertical="center" wrapText="1"/>
    </xf>
    <xf numFmtId="180" fontId="0" fillId="0" borderId="1" xfId="0" applyNumberFormat="1" applyFont="1" applyFill="1" applyBorder="1" applyAlignment="1" applyProtection="1">
      <alignment horizontal="center" vertical="center" wrapText="1"/>
    </xf>
    <xf numFmtId="0" fontId="21" fillId="0" borderId="1" xfId="0" applyNumberFormat="1" applyFont="1" applyFill="1" applyBorder="1" applyAlignment="1" applyProtection="1">
      <alignment horizontal="center" vertical="center"/>
    </xf>
    <xf numFmtId="0" fontId="22" fillId="0" borderId="1" xfId="0" applyNumberFormat="1" applyFont="1" applyFill="1" applyBorder="1" applyAlignment="1" applyProtection="1">
      <alignment horizontal="left" vertical="center" wrapText="1"/>
    </xf>
    <xf numFmtId="0" fontId="23" fillId="0" borderId="1" xfId="0" applyNumberFormat="1" applyFont="1" applyFill="1" applyBorder="1" applyAlignment="1" applyProtection="1">
      <alignment horizontal="center" vertical="center" wrapText="1"/>
    </xf>
    <xf numFmtId="0" fontId="24" fillId="0" borderId="1" xfId="0" applyNumberFormat="1" applyFont="1" applyFill="1" applyBorder="1" applyAlignment="1" applyProtection="1">
      <alignment horizontal="center" vertical="center" wrapText="1"/>
    </xf>
    <xf numFmtId="0" fontId="23" fillId="0" borderId="1" xfId="0" applyNumberFormat="1" applyFont="1" applyFill="1" applyBorder="1" applyAlignment="1" applyProtection="1">
      <alignment horizontal="center" vertical="center"/>
    </xf>
    <xf numFmtId="0" fontId="15" fillId="0" borderId="1" xfId="0" applyNumberFormat="1" applyFont="1" applyFill="1" applyBorder="1" applyAlignment="1" applyProtection="1">
      <alignment horizontal="center" vertical="center" wrapText="1"/>
    </xf>
    <xf numFmtId="186" fontId="21" fillId="0" borderId="1" xfId="0" applyNumberFormat="1" applyFont="1" applyFill="1" applyBorder="1" applyAlignment="1" applyProtection="1">
      <alignment horizontal="center" vertical="center" wrapText="1"/>
    </xf>
    <xf numFmtId="2" fontId="0" fillId="0" borderId="1" xfId="0" applyNumberFormat="1" applyFont="1" applyFill="1" applyBorder="1" applyAlignment="1" applyProtection="1">
      <alignment vertical="center" wrapText="1"/>
    </xf>
    <xf numFmtId="187" fontId="18" fillId="0" borderId="1" xfId="0" applyNumberFormat="1" applyFont="1" applyFill="1" applyBorder="1" applyAlignment="1" applyProtection="1">
      <alignment horizontal="center" vertical="center" wrapText="1"/>
    </xf>
    <xf numFmtId="176" fontId="21" fillId="0" borderId="1" xfId="0" applyNumberFormat="1" applyFont="1" applyFill="1" applyBorder="1" applyAlignment="1" applyProtection="1">
      <alignment horizontal="center" vertical="center" wrapText="1"/>
    </xf>
    <xf numFmtId="0" fontId="21" fillId="0" borderId="1" xfId="0" applyNumberFormat="1" applyFont="1" applyFill="1" applyBorder="1" applyAlignment="1" applyProtection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externalLink" Target="externalLinks/externalLink2.xml"/><Relationship Id="rId17" Type="http://schemas.openxmlformats.org/officeDocument/2006/relationships/externalLink" Target="externalLinks/externalLink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0</xdr:row>
      <xdr:rowOff>57150</xdr:rowOff>
    </xdr:from>
    <xdr:to>
      <xdr:col>1</xdr:col>
      <xdr:colOff>571500</xdr:colOff>
      <xdr:row>2</xdr:row>
      <xdr:rowOff>180975</xdr:rowOff>
    </xdr:to>
    <xdr:sp>
      <xdr:nvSpPr>
        <xdr:cNvPr id="2" name="图片 1"/>
        <xdr:cNvSpPr/>
      </xdr:nvSpPr>
      <xdr:spPr>
        <a:xfrm>
          <a:off x="38100" y="57150"/>
          <a:ext cx="902335" cy="638175"/>
        </a:xfrm>
        <a:prstGeom prst="rect">
          <a:avLst/>
        </a:prstGeom>
        <a:blipFill>
          <a:blip r:embed="rId1"/>
          <a:stretch>
            <a:fillRect/>
          </a:stretch>
        </a:blipFill>
      </xdr:spPr>
      <xdr:txBody>
        <a:bodyPr vertOverflow="clip" horzOverflow="clip" vert="horz" wrap="square" rtlCol="0" anchor="ctr" upright="1"/>
        <a:lstStyle/>
        <a:p>
          <a:pPr algn="ctr"/>
          <a:endParaRPr lang="en-US" sz="825">
            <a:solidFill>
              <a:srgbClr val="000000"/>
            </a:solidFill>
            <a:latin typeface="Microsoft Sans Serif" panose="020B0604020202020204"/>
          </a:endParaRPr>
        </a:p>
      </xdr:txBody>
    </xdr:sp>
    <xdr:clientData fLock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SCode\PCTY\&#32043;&#22806;\&#39537;&#21160;\validation\ValidationWin\bin\Debug\Template\temp&#26816;&#39564;\T600T700-FixedSli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600T700-FixedSli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基础信息"/>
      <sheetName val="测量结果表"/>
      <sheetName val="管理表"/>
      <sheetName val="对应信息"/>
      <sheetName val="检测项信息"/>
      <sheetName val="仪器状态"/>
      <sheetName val="样品池准确度与重复性校验"/>
      <sheetName val="标准值"/>
      <sheetName val="字段对应"/>
      <sheetName val="波长示值误差与重复性校验"/>
      <sheetName val="透射比示值误差与重复性校验"/>
      <sheetName val="杂散光校验"/>
      <sheetName val="基线平直度检验"/>
      <sheetName val="基线暗噪声检验"/>
      <sheetName val="光谱带宽与仪器最小光谱带宽"/>
      <sheetName val="噪声检验"/>
      <sheetName val="波长边缘噪声"/>
      <sheetName val="漂移检验"/>
    </sheetNames>
    <sheetDataSet>
      <sheetData sheetId="0"/>
      <sheetData sheetId="1">
        <row r="2">
          <cell r="F2" t="str">
            <v>钨灯</v>
          </cell>
          <cell r="G2">
            <v>0</v>
          </cell>
        </row>
        <row r="2">
          <cell r="I2" t="str">
            <v>Abs</v>
          </cell>
          <cell r="J2">
            <v>0</v>
          </cell>
          <cell r="K2" t="str">
            <v>极慢</v>
          </cell>
          <cell r="L2">
            <v>0</v>
          </cell>
        </row>
        <row r="3">
          <cell r="F3" t="str">
            <v>氘灯</v>
          </cell>
          <cell r="G3">
            <v>1</v>
          </cell>
        </row>
        <row r="3">
          <cell r="I3" t="str">
            <v>T%</v>
          </cell>
          <cell r="J3">
            <v>1</v>
          </cell>
          <cell r="K3" t="str">
            <v>慢速</v>
          </cell>
          <cell r="L3">
            <v>1</v>
          </cell>
        </row>
        <row r="4">
          <cell r="F4" t="str">
            <v>汞灯</v>
          </cell>
          <cell r="G4">
            <v>2</v>
          </cell>
        </row>
        <row r="4">
          <cell r="I4" t="str">
            <v>Es</v>
          </cell>
          <cell r="J4">
            <v>2</v>
          </cell>
          <cell r="K4" t="str">
            <v>中速</v>
          </cell>
          <cell r="L4">
            <v>2</v>
          </cell>
        </row>
        <row r="5">
          <cell r="I5" t="str">
            <v>Er</v>
          </cell>
          <cell r="J5">
            <v>3</v>
          </cell>
          <cell r="K5" t="str">
            <v>快速</v>
          </cell>
          <cell r="L5">
            <v>3</v>
          </cell>
        </row>
        <row r="6">
          <cell r="I6" t="str">
            <v>R%</v>
          </cell>
          <cell r="J6">
            <v>4</v>
          </cell>
          <cell r="K6" t="str">
            <v>极快</v>
          </cell>
          <cell r="L6">
            <v>4</v>
          </cell>
        </row>
      </sheetData>
      <sheetData sheetId="2"/>
      <sheetData sheetId="3"/>
      <sheetData sheetId="4"/>
      <sheetData sheetId="5">
        <row r="12">
          <cell r="H12">
            <v>250</v>
          </cell>
        </row>
        <row r="12">
          <cell r="W12" t="str">
            <v>黑挡块</v>
          </cell>
        </row>
      </sheetData>
      <sheetData sheetId="6"/>
      <sheetData sheetId="7"/>
      <sheetData sheetId="8"/>
      <sheetData sheetId="9">
        <row r="2">
          <cell r="C2" t="str">
            <v>WlRange</v>
          </cell>
        </row>
        <row r="10">
          <cell r="B10" t="str">
            <v>PhotoMode</v>
          </cell>
        </row>
        <row r="11">
          <cell r="B11" t="str">
            <v>ScanSpeed</v>
          </cell>
        </row>
        <row r="13">
          <cell r="B13" t="str">
            <v>Gain</v>
          </cell>
        </row>
        <row r="14">
          <cell r="B14" t="str">
            <v>Slit1</v>
          </cell>
        </row>
        <row r="15">
          <cell r="B15" t="str">
            <v>Wl</v>
          </cell>
        </row>
        <row r="16">
          <cell r="B16" t="str">
            <v>Dark</v>
          </cell>
        </row>
        <row r="17">
          <cell r="B17" t="str">
            <v>Zero</v>
          </cell>
          <cell r="C17" t="str">
            <v>BaseLine</v>
          </cell>
        </row>
        <row r="18">
          <cell r="B18" t="str">
            <v>Measure</v>
          </cell>
          <cell r="C18" t="str">
            <v>Scan</v>
          </cell>
        </row>
        <row r="19">
          <cell r="B19" t="str">
            <v>timeinterval</v>
          </cell>
        </row>
        <row r="20">
          <cell r="B20" t="str">
            <v>totalcount</v>
          </cell>
        </row>
        <row r="21">
          <cell r="B21" t="str">
            <v>LampPos</v>
          </cell>
        </row>
        <row r="22">
          <cell r="B22" t="str">
            <v>ResponseTime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基础信息"/>
      <sheetName val="测量结果表"/>
      <sheetName val="管理表"/>
      <sheetName val="对应信息"/>
      <sheetName val="检测项信息"/>
      <sheetName val="仪器状态"/>
      <sheetName val="样品池准确度与重复性校验"/>
      <sheetName val="标准值"/>
      <sheetName val="字段对应"/>
      <sheetName val="样品池重复性"/>
      <sheetName val="波长拟合"/>
      <sheetName val="能量扫描"/>
      <sheetName val="波长示值误差与重复性校验"/>
      <sheetName val="杂散光校验"/>
      <sheetName val="基线平直度检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">
          <cell r="B5" t="str">
            <v>640.7</v>
          </cell>
        </row>
        <row r="6">
          <cell r="B6" t="str">
            <v>536.8</v>
          </cell>
        </row>
        <row r="7">
          <cell r="B7" t="str">
            <v>416.5</v>
          </cell>
        </row>
        <row r="8">
          <cell r="B8" t="str">
            <v>361.0</v>
          </cell>
        </row>
        <row r="9">
          <cell r="B9" t="str">
            <v>287.4</v>
          </cell>
        </row>
        <row r="10">
          <cell r="B10" t="str">
            <v>241.0</v>
          </cell>
        </row>
      </sheetData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4"/>
  <sheetViews>
    <sheetView showGridLines="0" tabSelected="1" zoomScale="85" zoomScaleNormal="85" zoomScalePageLayoutView="80" topLeftCell="A2" workbookViewId="0">
      <pane topLeftCell="A1" activePane="bottomLeft"/>
      <selection activeCell="M10" sqref="M10:O10"/>
    </sheetView>
  </sheetViews>
  <sheetFormatPr defaultColWidth="9" defaultRowHeight="14.25" customHeight="1"/>
  <cols>
    <col min="1" max="1" width="5.37962962962963" style="1" customWidth="1"/>
    <col min="2" max="2" width="14.1296296296296" style="1" customWidth="1"/>
    <col min="3" max="3" width="8.12962962962963" style="1" customWidth="1"/>
    <col min="4" max="5" width="8.5" style="1" customWidth="1"/>
    <col min="6" max="6" width="3.37962962962963" style="1" customWidth="1"/>
    <col min="7" max="7" width="3.5" style="1" customWidth="1"/>
    <col min="8" max="8" width="7.12962962962963" style="1" customWidth="1"/>
    <col min="9" max="9" width="3.75" style="1" customWidth="1"/>
    <col min="10" max="10" width="6.75" style="1" customWidth="1"/>
    <col min="11" max="11" width="7.5" style="1" customWidth="1"/>
    <col min="12" max="12" width="6.87962962962963" style="1" customWidth="1"/>
    <col min="13" max="13" width="8.5" style="1" customWidth="1"/>
    <col min="14" max="14" width="4.75" style="1" customWidth="1"/>
    <col min="15" max="15" width="4.62962962962963" style="134" customWidth="1"/>
    <col min="16" max="16384" width="9" style="1"/>
  </cols>
  <sheetData>
    <row r="1" ht="20.25" customHeight="1" spans="1:15">
      <c r="A1" s="135"/>
      <c r="B1" s="135"/>
      <c r="C1" s="136" t="s">
        <v>0</v>
      </c>
      <c r="D1" s="136"/>
      <c r="E1" s="136"/>
      <c r="F1" s="136"/>
      <c r="G1" s="136"/>
      <c r="H1" s="136"/>
      <c r="I1" s="136"/>
      <c r="J1" s="136"/>
      <c r="K1" s="136"/>
      <c r="L1" s="145" t="s">
        <v>1</v>
      </c>
      <c r="M1" s="145"/>
      <c r="N1" s="146"/>
      <c r="O1" s="146"/>
    </row>
    <row r="2" ht="20.25" customHeight="1" spans="1:15">
      <c r="A2" s="135"/>
      <c r="B2" s="135"/>
      <c r="C2" s="137" t="s">
        <v>2</v>
      </c>
      <c r="D2" s="137"/>
      <c r="E2" s="137"/>
      <c r="F2" s="137"/>
      <c r="G2" s="137"/>
      <c r="H2" s="137"/>
      <c r="I2" s="137"/>
      <c r="J2" s="137"/>
      <c r="K2" s="137"/>
      <c r="L2" s="145" t="s">
        <v>3</v>
      </c>
      <c r="M2" s="145"/>
      <c r="N2" s="146"/>
      <c r="O2" s="146"/>
    </row>
    <row r="3" ht="20.25" customHeight="1" spans="1:15">
      <c r="A3" s="135"/>
      <c r="B3" s="135"/>
      <c r="C3" s="137"/>
      <c r="D3" s="137"/>
      <c r="E3" s="137"/>
      <c r="F3" s="137"/>
      <c r="G3" s="137"/>
      <c r="H3" s="137"/>
      <c r="I3" s="137"/>
      <c r="J3" s="137"/>
      <c r="K3" s="137"/>
      <c r="L3" s="147" t="s">
        <v>4</v>
      </c>
      <c r="M3" s="147"/>
      <c r="N3" s="148"/>
      <c r="O3" s="148"/>
    </row>
    <row r="4" ht="18" customHeight="1" spans="1:15">
      <c r="A4" s="78" t="s">
        <v>5</v>
      </c>
      <c r="B4" s="78"/>
      <c r="C4" s="78"/>
      <c r="D4" s="78" t="s">
        <v>6</v>
      </c>
      <c r="E4" s="78"/>
      <c r="F4" s="78"/>
      <c r="G4" s="78"/>
      <c r="H4" s="78" t="s">
        <v>7</v>
      </c>
      <c r="I4" s="78"/>
      <c r="J4" s="78"/>
      <c r="K4" s="78"/>
      <c r="L4" s="78" t="s">
        <v>8</v>
      </c>
      <c r="M4" s="78"/>
      <c r="N4" s="78" t="s">
        <v>9</v>
      </c>
      <c r="O4" s="78"/>
    </row>
    <row r="5" ht="18" customHeight="1" spans="1:15">
      <c r="A5" s="78" t="str">
        <f>IFERROR(VLOOKUP(MID(D5,3,5),对应信息!A:B,2,0),"")</f>
        <v>T600AS</v>
      </c>
      <c r="B5" s="78"/>
      <c r="C5" s="78"/>
      <c r="D5" s="78" t="s">
        <v>10</v>
      </c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ht="18" customHeight="1" spans="1:15">
      <c r="A6" s="78" t="s">
        <v>11</v>
      </c>
      <c r="B6" s="78"/>
      <c r="C6" s="78"/>
      <c r="D6" s="78"/>
      <c r="E6" s="78" t="s">
        <v>12</v>
      </c>
      <c r="F6" s="78"/>
      <c r="G6" s="78"/>
      <c r="H6" s="58"/>
      <c r="I6" s="58"/>
      <c r="J6" s="58"/>
      <c r="K6" s="58"/>
      <c r="L6" s="78" t="s">
        <v>13</v>
      </c>
      <c r="M6" s="78"/>
      <c r="N6" s="78"/>
      <c r="O6" s="78"/>
    </row>
    <row r="7" ht="18" customHeight="1" spans="1:15">
      <c r="A7" s="78" t="s">
        <v>14</v>
      </c>
      <c r="B7" s="78"/>
      <c r="C7" s="78"/>
      <c r="D7" s="78"/>
      <c r="E7" s="78" t="s">
        <v>15</v>
      </c>
      <c r="F7" s="78"/>
      <c r="G7" s="78"/>
      <c r="H7" s="78"/>
      <c r="I7" s="78"/>
      <c r="J7" s="78"/>
      <c r="K7" s="58" t="s">
        <v>16</v>
      </c>
      <c r="L7" s="58"/>
      <c r="M7" s="58" t="s">
        <v>17</v>
      </c>
      <c r="N7" s="58"/>
      <c r="O7" s="58"/>
    </row>
    <row r="8" ht="18.75" customHeight="1" spans="1:15">
      <c r="A8" s="78" t="s">
        <v>18</v>
      </c>
      <c r="B8" s="78" t="s">
        <v>19</v>
      </c>
      <c r="C8" s="78"/>
      <c r="D8" s="78"/>
      <c r="E8" s="78" t="s">
        <v>20</v>
      </c>
      <c r="F8" s="78"/>
      <c r="G8" s="78"/>
      <c r="H8" s="78"/>
      <c r="I8" s="78"/>
      <c r="J8" s="78"/>
      <c r="K8" s="78"/>
      <c r="L8" s="78"/>
      <c r="M8" s="78"/>
      <c r="N8" s="78"/>
      <c r="O8" s="78"/>
    </row>
    <row r="9" s="1" customFormat="1" ht="30" customHeight="1" spans="1:15">
      <c r="A9" s="138">
        <v>1</v>
      </c>
      <c r="B9" s="138" t="s">
        <v>21</v>
      </c>
      <c r="C9" s="138"/>
      <c r="D9" s="138" t="s">
        <v>22</v>
      </c>
      <c r="E9" s="138"/>
      <c r="F9" s="138"/>
      <c r="G9" s="138" t="s">
        <v>23</v>
      </c>
      <c r="H9" s="138"/>
      <c r="I9" s="138"/>
      <c r="J9" s="138">
        <f>样品池重复性!B2</f>
        <v>0</v>
      </c>
      <c r="K9" s="138"/>
      <c r="L9" s="138" t="s">
        <v>24</v>
      </c>
      <c r="M9" s="149">
        <f>样品池重复性!B8</f>
        <v>0</v>
      </c>
      <c r="N9" s="149"/>
      <c r="O9" s="149"/>
    </row>
    <row r="10" s="1" customFormat="1" ht="18.75" customHeight="1" spans="1:15">
      <c r="A10" s="78">
        <v>2</v>
      </c>
      <c r="B10" s="78" t="s">
        <v>25</v>
      </c>
      <c r="C10" s="78" t="s">
        <v>26</v>
      </c>
      <c r="D10" s="78"/>
      <c r="E10" s="78" t="s">
        <v>27</v>
      </c>
      <c r="F10" s="78"/>
      <c r="G10" s="78"/>
      <c r="H10" s="58" t="s">
        <v>28</v>
      </c>
      <c r="I10" s="58"/>
      <c r="J10" s="58"/>
      <c r="K10" s="139" t="s">
        <v>29</v>
      </c>
      <c r="L10" s="139"/>
      <c r="M10" s="78" t="s">
        <v>30</v>
      </c>
      <c r="N10" s="78"/>
      <c r="O10" s="78"/>
    </row>
    <row r="11" s="1" customFormat="1" ht="18.75" customHeight="1" spans="1:15">
      <c r="A11" s="78"/>
      <c r="B11" s="78"/>
      <c r="C11" s="78" t="s">
        <v>31</v>
      </c>
      <c r="D11" s="78"/>
      <c r="E11" s="139" t="str">
        <f>波长拟合!C2</f>
        <v>Es</v>
      </c>
      <c r="F11" s="139"/>
      <c r="G11" s="139"/>
      <c r="H11" s="139">
        <f>波长拟合!D2</f>
        <v>4</v>
      </c>
      <c r="I11" s="139"/>
      <c r="J11" s="139"/>
      <c r="K11" s="139">
        <f>波长拟合!B2</f>
        <v>486</v>
      </c>
      <c r="L11" s="139"/>
      <c r="M11" s="139">
        <f>波长拟合!F2</f>
        <v>0</v>
      </c>
      <c r="N11" s="139"/>
      <c r="O11" s="139"/>
    </row>
    <row r="12" s="1" customFormat="1" ht="18.75" customHeight="1" spans="1:15">
      <c r="A12" s="78"/>
      <c r="B12" s="78"/>
      <c r="C12" s="78"/>
      <c r="D12" s="78"/>
      <c r="E12" s="139" t="str">
        <f>波长拟合!C3</f>
        <v>Es</v>
      </c>
      <c r="F12" s="139"/>
      <c r="G12" s="139"/>
      <c r="H12" s="139">
        <f>波长拟合!D3</f>
        <v>4</v>
      </c>
      <c r="I12" s="139"/>
      <c r="J12" s="139"/>
      <c r="K12" s="139">
        <f>波长拟合!B3</f>
        <v>656.1</v>
      </c>
      <c r="L12" s="139"/>
      <c r="M12" s="139">
        <f>波长拟合!F3</f>
        <v>0</v>
      </c>
      <c r="N12" s="139"/>
      <c r="O12" s="139"/>
    </row>
    <row r="13" s="1" customFormat="1" ht="18.75" customHeight="1" spans="1:15">
      <c r="A13" s="78"/>
      <c r="B13" s="78"/>
      <c r="C13" s="78" t="s">
        <v>32</v>
      </c>
      <c r="D13" s="78"/>
      <c r="E13" s="139" t="str">
        <f>波长拟合!C4</f>
        <v>Es</v>
      </c>
      <c r="F13" s="139"/>
      <c r="G13" s="139"/>
      <c r="H13" s="139">
        <f>波长拟合!D4</f>
        <v>3</v>
      </c>
      <c r="I13" s="139"/>
      <c r="J13" s="139"/>
      <c r="K13" s="139">
        <f>波长拟合!B4</f>
        <v>296.7</v>
      </c>
      <c r="L13" s="139"/>
      <c r="M13" s="139">
        <f>波长拟合!F4</f>
        <v>0</v>
      </c>
      <c r="N13" s="139"/>
      <c r="O13" s="139"/>
    </row>
    <row r="14" s="1" customFormat="1" ht="18.75" customHeight="1" spans="1:15">
      <c r="A14" s="78"/>
      <c r="B14" s="78"/>
      <c r="C14" s="78" t="s">
        <v>33</v>
      </c>
      <c r="D14" s="78"/>
      <c r="E14" s="139" t="str">
        <f>波长拟合!C5</f>
        <v>Es</v>
      </c>
      <c r="F14" s="139"/>
      <c r="G14" s="139"/>
      <c r="H14" s="139">
        <f>波长拟合!D5</f>
        <v>3</v>
      </c>
      <c r="I14" s="139"/>
      <c r="J14" s="139"/>
      <c r="K14" s="139">
        <f>波长拟合!B5</f>
        <v>404.7</v>
      </c>
      <c r="L14" s="139"/>
      <c r="M14" s="139">
        <f>波长拟合!F5</f>
        <v>0</v>
      </c>
      <c r="N14" s="139"/>
      <c r="O14" s="139"/>
    </row>
    <row r="15" s="1" customFormat="1" ht="18.75" customHeight="1" spans="1:15">
      <c r="A15" s="78"/>
      <c r="B15" s="78"/>
      <c r="C15" s="78"/>
      <c r="D15" s="78"/>
      <c r="E15" s="139" t="str">
        <f>波长拟合!C6</f>
        <v>Es</v>
      </c>
      <c r="F15" s="139"/>
      <c r="G15" s="139"/>
      <c r="H15" s="139">
        <f>波长拟合!D6</f>
        <v>3</v>
      </c>
      <c r="I15" s="139"/>
      <c r="J15" s="139"/>
      <c r="K15" s="139">
        <f>波长拟合!B6</f>
        <v>435.8</v>
      </c>
      <c r="L15" s="139"/>
      <c r="M15" s="139">
        <f>波长拟合!F6</f>
        <v>0</v>
      </c>
      <c r="N15" s="139"/>
      <c r="O15" s="139"/>
    </row>
    <row r="16" s="1" customFormat="1" ht="18.75" customHeight="1" spans="1:15">
      <c r="A16" s="78"/>
      <c r="B16" s="78"/>
      <c r="C16" s="78"/>
      <c r="D16" s="78"/>
      <c r="E16" s="139" t="str">
        <f>波长拟合!C7</f>
        <v>Es</v>
      </c>
      <c r="F16" s="139"/>
      <c r="G16" s="139"/>
      <c r="H16" s="139">
        <f>波长拟合!D7</f>
        <v>3</v>
      </c>
      <c r="I16" s="139"/>
      <c r="J16" s="139"/>
      <c r="K16" s="139">
        <f>波长拟合!B7</f>
        <v>546.1</v>
      </c>
      <c r="L16" s="139"/>
      <c r="M16" s="139">
        <f>波长拟合!F7</f>
        <v>0</v>
      </c>
      <c r="N16" s="139"/>
      <c r="O16" s="139"/>
    </row>
    <row r="17" s="1" customFormat="1" ht="18.75" customHeight="1" spans="1:15">
      <c r="A17" s="78"/>
      <c r="B17" s="78"/>
      <c r="C17" s="78"/>
      <c r="D17" s="78"/>
      <c r="E17" s="139" t="str">
        <f>波长拟合!C8</f>
        <v>Abs</v>
      </c>
      <c r="F17" s="139"/>
      <c r="G17" s="139"/>
      <c r="H17" s="139">
        <f>波长拟合!D8</f>
        <v>0</v>
      </c>
      <c r="I17" s="139"/>
      <c r="J17" s="139"/>
      <c r="K17" s="139">
        <f>波长拟合!B8</f>
        <v>807.4</v>
      </c>
      <c r="L17" s="139"/>
      <c r="M17" s="139">
        <f>波长拟合!F8</f>
        <v>0</v>
      </c>
      <c r="N17" s="139"/>
      <c r="O17" s="139"/>
    </row>
    <row r="18" s="1" customFormat="1" ht="18.75" customHeight="1" spans="1:15">
      <c r="A18" s="78"/>
      <c r="B18" s="78"/>
      <c r="C18" s="78" t="s">
        <v>34</v>
      </c>
      <c r="D18" s="78"/>
      <c r="E18" s="139" t="str">
        <f>波长拟合!C9</f>
        <v>Abs</v>
      </c>
      <c r="F18" s="139"/>
      <c r="G18" s="139"/>
      <c r="H18" s="139">
        <f>波长拟合!D9</f>
        <v>0</v>
      </c>
      <c r="I18" s="139"/>
      <c r="J18" s="139"/>
      <c r="K18" s="139">
        <f>波长拟合!B9</f>
        <v>241</v>
      </c>
      <c r="L18" s="139"/>
      <c r="M18" s="139">
        <f>波长拟合!F9</f>
        <v>240.9</v>
      </c>
      <c r="N18" s="139"/>
      <c r="O18" s="139"/>
    </row>
    <row r="19" s="1" customFormat="1" ht="18.75" customHeight="1" spans="1:15">
      <c r="A19" s="78"/>
      <c r="B19" s="78"/>
      <c r="C19" s="78"/>
      <c r="D19" s="78"/>
      <c r="E19" s="139" t="str">
        <f>波长拟合!C10</f>
        <v>Abs</v>
      </c>
      <c r="F19" s="139"/>
      <c r="G19" s="139"/>
      <c r="H19" s="139">
        <f>波长拟合!D10</f>
        <v>0</v>
      </c>
      <c r="I19" s="139"/>
      <c r="J19" s="139"/>
      <c r="K19" s="139">
        <f>波长拟合!B10</f>
        <v>361</v>
      </c>
      <c r="L19" s="139"/>
      <c r="M19" s="139">
        <f>波长拟合!F10</f>
        <v>361.2</v>
      </c>
      <c r="N19" s="139"/>
      <c r="O19" s="139"/>
    </row>
    <row r="20" s="1" customFormat="1" ht="18.75" customHeight="1" spans="1:15">
      <c r="A20" s="78"/>
      <c r="B20" s="78"/>
      <c r="C20" s="78"/>
      <c r="D20" s="78"/>
      <c r="E20" s="139" t="str">
        <f>波长拟合!C11</f>
        <v>Abs</v>
      </c>
      <c r="F20" s="139"/>
      <c r="G20" s="139"/>
      <c r="H20" s="139">
        <f>波长拟合!D11</f>
        <v>0</v>
      </c>
      <c r="I20" s="139"/>
      <c r="J20" s="139"/>
      <c r="K20" s="139">
        <f>波长拟合!B11</f>
        <v>640.7</v>
      </c>
      <c r="L20" s="139"/>
      <c r="M20" s="139">
        <f>波长拟合!F11</f>
        <v>640.7</v>
      </c>
      <c r="N20" s="139"/>
      <c r="O20" s="139"/>
    </row>
    <row r="21" s="1" customFormat="1" ht="18.75" customHeight="1" spans="1:15">
      <c r="A21" s="78">
        <v>3</v>
      </c>
      <c r="B21" s="78" t="s">
        <v>35</v>
      </c>
      <c r="C21" s="78" t="s">
        <v>26</v>
      </c>
      <c r="D21" s="78"/>
      <c r="E21" s="78" t="s">
        <v>36</v>
      </c>
      <c r="F21" s="78"/>
      <c r="G21" s="78"/>
      <c r="H21" s="78"/>
      <c r="I21" s="78" t="s">
        <v>37</v>
      </c>
      <c r="J21" s="78"/>
      <c r="K21" s="78" t="s">
        <v>38</v>
      </c>
      <c r="L21" s="78"/>
      <c r="M21" s="78"/>
      <c r="N21" s="78"/>
      <c r="O21" s="78"/>
    </row>
    <row r="22" s="1" customFormat="1" ht="18.75" customHeight="1" spans="1:15">
      <c r="A22" s="78"/>
      <c r="B22" s="78"/>
      <c r="C22" s="78" t="s">
        <v>31</v>
      </c>
      <c r="D22" s="78"/>
      <c r="E22" s="140" t="s">
        <v>39</v>
      </c>
      <c r="F22" s="140"/>
      <c r="G22" s="140"/>
      <c r="H22" s="140"/>
      <c r="I22" s="78" t="str">
        <f>能量扫描!B2</f>
        <v>486</v>
      </c>
      <c r="J22" s="78"/>
      <c r="K22" s="78">
        <f>能量扫描!C2</f>
        <v>483</v>
      </c>
      <c r="L22" s="78"/>
      <c r="M22" s="78"/>
      <c r="N22" s="78"/>
      <c r="O22" s="78"/>
    </row>
    <row r="23" s="1" customFormat="1" ht="18.75" customHeight="1" spans="1:15">
      <c r="A23" s="78"/>
      <c r="B23" s="78"/>
      <c r="C23" s="78"/>
      <c r="D23" s="78"/>
      <c r="E23" s="140" t="s">
        <v>40</v>
      </c>
      <c r="F23" s="140"/>
      <c r="G23" s="140"/>
      <c r="H23" s="140"/>
      <c r="I23" s="78" t="str">
        <f>能量扫描!B3</f>
        <v>656.1</v>
      </c>
      <c r="J23" s="78"/>
      <c r="K23" s="78">
        <f>能量扫描!C3</f>
        <v>653</v>
      </c>
      <c r="L23" s="78"/>
      <c r="M23" s="78"/>
      <c r="N23" s="78"/>
      <c r="O23" s="78"/>
    </row>
    <row r="24" s="1" customFormat="1" ht="18.75" customHeight="1" spans="1:15">
      <c r="A24" s="78"/>
      <c r="B24" s="78"/>
      <c r="C24" s="78"/>
      <c r="D24" s="78"/>
      <c r="E24" s="140" t="s">
        <v>41</v>
      </c>
      <c r="F24" s="140"/>
      <c r="G24" s="140"/>
      <c r="H24" s="140"/>
      <c r="I24" s="78">
        <f>能量扫描!B4</f>
        <v>0</v>
      </c>
      <c r="J24" s="78"/>
      <c r="K24" s="78"/>
      <c r="L24" s="78"/>
      <c r="M24" s="78"/>
      <c r="N24" s="78"/>
      <c r="O24" s="78"/>
    </row>
    <row r="25" s="1" customFormat="1" ht="18.75" customHeight="1" spans="1:15">
      <c r="A25" s="78"/>
      <c r="B25" s="78"/>
      <c r="C25" s="78" t="s">
        <v>42</v>
      </c>
      <c r="D25" s="78"/>
      <c r="E25" s="140" t="s">
        <v>43</v>
      </c>
      <c r="F25" s="140"/>
      <c r="G25" s="140"/>
      <c r="H25" s="140"/>
      <c r="I25" s="78">
        <f>能量扫描!B5</f>
        <v>0</v>
      </c>
      <c r="J25" s="78"/>
      <c r="K25" s="78"/>
      <c r="L25" s="78"/>
      <c r="M25" s="78"/>
      <c r="N25" s="78"/>
      <c r="O25" s="78"/>
    </row>
    <row r="26" s="1" customFormat="1" ht="18.75" customHeight="1" spans="1:15">
      <c r="A26" s="78">
        <v>4</v>
      </c>
      <c r="B26" s="78" t="s">
        <v>44</v>
      </c>
      <c r="C26" s="78" t="s">
        <v>45</v>
      </c>
      <c r="D26" s="78"/>
      <c r="E26" s="78" t="s">
        <v>46</v>
      </c>
      <c r="F26" s="78"/>
      <c r="G26" s="78"/>
      <c r="H26" s="78" t="s">
        <v>47</v>
      </c>
      <c r="I26" s="78"/>
      <c r="J26" s="78"/>
      <c r="K26" s="78"/>
      <c r="L26" s="78"/>
      <c r="M26" s="78"/>
      <c r="N26" s="78"/>
      <c r="O26" s="78"/>
    </row>
    <row r="27" s="1" customFormat="1" ht="18.75" customHeight="1" spans="1:15">
      <c r="A27" s="78"/>
      <c r="B27" s="78"/>
      <c r="C27" s="78"/>
      <c r="D27" s="78"/>
      <c r="E27" s="78" t="s">
        <v>26</v>
      </c>
      <c r="F27" s="78"/>
      <c r="G27" s="78"/>
      <c r="H27" s="78" t="s">
        <v>31</v>
      </c>
      <c r="I27" s="78"/>
      <c r="J27" s="78"/>
      <c r="K27" s="139" t="s">
        <v>31</v>
      </c>
      <c r="L27" s="139"/>
      <c r="M27" s="78" t="s">
        <v>32</v>
      </c>
      <c r="N27" s="78"/>
      <c r="O27" s="78"/>
    </row>
    <row r="28" s="1" customFormat="1" ht="18.75" customHeight="1" spans="1:15">
      <c r="A28" s="78"/>
      <c r="B28" s="78"/>
      <c r="C28" s="78"/>
      <c r="D28" s="78"/>
      <c r="E28" s="78" t="s">
        <v>29</v>
      </c>
      <c r="F28" s="78"/>
      <c r="G28" s="78"/>
      <c r="H28" s="139" t="str">
        <f>波长示值误差与重复性校验!B2</f>
        <v>656.1</v>
      </c>
      <c r="I28" s="139"/>
      <c r="J28" s="139"/>
      <c r="K28" s="139" t="str">
        <f>波长示值误差与重复性校验!B3</f>
        <v>486</v>
      </c>
      <c r="L28" s="139"/>
      <c r="M28" s="139" t="str">
        <f>波长示值误差与重复性校验!B4</f>
        <v>807.4</v>
      </c>
      <c r="N28" s="139"/>
      <c r="O28" s="139"/>
    </row>
    <row r="29" s="1" customFormat="1" ht="18.75" customHeight="1" spans="1:15">
      <c r="A29" s="78"/>
      <c r="B29" s="78"/>
      <c r="C29" s="78"/>
      <c r="D29" s="78"/>
      <c r="E29" s="78" t="s">
        <v>30</v>
      </c>
      <c r="F29" s="78"/>
      <c r="G29" s="78"/>
      <c r="H29" s="141">
        <f>波长示值误差与重复性校验!C2</f>
        <v>656.04</v>
      </c>
      <c r="I29" s="141"/>
      <c r="J29" s="141"/>
      <c r="K29" s="141" t="s">
        <v>48</v>
      </c>
      <c r="L29" s="141"/>
      <c r="M29" s="141">
        <f>波长示值误差与重复性校验!C4</f>
        <v>0</v>
      </c>
      <c r="N29" s="141"/>
      <c r="O29" s="141"/>
    </row>
    <row r="30" s="1" customFormat="1" ht="18.75" customHeight="1" spans="1:15">
      <c r="A30" s="78"/>
      <c r="B30" s="78"/>
      <c r="C30" s="78"/>
      <c r="D30" s="78"/>
      <c r="E30" s="78" t="s">
        <v>49</v>
      </c>
      <c r="F30" s="78"/>
      <c r="G30" s="78"/>
      <c r="H30" s="141">
        <f>波长示值误差与重复性校验!C3</f>
        <v>0</v>
      </c>
      <c r="I30" s="141"/>
      <c r="J30" s="141"/>
      <c r="K30" s="141">
        <f>波长示值误差与重复性校验!C4</f>
        <v>0</v>
      </c>
      <c r="L30" s="141"/>
      <c r="M30" s="141">
        <f>波长示值误差与重复性校验!C5</f>
        <v>0</v>
      </c>
      <c r="N30" s="141"/>
      <c r="O30" s="141"/>
    </row>
    <row r="31" s="1" customFormat="1" ht="18.75" customHeight="1" spans="1:15">
      <c r="A31" s="78"/>
      <c r="B31" s="78" t="s">
        <v>50</v>
      </c>
      <c r="C31" s="78" t="s">
        <v>51</v>
      </c>
      <c r="D31" s="78"/>
      <c r="E31" s="78" t="s">
        <v>26</v>
      </c>
      <c r="F31" s="78"/>
      <c r="G31" s="78"/>
      <c r="H31" s="78" t="s">
        <v>34</v>
      </c>
      <c r="I31" s="78"/>
      <c r="J31" s="78"/>
      <c r="K31" s="78"/>
      <c r="L31" s="78"/>
      <c r="M31" s="78"/>
      <c r="N31" s="78"/>
      <c r="O31" s="78"/>
    </row>
    <row r="32" s="1" customFormat="1" ht="18.75" customHeight="1" spans="1:15">
      <c r="A32" s="78"/>
      <c r="B32" s="78"/>
      <c r="C32" s="78"/>
      <c r="D32" s="78"/>
      <c r="E32" s="78" t="s">
        <v>29</v>
      </c>
      <c r="F32" s="78"/>
      <c r="G32" s="78"/>
      <c r="H32" s="139" t="str">
        <f>[2]波长示值误差与重复性校验!B5</f>
        <v>640.7</v>
      </c>
      <c r="I32" s="139"/>
      <c r="J32" s="139" t="str">
        <f>[2]波长示值误差与重复性校验!B6</f>
        <v>536.8</v>
      </c>
      <c r="K32" s="139" t="str">
        <f>[2]波长示值误差与重复性校验!B7</f>
        <v>416.5</v>
      </c>
      <c r="L32" s="139" t="str">
        <f>[2]波长示值误差与重复性校验!B8</f>
        <v>361.0</v>
      </c>
      <c r="M32" s="139" t="str">
        <f>[2]波长示值误差与重复性校验!B9</f>
        <v>287.4</v>
      </c>
      <c r="N32" s="139" t="str">
        <f>[2]波长示值误差与重复性校验!B10</f>
        <v>241.0</v>
      </c>
      <c r="O32" s="139"/>
    </row>
    <row r="33" s="1" customFormat="1" ht="19.5" customHeight="1" spans="1:15">
      <c r="A33" s="78"/>
      <c r="B33" s="78"/>
      <c r="C33" s="78"/>
      <c r="D33" s="78"/>
      <c r="E33" s="78"/>
      <c r="F33" s="78"/>
      <c r="G33" s="78"/>
      <c r="H33" s="139"/>
      <c r="I33" s="139"/>
      <c r="J33" s="139"/>
      <c r="K33" s="139"/>
      <c r="L33" s="139"/>
      <c r="M33" s="139"/>
      <c r="N33" s="139"/>
      <c r="O33" s="139"/>
    </row>
    <row r="34" s="1" customFormat="1" ht="18.75" customHeight="1" spans="1:15">
      <c r="A34" s="78"/>
      <c r="B34" s="78"/>
      <c r="C34" s="78"/>
      <c r="D34" s="78"/>
      <c r="E34" s="78" t="s">
        <v>30</v>
      </c>
      <c r="F34" s="78"/>
      <c r="G34" s="78"/>
      <c r="H34" s="141">
        <f>波长示值误差与重复性校验!C5</f>
        <v>0</v>
      </c>
      <c r="I34" s="141"/>
      <c r="J34" s="141">
        <f>波长示值误差与重复性校验!C6</f>
        <v>0</v>
      </c>
      <c r="K34" s="141">
        <f>波长示值误差与重复性校验!C7</f>
        <v>0</v>
      </c>
      <c r="L34" s="141">
        <f>波长示值误差与重复性校验!C8</f>
        <v>0</v>
      </c>
      <c r="M34" s="141">
        <f>波长示值误差与重复性校验!C9</f>
        <v>0</v>
      </c>
      <c r="N34" s="141">
        <f>波长示值误差与重复性校验!C10</f>
        <v>0</v>
      </c>
      <c r="O34" s="141"/>
    </row>
    <row r="35" s="1" customFormat="1" ht="19.5" customHeight="1" spans="1:15">
      <c r="A35" s="78"/>
      <c r="B35" s="78"/>
      <c r="C35" s="78"/>
      <c r="D35" s="78"/>
      <c r="E35" s="78"/>
      <c r="F35" s="78"/>
      <c r="G35" s="78"/>
      <c r="H35" s="141"/>
      <c r="I35" s="141"/>
      <c r="J35" s="141"/>
      <c r="K35" s="141"/>
      <c r="L35" s="141"/>
      <c r="M35" s="141"/>
      <c r="N35" s="141"/>
      <c r="O35" s="141"/>
    </row>
    <row r="36" s="1" customFormat="1" ht="19.5" hidden="1" customHeight="1" spans="1:15">
      <c r="A36" s="78"/>
      <c r="B36" s="78"/>
      <c r="C36" s="78"/>
      <c r="D36" s="78"/>
      <c r="E36" s="78"/>
      <c r="F36" s="78"/>
      <c r="G36" s="78"/>
      <c r="H36" s="141"/>
      <c r="I36" s="141"/>
      <c r="J36" s="141"/>
      <c r="K36" s="141"/>
      <c r="L36" s="141"/>
      <c r="M36" s="141"/>
      <c r="N36" s="141"/>
      <c r="O36" s="141"/>
    </row>
    <row r="37" s="1" customFormat="1" ht="19.5" hidden="1" customHeight="1" spans="1:15">
      <c r="A37" s="78"/>
      <c r="B37" s="78"/>
      <c r="C37" s="78"/>
      <c r="D37" s="78"/>
      <c r="E37" s="78"/>
      <c r="F37" s="78"/>
      <c r="G37" s="78"/>
      <c r="H37" s="141"/>
      <c r="I37" s="141"/>
      <c r="J37" s="141"/>
      <c r="K37" s="141"/>
      <c r="L37" s="141"/>
      <c r="M37" s="141"/>
      <c r="N37" s="141"/>
      <c r="O37" s="141"/>
    </row>
    <row r="38" s="1" customFormat="1" ht="18.75" customHeight="1" spans="1:15">
      <c r="A38" s="78"/>
      <c r="B38" s="78"/>
      <c r="C38" s="78"/>
      <c r="D38" s="78"/>
      <c r="E38" s="78" t="s">
        <v>49</v>
      </c>
      <c r="F38" s="78"/>
      <c r="G38" s="78"/>
      <c r="H38" s="141" t="str">
        <f>波长示值误差与重复性校验!D5</f>
        <v/>
      </c>
      <c r="I38" s="141"/>
      <c r="J38" s="150" t="str">
        <f>波长示值误差与重复性校验!D6</f>
        <v/>
      </c>
      <c r="K38" s="150" t="str">
        <f>波长示值误差与重复性校验!D7</f>
        <v/>
      </c>
      <c r="L38" s="150" t="str">
        <f>波长示值误差与重复性校验!D8</f>
        <v/>
      </c>
      <c r="M38" s="150" t="str">
        <f>波长示值误差与重复性校验!D9</f>
        <v/>
      </c>
      <c r="N38" s="141" t="str">
        <f>波长示值误差与重复性校验!D10</f>
        <v/>
      </c>
      <c r="O38" s="141"/>
    </row>
    <row r="39" s="1" customFormat="1" ht="18" hidden="1" customHeight="1" spans="1:15">
      <c r="A39" s="78"/>
      <c r="B39" s="78"/>
      <c r="C39" s="78"/>
      <c r="D39" s="78"/>
      <c r="E39" s="78"/>
      <c r="F39" s="78"/>
      <c r="G39" s="78"/>
      <c r="H39" s="141"/>
      <c r="I39" s="141"/>
      <c r="J39" s="150"/>
      <c r="K39" s="150"/>
      <c r="L39" s="150"/>
      <c r="M39" s="150"/>
      <c r="N39" s="141"/>
      <c r="O39" s="141"/>
    </row>
    <row r="40" s="1" customFormat="1" ht="19.5" hidden="1" customHeight="1" spans="1:15">
      <c r="A40" s="78"/>
      <c r="B40" s="78"/>
      <c r="C40" s="78"/>
      <c r="D40" s="78"/>
      <c r="E40" s="78"/>
      <c r="F40" s="78"/>
      <c r="G40" s="78"/>
      <c r="H40" s="142"/>
      <c r="I40" s="142"/>
      <c r="J40" s="142"/>
      <c r="K40" s="142"/>
      <c r="L40" s="142"/>
      <c r="M40" s="142"/>
      <c r="N40" s="142"/>
      <c r="O40" s="142"/>
    </row>
    <row r="41" s="1" customFormat="1" ht="18.75" customHeight="1" spans="1:15">
      <c r="A41" s="78">
        <v>5</v>
      </c>
      <c r="B41" s="138" t="s">
        <v>52</v>
      </c>
      <c r="C41" s="78"/>
      <c r="D41" s="78"/>
      <c r="E41" s="138" t="s">
        <v>53</v>
      </c>
      <c r="F41" s="138"/>
      <c r="G41" s="138"/>
      <c r="H41" s="138"/>
      <c r="I41" s="138"/>
      <c r="J41" s="78">
        <v>1</v>
      </c>
      <c r="K41" s="78">
        <v>2</v>
      </c>
      <c r="L41" s="78">
        <v>3</v>
      </c>
      <c r="M41" s="78" t="s">
        <v>20</v>
      </c>
      <c r="N41" s="78"/>
      <c r="O41" s="78"/>
    </row>
    <row r="42" s="1" customFormat="1" ht="30" hidden="1" customHeight="1" spans="1:15">
      <c r="A42" s="78"/>
      <c r="B42" s="138"/>
      <c r="C42" s="78"/>
      <c r="D42" s="78"/>
      <c r="E42" s="138"/>
      <c r="F42" s="138"/>
      <c r="G42" s="138"/>
      <c r="H42" s="138"/>
      <c r="I42" s="138"/>
      <c r="J42" s="78"/>
      <c r="K42" s="78"/>
      <c r="L42" s="78"/>
      <c r="M42" s="78"/>
      <c r="N42" s="78"/>
      <c r="O42" s="78"/>
    </row>
    <row r="43" s="1" customFormat="1" ht="18.75" customHeight="1" spans="1:15">
      <c r="A43" s="78"/>
      <c r="B43" s="138"/>
      <c r="C43" s="143" t="s">
        <v>54</v>
      </c>
      <c r="D43" s="78" t="s">
        <v>55</v>
      </c>
      <c r="E43" s="138" t="s">
        <v>56</v>
      </c>
      <c r="F43" s="138"/>
      <c r="G43" s="138"/>
      <c r="H43" s="78" t="s">
        <v>57</v>
      </c>
      <c r="I43" s="78"/>
      <c r="J43" s="151">
        <f>杂散光校验!C2</f>
        <v>0</v>
      </c>
      <c r="K43" s="151">
        <f>杂散光校验!D2</f>
        <v>0</v>
      </c>
      <c r="L43" s="151">
        <f>杂散光校验!E2</f>
        <v>0</v>
      </c>
      <c r="M43" s="78" t="str">
        <f>杂散光校验!G2</f>
        <v>不合格</v>
      </c>
      <c r="N43" s="78"/>
      <c r="O43" s="78"/>
    </row>
    <row r="44" s="1" customFormat="1" ht="30" customHeight="1" spans="1:15">
      <c r="A44" s="78"/>
      <c r="B44" s="138"/>
      <c r="C44" s="143"/>
      <c r="D44" s="78"/>
      <c r="E44" s="138"/>
      <c r="F44" s="138"/>
      <c r="G44" s="138"/>
      <c r="H44" s="78"/>
      <c r="I44" s="78"/>
      <c r="J44" s="151"/>
      <c r="K44" s="151"/>
      <c r="L44" s="151"/>
      <c r="M44" s="78"/>
      <c r="N44" s="78"/>
      <c r="O44" s="78"/>
    </row>
    <row r="45" s="1" customFormat="1" ht="30" customHeight="1" spans="1:15">
      <c r="A45" s="78"/>
      <c r="B45" s="138"/>
      <c r="C45" s="143" t="s">
        <v>58</v>
      </c>
      <c r="D45" s="78" t="s">
        <v>59</v>
      </c>
      <c r="E45" s="138" t="s">
        <v>60</v>
      </c>
      <c r="F45" s="138"/>
      <c r="G45" s="138"/>
      <c r="H45" s="78"/>
      <c r="I45" s="78"/>
      <c r="J45" s="151">
        <f>杂散光校验!C3</f>
        <v>0</v>
      </c>
      <c r="K45" s="151">
        <f>杂散光校验!D3</f>
        <v>0</v>
      </c>
      <c r="L45" s="151">
        <f>杂散光校验!E3</f>
        <v>0</v>
      </c>
      <c r="M45" s="78" t="str">
        <f>杂散光校验!G3</f>
        <v>不合格</v>
      </c>
      <c r="N45" s="78"/>
      <c r="O45" s="78"/>
    </row>
    <row r="46" s="1" customFormat="1" ht="30" customHeight="1" spans="1:15">
      <c r="A46" s="78"/>
      <c r="B46" s="138"/>
      <c r="C46" s="143"/>
      <c r="D46" s="78"/>
      <c r="E46" s="138"/>
      <c r="F46" s="138"/>
      <c r="G46" s="138"/>
      <c r="H46" s="78"/>
      <c r="I46" s="78"/>
      <c r="J46" s="151"/>
      <c r="K46" s="151"/>
      <c r="L46" s="151"/>
      <c r="M46" s="78"/>
      <c r="N46" s="78"/>
      <c r="O46" s="78"/>
    </row>
    <row r="47" s="1" customFormat="1" ht="30" customHeight="1" spans="1:15">
      <c r="A47" s="78">
        <v>6</v>
      </c>
      <c r="B47" s="138" t="s">
        <v>61</v>
      </c>
      <c r="C47" s="78" t="s">
        <v>62</v>
      </c>
      <c r="D47" s="78"/>
      <c r="E47" s="78"/>
      <c r="F47" s="78"/>
      <c r="G47" s="78"/>
      <c r="H47" s="78" t="s">
        <v>63</v>
      </c>
      <c r="I47" s="78"/>
      <c r="J47" s="78"/>
      <c r="K47" s="78"/>
      <c r="L47" s="78"/>
      <c r="M47" s="152">
        <f>基线平直度检验!B2</f>
        <v>0</v>
      </c>
      <c r="N47" s="152"/>
      <c r="O47" s="152"/>
    </row>
    <row r="48" s="1" customFormat="1" ht="30" customHeight="1" spans="1:15">
      <c r="A48" s="78"/>
      <c r="B48" s="13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152"/>
      <c r="N48" s="152"/>
      <c r="O48" s="152"/>
    </row>
    <row r="49" ht="77.25" customHeight="1" spans="1:15">
      <c r="A49" s="138">
        <v>7</v>
      </c>
      <c r="B49" s="78" t="s">
        <v>64</v>
      </c>
      <c r="C49" s="138" t="s">
        <v>65</v>
      </c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53" t="s">
        <v>66</v>
      </c>
      <c r="O49" s="153"/>
    </row>
    <row r="50" ht="30" customHeight="1" spans="1:15">
      <c r="A50" s="138"/>
      <c r="B50" s="7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53"/>
      <c r="O50" s="153"/>
    </row>
    <row r="51" ht="27.75" customHeight="1" spans="1:15">
      <c r="A51" s="138" t="s">
        <v>67</v>
      </c>
      <c r="B51" s="138"/>
      <c r="C51" s="138" t="s">
        <v>68</v>
      </c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</row>
    <row r="52" customHeight="1" spans="1:15">
      <c r="A52" s="78" t="s">
        <v>69</v>
      </c>
      <c r="B52" s="78"/>
      <c r="C52" s="144" t="s">
        <v>70</v>
      </c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</row>
    <row r="53" customHeight="1" spans="1:15">
      <c r="A53" s="78"/>
      <c r="B53" s="78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</row>
    <row r="54" ht="27" customHeight="1" spans="1:15">
      <c r="A54" s="78"/>
      <c r="B54" s="78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</row>
  </sheetData>
  <mergeCells count="201">
    <mergeCell ref="C1:K1"/>
    <mergeCell ref="L1:M1"/>
    <mergeCell ref="N1:O1"/>
    <mergeCell ref="L2:M2"/>
    <mergeCell ref="N2:O2"/>
    <mergeCell ref="L3:M3"/>
    <mergeCell ref="N3:O3"/>
    <mergeCell ref="A4:C4"/>
    <mergeCell ref="D4:G4"/>
    <mergeCell ref="H4:K4"/>
    <mergeCell ref="L4:M4"/>
    <mergeCell ref="N4:O4"/>
    <mergeCell ref="A5:C5"/>
    <mergeCell ref="D5:G5"/>
    <mergeCell ref="H5:K5"/>
    <mergeCell ref="L5:M5"/>
    <mergeCell ref="N5:O5"/>
    <mergeCell ref="A6:B6"/>
    <mergeCell ref="C6:D6"/>
    <mergeCell ref="E6:G6"/>
    <mergeCell ref="H6:K6"/>
    <mergeCell ref="L6:M6"/>
    <mergeCell ref="N6:O6"/>
    <mergeCell ref="A7:B7"/>
    <mergeCell ref="C7:D7"/>
    <mergeCell ref="E7:G7"/>
    <mergeCell ref="H7:J7"/>
    <mergeCell ref="K7:L7"/>
    <mergeCell ref="M7:O7"/>
    <mergeCell ref="B8:D8"/>
    <mergeCell ref="E8:O8"/>
    <mergeCell ref="B9:C9"/>
    <mergeCell ref="D9:F9"/>
    <mergeCell ref="G9:I9"/>
    <mergeCell ref="J9:K9"/>
    <mergeCell ref="M9:O9"/>
    <mergeCell ref="C10:D10"/>
    <mergeCell ref="E10:G10"/>
    <mergeCell ref="H10:J10"/>
    <mergeCell ref="K10:L10"/>
    <mergeCell ref="M10:O10"/>
    <mergeCell ref="E11:G11"/>
    <mergeCell ref="H11:J11"/>
    <mergeCell ref="K11:L11"/>
    <mergeCell ref="M11:O11"/>
    <mergeCell ref="E12:G12"/>
    <mergeCell ref="H12:J12"/>
    <mergeCell ref="K12:L12"/>
    <mergeCell ref="M12:O12"/>
    <mergeCell ref="C13:D13"/>
    <mergeCell ref="E13:G13"/>
    <mergeCell ref="H13:J13"/>
    <mergeCell ref="K13:L13"/>
    <mergeCell ref="M13:O13"/>
    <mergeCell ref="E14:G14"/>
    <mergeCell ref="H14:J14"/>
    <mergeCell ref="K14:L14"/>
    <mergeCell ref="M14:O14"/>
    <mergeCell ref="E15:G15"/>
    <mergeCell ref="H15:J15"/>
    <mergeCell ref="K15:L15"/>
    <mergeCell ref="M15:O15"/>
    <mergeCell ref="E16:G16"/>
    <mergeCell ref="H16:J16"/>
    <mergeCell ref="K16:L16"/>
    <mergeCell ref="M16:O16"/>
    <mergeCell ref="E17:G17"/>
    <mergeCell ref="H17:J17"/>
    <mergeCell ref="K17:L17"/>
    <mergeCell ref="M17:O17"/>
    <mergeCell ref="E18:G18"/>
    <mergeCell ref="H18:J18"/>
    <mergeCell ref="K18:L18"/>
    <mergeCell ref="M18:O18"/>
    <mergeCell ref="E19:G19"/>
    <mergeCell ref="H19:J19"/>
    <mergeCell ref="K19:L19"/>
    <mergeCell ref="M19:O19"/>
    <mergeCell ref="E20:G20"/>
    <mergeCell ref="H20:J20"/>
    <mergeCell ref="K20:L20"/>
    <mergeCell ref="M20:O20"/>
    <mergeCell ref="C21:D21"/>
    <mergeCell ref="E21:H21"/>
    <mergeCell ref="I21:J21"/>
    <mergeCell ref="K21:L21"/>
    <mergeCell ref="M21:O21"/>
    <mergeCell ref="E22:H22"/>
    <mergeCell ref="I22:J22"/>
    <mergeCell ref="K22:L22"/>
    <mergeCell ref="M22:O22"/>
    <mergeCell ref="E23:H23"/>
    <mergeCell ref="I23:J23"/>
    <mergeCell ref="K23:L23"/>
    <mergeCell ref="M23:O23"/>
    <mergeCell ref="E24:H24"/>
    <mergeCell ref="I24:J24"/>
    <mergeCell ref="K24:L24"/>
    <mergeCell ref="M24:O24"/>
    <mergeCell ref="C25:D25"/>
    <mergeCell ref="E25:H25"/>
    <mergeCell ref="I25:J25"/>
    <mergeCell ref="K25:L25"/>
    <mergeCell ref="M25:O25"/>
    <mergeCell ref="E26:G26"/>
    <mergeCell ref="H26:O26"/>
    <mergeCell ref="E27:G27"/>
    <mergeCell ref="H27:J27"/>
    <mergeCell ref="K27:L27"/>
    <mergeCell ref="M27:O27"/>
    <mergeCell ref="E28:G28"/>
    <mergeCell ref="H28:J28"/>
    <mergeCell ref="K28:L28"/>
    <mergeCell ref="M28:O28"/>
    <mergeCell ref="E29:G29"/>
    <mergeCell ref="H29:J29"/>
    <mergeCell ref="K29:L29"/>
    <mergeCell ref="M29:O29"/>
    <mergeCell ref="E30:G30"/>
    <mergeCell ref="H30:J30"/>
    <mergeCell ref="K30:L30"/>
    <mergeCell ref="M30:O30"/>
    <mergeCell ref="E31:G31"/>
    <mergeCell ref="H31:O31"/>
    <mergeCell ref="H36:I36"/>
    <mergeCell ref="N36:O36"/>
    <mergeCell ref="E37:G37"/>
    <mergeCell ref="H37:I37"/>
    <mergeCell ref="N37:O37"/>
    <mergeCell ref="E40:G40"/>
    <mergeCell ref="H40:I40"/>
    <mergeCell ref="N40:O40"/>
    <mergeCell ref="A51:B51"/>
    <mergeCell ref="C51:O51"/>
    <mergeCell ref="A10:A20"/>
    <mergeCell ref="A21:A25"/>
    <mergeCell ref="A26:A40"/>
    <mergeCell ref="A41:A46"/>
    <mergeCell ref="A47:A48"/>
    <mergeCell ref="A49:A50"/>
    <mergeCell ref="B10:B20"/>
    <mergeCell ref="B21:B25"/>
    <mergeCell ref="B26:B30"/>
    <mergeCell ref="B31:B40"/>
    <mergeCell ref="B41:B46"/>
    <mergeCell ref="B47:B48"/>
    <mergeCell ref="B49:B50"/>
    <mergeCell ref="C43:C44"/>
    <mergeCell ref="C45:C46"/>
    <mergeCell ref="D43:D44"/>
    <mergeCell ref="D45:D46"/>
    <mergeCell ref="J32:J33"/>
    <mergeCell ref="J34:J35"/>
    <mergeCell ref="J41:J42"/>
    <mergeCell ref="J43:J44"/>
    <mergeCell ref="J45:J46"/>
    <mergeCell ref="K32:K33"/>
    <mergeCell ref="K34:K35"/>
    <mergeCell ref="K41:K42"/>
    <mergeCell ref="K43:K44"/>
    <mergeCell ref="K45:K46"/>
    <mergeCell ref="L32:L33"/>
    <mergeCell ref="L34:L35"/>
    <mergeCell ref="L41:L42"/>
    <mergeCell ref="L43:L44"/>
    <mergeCell ref="L45:L46"/>
    <mergeCell ref="M32:M33"/>
    <mergeCell ref="M34:M35"/>
    <mergeCell ref="C2:K3"/>
    <mergeCell ref="C11:D12"/>
    <mergeCell ref="C14:D17"/>
    <mergeCell ref="C26:D30"/>
    <mergeCell ref="C18:D20"/>
    <mergeCell ref="C22:D24"/>
    <mergeCell ref="A1:B3"/>
    <mergeCell ref="M41:O42"/>
    <mergeCell ref="N49:O50"/>
    <mergeCell ref="M43:O44"/>
    <mergeCell ref="M47:O48"/>
    <mergeCell ref="M45:O46"/>
    <mergeCell ref="H32:I33"/>
    <mergeCell ref="N32:O33"/>
    <mergeCell ref="H34:I35"/>
    <mergeCell ref="N34:O35"/>
    <mergeCell ref="H38:I39"/>
    <mergeCell ref="N38:O39"/>
    <mergeCell ref="E38:G39"/>
    <mergeCell ref="E34:G36"/>
    <mergeCell ref="C31:D40"/>
    <mergeCell ref="E32:G33"/>
    <mergeCell ref="A52:B54"/>
    <mergeCell ref="C52:O54"/>
    <mergeCell ref="C49:M50"/>
    <mergeCell ref="C47:G48"/>
    <mergeCell ref="H47:L48"/>
    <mergeCell ref="H41:I42"/>
    <mergeCell ref="H43:I46"/>
    <mergeCell ref="E45:G46"/>
    <mergeCell ref="E43:G44"/>
    <mergeCell ref="E41:G42"/>
    <mergeCell ref="C41:D42"/>
  </mergeCells>
  <printOptions horizontalCentered="1"/>
  <pageMargins left="0.511811023622047" right="0.511811023622047" top="0.748031496062992" bottom="0.748031496062992" header="0.196850393700787" footer="0.196850393700787"/>
  <pageSetup paperSize="9" scale="95" firstPageNumber="4294963191" orientation="portrait" useFirstPageNumber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showGridLines="0" showRowColHeaders="0" workbookViewId="0">
      <pane topLeftCell="A1" activePane="topLeft"/>
      <selection activeCell="A1" sqref="A1"/>
    </sheetView>
  </sheetViews>
  <sheetFormatPr defaultColWidth="8.87962962962963" defaultRowHeight="14.25" customHeight="1"/>
  <cols>
    <col min="1" max="1" width="18.3796296296296" style="92" customWidth="1"/>
    <col min="2" max="2" width="19.3796296296296" style="92" customWidth="1"/>
    <col min="3" max="3" width="21.5" style="92" customWidth="1"/>
    <col min="4" max="4" width="7.87962962962963" style="92" customWidth="1"/>
    <col min="5" max="7" width="14.1296296296296" style="92" customWidth="1"/>
    <col min="8" max="12" width="11" style="92" customWidth="1"/>
    <col min="13" max="13" width="16.3796296296296" style="92" customWidth="1"/>
    <col min="14" max="14" width="11" style="92" customWidth="1"/>
    <col min="15" max="15" width="20.1296296296296" style="92" customWidth="1"/>
    <col min="16" max="16" width="16.3796296296296" style="129" customWidth="1"/>
    <col min="17" max="16384" width="8.87962962962963" style="92"/>
  </cols>
  <sheetData>
    <row r="1" s="75" customFormat="1" ht="32.25" customHeight="1" spans="1:18">
      <c r="A1" s="84" t="s">
        <v>71</v>
      </c>
      <c r="B1" s="84" t="s">
        <v>72</v>
      </c>
      <c r="C1" s="84" t="s">
        <v>37</v>
      </c>
      <c r="D1" s="84"/>
      <c r="E1" s="130" t="s">
        <v>73</v>
      </c>
      <c r="F1" s="130" t="s">
        <v>74</v>
      </c>
      <c r="G1" s="130" t="s">
        <v>74</v>
      </c>
      <c r="H1" s="130" t="s">
        <v>75</v>
      </c>
      <c r="I1" s="130" t="s">
        <v>76</v>
      </c>
      <c r="J1" s="130" t="s">
        <v>76</v>
      </c>
      <c r="K1" s="130" t="s">
        <v>77</v>
      </c>
      <c r="L1" s="130" t="s">
        <v>77</v>
      </c>
      <c r="M1" s="130" t="s">
        <v>78</v>
      </c>
      <c r="N1" s="130" t="s">
        <v>79</v>
      </c>
      <c r="O1" s="130" t="s">
        <v>80</v>
      </c>
      <c r="P1" s="132" t="s">
        <v>81</v>
      </c>
      <c r="Q1" s="130" t="s">
        <v>28</v>
      </c>
      <c r="R1" s="130" t="s">
        <v>82</v>
      </c>
    </row>
    <row r="2" customHeight="1" spans="1:18">
      <c r="A2" s="59" t="s">
        <v>31</v>
      </c>
      <c r="B2" s="59">
        <v>656.1</v>
      </c>
      <c r="C2" s="59">
        <v>656.1</v>
      </c>
      <c r="D2" s="59"/>
      <c r="E2" s="59" t="s">
        <v>83</v>
      </c>
      <c r="F2" s="59" t="s">
        <v>42</v>
      </c>
      <c r="G2" s="59">
        <v>0</v>
      </c>
      <c r="H2" s="59"/>
      <c r="I2" s="59" t="s">
        <v>84</v>
      </c>
      <c r="J2" s="59">
        <v>0</v>
      </c>
      <c r="K2" s="59" t="s">
        <v>85</v>
      </c>
      <c r="L2" s="59">
        <v>0</v>
      </c>
      <c r="M2" s="59"/>
      <c r="N2" s="59">
        <v>1</v>
      </c>
      <c r="P2" s="133">
        <v>0.2</v>
      </c>
      <c r="Q2" s="133"/>
      <c r="R2" s="59"/>
    </row>
    <row r="3" customHeight="1" spans="1:18">
      <c r="A3" s="59" t="s">
        <v>86</v>
      </c>
      <c r="B3" s="59">
        <v>253.7</v>
      </c>
      <c r="C3" s="59">
        <v>253.7</v>
      </c>
      <c r="D3" s="59"/>
      <c r="E3" s="59" t="s">
        <v>87</v>
      </c>
      <c r="F3" s="59" t="s">
        <v>31</v>
      </c>
      <c r="G3" s="59">
        <v>1</v>
      </c>
      <c r="H3" s="59" t="s">
        <v>88</v>
      </c>
      <c r="I3" s="59" t="s">
        <v>89</v>
      </c>
      <c r="J3" s="59">
        <v>1</v>
      </c>
      <c r="K3" s="59" t="s">
        <v>90</v>
      </c>
      <c r="L3" s="59">
        <v>1</v>
      </c>
      <c r="M3" s="92">
        <v>0.02</v>
      </c>
      <c r="N3" s="59">
        <v>2</v>
      </c>
      <c r="O3" s="59">
        <v>1</v>
      </c>
      <c r="P3" s="133">
        <v>0.5</v>
      </c>
      <c r="Q3" s="59">
        <v>1</v>
      </c>
      <c r="R3" s="59">
        <v>0.5</v>
      </c>
    </row>
    <row r="4" customHeight="1" spans="1:18">
      <c r="A4" s="59" t="s">
        <v>91</v>
      </c>
      <c r="B4" s="59" t="s">
        <v>92</v>
      </c>
      <c r="C4" s="59" t="s">
        <v>92</v>
      </c>
      <c r="D4" s="59"/>
      <c r="E4" s="59"/>
      <c r="F4" s="59" t="s">
        <v>33</v>
      </c>
      <c r="G4" s="59">
        <v>2</v>
      </c>
      <c r="H4" s="59"/>
      <c r="I4" s="59" t="s">
        <v>93</v>
      </c>
      <c r="J4" s="59">
        <v>2</v>
      </c>
      <c r="K4" s="59" t="s">
        <v>94</v>
      </c>
      <c r="L4" s="59">
        <v>2</v>
      </c>
      <c r="M4" s="59">
        <v>0.1</v>
      </c>
      <c r="N4" s="59">
        <v>3</v>
      </c>
      <c r="O4" s="59">
        <v>2</v>
      </c>
      <c r="P4" s="133" t="s">
        <v>95</v>
      </c>
      <c r="Q4" s="59">
        <v>2</v>
      </c>
      <c r="R4" s="59">
        <v>1</v>
      </c>
    </row>
    <row r="5" customHeight="1" spans="1:18">
      <c r="A5" s="59" t="s">
        <v>32</v>
      </c>
      <c r="B5" s="59" t="s">
        <v>96</v>
      </c>
      <c r="C5" s="59" t="s">
        <v>96</v>
      </c>
      <c r="D5" s="59"/>
      <c r="E5" s="59"/>
      <c r="F5" s="59"/>
      <c r="G5" s="59"/>
      <c r="H5" s="59"/>
      <c r="I5" s="59" t="s">
        <v>97</v>
      </c>
      <c r="J5" s="59">
        <v>3</v>
      </c>
      <c r="K5" s="59" t="s">
        <v>98</v>
      </c>
      <c r="L5" s="59">
        <v>3</v>
      </c>
      <c r="M5" s="59">
        <v>0.2</v>
      </c>
      <c r="N5" s="59">
        <v>4</v>
      </c>
      <c r="O5" s="59"/>
      <c r="P5" s="133" t="s">
        <v>99</v>
      </c>
      <c r="Q5" s="59">
        <v>3</v>
      </c>
      <c r="R5" s="59">
        <v>2</v>
      </c>
    </row>
    <row r="6" customHeight="1" spans="1:18">
      <c r="A6" s="59" t="s">
        <v>100</v>
      </c>
      <c r="B6" s="59" t="s">
        <v>101</v>
      </c>
      <c r="C6" s="59"/>
      <c r="D6" s="59"/>
      <c r="E6" s="59"/>
      <c r="F6" s="59"/>
      <c r="G6" s="59"/>
      <c r="H6" s="59"/>
      <c r="I6" s="59" t="s">
        <v>102</v>
      </c>
      <c r="J6" s="59">
        <v>4</v>
      </c>
      <c r="K6" s="59" t="s">
        <v>103</v>
      </c>
      <c r="L6" s="59">
        <v>4</v>
      </c>
      <c r="M6" s="59">
        <v>0.5</v>
      </c>
      <c r="N6" s="59">
        <v>5</v>
      </c>
      <c r="O6" s="59"/>
      <c r="P6" s="133" t="s">
        <v>104</v>
      </c>
      <c r="Q6" s="59">
        <v>4</v>
      </c>
      <c r="R6" s="59"/>
    </row>
    <row r="7" customHeight="1" spans="1:18">
      <c r="A7" s="59" t="s">
        <v>105</v>
      </c>
      <c r="B7" s="59" t="s">
        <v>106</v>
      </c>
      <c r="C7" s="59"/>
      <c r="D7" s="59"/>
      <c r="E7" s="59"/>
      <c r="F7" s="59"/>
      <c r="G7" s="59"/>
      <c r="H7" s="59"/>
      <c r="I7" s="59"/>
      <c r="J7" s="59"/>
      <c r="K7" s="59" t="s">
        <v>107</v>
      </c>
      <c r="L7" s="59"/>
      <c r="M7" s="59">
        <v>1</v>
      </c>
      <c r="N7" s="59"/>
      <c r="O7" s="59"/>
      <c r="P7" s="133"/>
      <c r="Q7" s="59">
        <v>5</v>
      </c>
      <c r="R7" s="59"/>
    </row>
    <row r="8" customHeight="1" spans="1:18">
      <c r="A8" s="59" t="s">
        <v>108</v>
      </c>
      <c r="B8" s="59" t="s">
        <v>109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>
        <v>2</v>
      </c>
      <c r="N8" s="59"/>
      <c r="O8" s="59"/>
      <c r="P8" s="133"/>
      <c r="Q8" s="59"/>
      <c r="R8" s="59"/>
    </row>
    <row r="9" customHeight="1" spans="1:18">
      <c r="A9" s="131" t="s">
        <v>110</v>
      </c>
      <c r="B9" s="94">
        <v>350313257235</v>
      </c>
      <c r="C9" s="59" t="s">
        <v>111</v>
      </c>
      <c r="D9" s="94"/>
      <c r="E9" s="59"/>
      <c r="F9" s="59"/>
      <c r="G9" s="59"/>
      <c r="H9" s="59"/>
      <c r="I9" s="59"/>
      <c r="J9" s="59"/>
      <c r="K9" s="59"/>
      <c r="L9" s="59"/>
      <c r="M9" s="59">
        <v>5</v>
      </c>
      <c r="N9" s="59"/>
      <c r="O9" s="59"/>
      <c r="P9" s="133"/>
      <c r="Q9" s="59"/>
      <c r="R9" s="59"/>
    </row>
    <row r="10" customHeight="1" spans="1:18">
      <c r="A10" s="59" t="s">
        <v>112</v>
      </c>
      <c r="B10" s="59">
        <v>220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133"/>
      <c r="Q10" s="59"/>
      <c r="R10" s="59"/>
    </row>
    <row r="11" customHeight="1" spans="1:18">
      <c r="A11" s="59" t="s">
        <v>113</v>
      </c>
      <c r="B11" s="94">
        <v>340360</v>
      </c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133"/>
      <c r="Q11" s="59"/>
      <c r="R11" s="59"/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8"/>
  <sheetViews>
    <sheetView showGridLines="0" showRowColHeaders="0" workbookViewId="0">
      <pane ySplit="1" topLeftCell="A2" activePane="bottomLeft" state="frozen"/>
      <selection/>
      <selection pane="bottomLeft" activeCell="E5" sqref="E5"/>
    </sheetView>
  </sheetViews>
  <sheetFormatPr defaultColWidth="9" defaultRowHeight="14.25" customHeight="1"/>
  <cols>
    <col min="1" max="1" width="10" style="97" customWidth="1"/>
    <col min="2" max="2" width="13.6296296296296" style="97" customWidth="1"/>
    <col min="3" max="3" width="7.87962962962963" style="97" customWidth="1"/>
    <col min="4" max="4" width="15.3796296296296" style="118" customWidth="1"/>
    <col min="5" max="8" width="9" style="1"/>
    <col min="9" max="9" width="17.25" style="1" customWidth="1"/>
    <col min="10" max="10" width="9" style="1"/>
    <col min="11" max="11" width="10" style="1" customWidth="1"/>
    <col min="12" max="13" width="9" style="1"/>
    <col min="14" max="14" width="10" style="97" customWidth="1"/>
    <col min="15" max="15" width="5.75" style="1" customWidth="1"/>
    <col min="16" max="16" width="36.6296296296296" style="97" customWidth="1"/>
    <col min="17" max="17" width="11.6296296296296" style="1" customWidth="1"/>
    <col min="18" max="16384" width="9" style="1"/>
  </cols>
  <sheetData>
    <row r="1" customHeight="1" spans="1:16">
      <c r="A1" s="122" t="s">
        <v>114</v>
      </c>
      <c r="B1" s="122" t="s">
        <v>115</v>
      </c>
      <c r="C1" s="122" t="s">
        <v>37</v>
      </c>
      <c r="D1" s="123" t="s">
        <v>30</v>
      </c>
      <c r="E1" s="123" t="s">
        <v>116</v>
      </c>
      <c r="F1" s="123" t="s">
        <v>117</v>
      </c>
      <c r="G1" s="123" t="s">
        <v>118</v>
      </c>
      <c r="H1" s="124" t="s">
        <v>7</v>
      </c>
      <c r="I1" s="127" t="s">
        <v>8</v>
      </c>
      <c r="J1" s="124" t="s">
        <v>9</v>
      </c>
      <c r="K1" s="124" t="s">
        <v>119</v>
      </c>
      <c r="L1" s="124" t="s">
        <v>120</v>
      </c>
      <c r="M1" s="124" t="s">
        <v>121</v>
      </c>
      <c r="N1" s="122" t="s">
        <v>122</v>
      </c>
      <c r="O1" s="123" t="s">
        <v>123</v>
      </c>
      <c r="P1" s="122" t="s">
        <v>124</v>
      </c>
    </row>
    <row r="2" ht="27.6" spans="1:16">
      <c r="A2" s="125">
        <v>1001</v>
      </c>
      <c r="B2" s="125" t="str">
        <f ca="1" t="array" ref="B2">MID(_xlfn.SINGLE(CELL("filename")),FIND("[",_xlfn.SINGLE(CELL("filename")),1)+1,FIND(".",_xlfn.SINGLE(CELL("filename")),1)-FIND("[",_xlfn.SINGLE(CELL("filename")),1)-1)</f>
        <v>T600T700-VariableSlit工装</v>
      </c>
      <c r="C2" s="58"/>
      <c r="D2" s="126">
        <f>波长拟合!$F2</f>
        <v>0</v>
      </c>
      <c r="E2" s="126" t="e">
        <f>波长拟合!#REF!</f>
        <v>#REF!</v>
      </c>
      <c r="F2" s="126" t="e">
        <f>波长拟合!#REF!</f>
        <v>#REF!</v>
      </c>
      <c r="G2" s="126" t="e">
        <f>波长拟合!#REF!</f>
        <v>#REF!</v>
      </c>
      <c r="H2" s="126">
        <f>Report!$F$5</f>
        <v>0</v>
      </c>
      <c r="I2" s="128">
        <f ca="1" t="shared" ref="I2:I37" si="0">NOW()</f>
        <v>45593.8691435185</v>
      </c>
      <c r="J2" s="126">
        <f>Report!$N$5</f>
        <v>0</v>
      </c>
      <c r="K2" s="126"/>
      <c r="L2" s="126">
        <f>Report!$C$6</f>
        <v>0</v>
      </c>
      <c r="M2" s="126">
        <f>Report!$H$6</f>
        <v>0</v>
      </c>
      <c r="N2" s="58" t="e">
        <f>波长拟合!#REF!</f>
        <v>#REF!</v>
      </c>
      <c r="O2" s="126"/>
      <c r="P2" s="59">
        <v>1001</v>
      </c>
    </row>
    <row r="3" ht="27.6" spans="1:16">
      <c r="A3" s="58">
        <v>1002</v>
      </c>
      <c r="B3" s="125" t="str">
        <f ca="1" t="array" ref="B3">MID(_xlfn.SINGLE(CELL("filename")),FIND("[",_xlfn.SINGLE(CELL("filename")),1)+1,FIND(".",_xlfn.SINGLE(CELL("filename")),1)-FIND("[",_xlfn.SINGLE(CELL("filename")),1)-1)</f>
        <v>T600T700-VariableSlit工装</v>
      </c>
      <c r="C3" s="58"/>
      <c r="D3" s="126">
        <f>波长拟合!$F3</f>
        <v>0</v>
      </c>
      <c r="E3" s="126" t="e">
        <f>波长拟合!#REF!</f>
        <v>#REF!</v>
      </c>
      <c r="F3" s="126" t="e">
        <f>波长拟合!#REF!</f>
        <v>#REF!</v>
      </c>
      <c r="G3" s="126" t="e">
        <f>波长拟合!#REF!</f>
        <v>#REF!</v>
      </c>
      <c r="H3" s="126">
        <f>Report!$F$5</f>
        <v>0</v>
      </c>
      <c r="I3" s="128">
        <f ca="1" t="shared" si="0"/>
        <v>45593.8691435185</v>
      </c>
      <c r="J3" s="126">
        <f>Report!$N$5</f>
        <v>0</v>
      </c>
      <c r="K3" s="126"/>
      <c r="L3" s="126">
        <f>Report!$C$6</f>
        <v>0</v>
      </c>
      <c r="M3" s="126">
        <f>Report!$H$6</f>
        <v>0</v>
      </c>
      <c r="N3" s="58" t="e">
        <f>波长拟合!#REF!</f>
        <v>#REF!</v>
      </c>
      <c r="O3" s="126"/>
      <c r="P3" s="59">
        <v>1002</v>
      </c>
    </row>
    <row r="4" ht="27.6" spans="1:16">
      <c r="A4" s="58">
        <v>1003</v>
      </c>
      <c r="B4" s="125" t="str">
        <f ca="1" t="array" ref="B4">MID(_xlfn.SINGLE(CELL("filename")),FIND("[",_xlfn.SINGLE(CELL("filename")),1)+1,FIND(".",_xlfn.SINGLE(CELL("filename")),1)-FIND("[",_xlfn.SINGLE(CELL("filename")),1)-1)</f>
        <v>T600T700-VariableSlit工装</v>
      </c>
      <c r="C4" s="58"/>
      <c r="D4" s="126">
        <f>波长拟合!$F4</f>
        <v>0</v>
      </c>
      <c r="E4" s="126" t="e">
        <f>波长拟合!#REF!</f>
        <v>#REF!</v>
      </c>
      <c r="F4" s="126" t="e">
        <f>波长拟合!#REF!</f>
        <v>#REF!</v>
      </c>
      <c r="G4" s="126" t="e">
        <f>波长拟合!#REF!</f>
        <v>#REF!</v>
      </c>
      <c r="H4" s="126">
        <f>Report!$F$5</f>
        <v>0</v>
      </c>
      <c r="I4" s="128">
        <f ca="1" t="shared" si="0"/>
        <v>45593.8691435185</v>
      </c>
      <c r="J4" s="126">
        <f>Report!$N$5</f>
        <v>0</v>
      </c>
      <c r="K4" s="126"/>
      <c r="L4" s="126">
        <f>Report!$C$6</f>
        <v>0</v>
      </c>
      <c r="M4" s="126">
        <f>Report!$H$6</f>
        <v>0</v>
      </c>
      <c r="N4" s="58" t="e">
        <f>波长拟合!#REF!</f>
        <v>#REF!</v>
      </c>
      <c r="O4" s="126"/>
      <c r="P4" s="59">
        <v>1003</v>
      </c>
    </row>
    <row r="5" ht="27.6" spans="1:16">
      <c r="A5" s="58">
        <v>1008</v>
      </c>
      <c r="B5" s="125" t="str">
        <f ca="1" t="array" ref="B5">MID(_xlfn.SINGLE(CELL("filename")),FIND("[",_xlfn.SINGLE(CELL("filename")),1)+1,FIND(".",_xlfn.SINGLE(CELL("filename")),1)-FIND("[",_xlfn.SINGLE(CELL("filename")),1)-1)</f>
        <v>T600T700-VariableSlit工装</v>
      </c>
      <c r="C5" s="58"/>
      <c r="D5" s="126">
        <f>波长拟合!$F5</f>
        <v>0</v>
      </c>
      <c r="E5" s="126" t="e">
        <f>波长拟合!#REF!</f>
        <v>#REF!</v>
      </c>
      <c r="F5" s="126" t="e">
        <f>波长拟合!#REF!</f>
        <v>#REF!</v>
      </c>
      <c r="G5" s="126" t="e">
        <f>波长拟合!#REF!</f>
        <v>#REF!</v>
      </c>
      <c r="H5" s="126">
        <f>Report!$F$5</f>
        <v>0</v>
      </c>
      <c r="I5" s="128">
        <f ca="1" t="shared" si="0"/>
        <v>45593.8691435185</v>
      </c>
      <c r="J5" s="126">
        <f>Report!$N$5</f>
        <v>0</v>
      </c>
      <c r="K5" s="126"/>
      <c r="L5" s="126">
        <f>Report!$C$6</f>
        <v>0</v>
      </c>
      <c r="M5" s="126">
        <f>Report!$H$6</f>
        <v>0</v>
      </c>
      <c r="N5" s="58" t="e">
        <f>波长拟合!#REF!</f>
        <v>#REF!</v>
      </c>
      <c r="O5" s="126"/>
      <c r="P5" s="59">
        <v>1004</v>
      </c>
    </row>
    <row r="6" ht="27.6" spans="1:16">
      <c r="A6" s="58">
        <v>1009</v>
      </c>
      <c r="B6" s="125" t="str">
        <f ca="1" t="array" ref="B6">MID(_xlfn.SINGLE(CELL("filename")),FIND("[",_xlfn.SINGLE(CELL("filename")),1)+1,FIND(".",_xlfn.SINGLE(CELL("filename")),1)-FIND("[",_xlfn.SINGLE(CELL("filename")),1)-1)</f>
        <v>T600T700-VariableSlit工装</v>
      </c>
      <c r="C6" s="58"/>
      <c r="D6" s="126">
        <f>波长拟合!$F6</f>
        <v>0</v>
      </c>
      <c r="E6" s="126" t="e">
        <f>波长拟合!#REF!</f>
        <v>#REF!</v>
      </c>
      <c r="F6" s="126" t="e">
        <f>波长拟合!#REF!</f>
        <v>#REF!</v>
      </c>
      <c r="G6" s="126" t="e">
        <f>波长拟合!#REF!</f>
        <v>#REF!</v>
      </c>
      <c r="H6" s="126">
        <f>Report!$F$5</f>
        <v>0</v>
      </c>
      <c r="I6" s="128">
        <f ca="1" t="shared" si="0"/>
        <v>45593.8691435185</v>
      </c>
      <c r="J6" s="126">
        <f>Report!$N$5</f>
        <v>0</v>
      </c>
      <c r="K6" s="126"/>
      <c r="L6" s="126">
        <f>Report!$C$6</f>
        <v>0</v>
      </c>
      <c r="M6" s="126">
        <f>Report!$H$6</f>
        <v>0</v>
      </c>
      <c r="N6" s="58" t="e">
        <f>波长拟合!#REF!</f>
        <v>#REF!</v>
      </c>
      <c r="O6" s="126"/>
      <c r="P6" s="59">
        <v>1004</v>
      </c>
    </row>
    <row r="7" ht="27.6" spans="1:16">
      <c r="A7" s="58">
        <v>1010</v>
      </c>
      <c r="B7" s="125" t="str">
        <f ca="1" t="array" ref="B7">MID(_xlfn.SINGLE(CELL("filename")),FIND("[",_xlfn.SINGLE(CELL("filename")),1)+1,FIND(".",_xlfn.SINGLE(CELL("filename")),1)-FIND("[",_xlfn.SINGLE(CELL("filename")),1)-1)</f>
        <v>T600T700-VariableSlit工装</v>
      </c>
      <c r="C7" s="58"/>
      <c r="D7" s="126">
        <f>波长拟合!$F7</f>
        <v>0</v>
      </c>
      <c r="E7" s="126" t="e">
        <f>波长拟合!#REF!</f>
        <v>#REF!</v>
      </c>
      <c r="F7" s="126" t="e">
        <f>波长拟合!#REF!</f>
        <v>#REF!</v>
      </c>
      <c r="G7" s="126" t="e">
        <f>波长拟合!#REF!</f>
        <v>#REF!</v>
      </c>
      <c r="H7" s="126">
        <f>Report!$F$5</f>
        <v>0</v>
      </c>
      <c r="I7" s="128">
        <f ca="1" t="shared" si="0"/>
        <v>45593.8691435185</v>
      </c>
      <c r="J7" s="126">
        <f>Report!$N$5</f>
        <v>0</v>
      </c>
      <c r="K7" s="126"/>
      <c r="L7" s="126">
        <f>Report!$C$6</f>
        <v>0</v>
      </c>
      <c r="M7" s="126">
        <f>Report!$H$6</f>
        <v>0</v>
      </c>
      <c r="N7" s="58" t="e">
        <f>波长拟合!#REF!</f>
        <v>#REF!</v>
      </c>
      <c r="O7" s="126"/>
      <c r="P7" s="59">
        <v>1004</v>
      </c>
    </row>
    <row r="8" ht="27.6" spans="1:16">
      <c r="A8" s="58">
        <v>1011</v>
      </c>
      <c r="B8" s="125" t="str">
        <f ca="1" t="array" ref="B8">MID(_xlfn.SINGLE(CELL("filename")),FIND("[",_xlfn.SINGLE(CELL("filename")),1)+1,FIND(".",_xlfn.SINGLE(CELL("filename")),1)-FIND("[",_xlfn.SINGLE(CELL("filename")),1)-1)</f>
        <v>T600T700-VariableSlit工装</v>
      </c>
      <c r="C8" s="58"/>
      <c r="D8" s="126">
        <f>波长拟合!$F8</f>
        <v>0</v>
      </c>
      <c r="E8" s="126" t="e">
        <f>波长拟合!#REF!</f>
        <v>#REF!</v>
      </c>
      <c r="F8" s="126" t="e">
        <f>波长拟合!#REF!</f>
        <v>#REF!</v>
      </c>
      <c r="G8" s="126" t="e">
        <f>波长拟合!#REF!</f>
        <v>#REF!</v>
      </c>
      <c r="H8" s="126">
        <f>Report!$F$5</f>
        <v>0</v>
      </c>
      <c r="I8" s="128">
        <f ca="1" t="shared" si="0"/>
        <v>45593.8691435185</v>
      </c>
      <c r="J8" s="126">
        <f>Report!$N$5</f>
        <v>0</v>
      </c>
      <c r="K8" s="126"/>
      <c r="L8" s="126">
        <f>Report!$C$6</f>
        <v>0</v>
      </c>
      <c r="M8" s="126">
        <f>Report!$H$6</f>
        <v>0</v>
      </c>
      <c r="N8" s="58" t="e">
        <f>波长拟合!#REF!</f>
        <v>#REF!</v>
      </c>
      <c r="O8" s="126"/>
      <c r="P8" s="59">
        <v>1004</v>
      </c>
    </row>
    <row r="9" ht="27.6" spans="1:16">
      <c r="A9" s="58">
        <v>1012</v>
      </c>
      <c r="B9" s="125" t="str">
        <f ca="1" t="array" ref="B9">MID(_xlfn.SINGLE(CELL("filename")),FIND("[",_xlfn.SINGLE(CELL("filename")),1)+1,FIND(".",_xlfn.SINGLE(CELL("filename")),1)-FIND("[",_xlfn.SINGLE(CELL("filename")),1)-1)</f>
        <v>T600T700-VariableSlit工装</v>
      </c>
      <c r="C9" s="58"/>
      <c r="D9" s="126">
        <f>波长拟合!$F9</f>
        <v>240.9</v>
      </c>
      <c r="E9" s="126" t="e">
        <f>波长拟合!#REF!</f>
        <v>#REF!</v>
      </c>
      <c r="F9" s="126" t="e">
        <f>波长拟合!#REF!</f>
        <v>#REF!</v>
      </c>
      <c r="G9" s="126" t="e">
        <f>波长拟合!#REF!</f>
        <v>#REF!</v>
      </c>
      <c r="H9" s="126">
        <f>Report!$F$5</f>
        <v>0</v>
      </c>
      <c r="I9" s="128">
        <f ca="1" t="shared" si="0"/>
        <v>45593.8691435185</v>
      </c>
      <c r="J9" s="126">
        <f>Report!$N$5</f>
        <v>0</v>
      </c>
      <c r="K9" s="126"/>
      <c r="L9" s="126">
        <f>Report!$C$6</f>
        <v>0</v>
      </c>
      <c r="M9" s="126">
        <f>Report!$H$6</f>
        <v>0</v>
      </c>
      <c r="N9" s="58" t="e">
        <f>波长拟合!#REF!</f>
        <v>#REF!</v>
      </c>
      <c r="O9" s="126"/>
      <c r="P9" s="59">
        <v>1004</v>
      </c>
    </row>
    <row r="10" ht="27.6" spans="1:16">
      <c r="A10" s="58">
        <v>1013</v>
      </c>
      <c r="B10" s="125" t="str">
        <f ca="1" t="array" ref="B10">MID(_xlfn.SINGLE(CELL("filename")),FIND("[",_xlfn.SINGLE(CELL("filename")),1)+1,FIND(".",_xlfn.SINGLE(CELL("filename")),1)-FIND("[",_xlfn.SINGLE(CELL("filename")),1)-1)</f>
        <v>T600T700-VariableSlit工装</v>
      </c>
      <c r="C10" s="58"/>
      <c r="D10" s="126">
        <f>波长拟合!$F10</f>
        <v>361.2</v>
      </c>
      <c r="E10" s="126" t="e">
        <f>波长拟合!#REF!</f>
        <v>#REF!</v>
      </c>
      <c r="F10" s="126" t="e">
        <f>波长拟合!#REF!</f>
        <v>#REF!</v>
      </c>
      <c r="G10" s="126" t="e">
        <f>波长拟合!#REF!</f>
        <v>#REF!</v>
      </c>
      <c r="H10" s="126">
        <f>Report!$F$5</f>
        <v>0</v>
      </c>
      <c r="I10" s="128">
        <f ca="1" t="shared" si="0"/>
        <v>45593.8691435185</v>
      </c>
      <c r="J10" s="126">
        <f>Report!$N$5</f>
        <v>0</v>
      </c>
      <c r="K10" s="126"/>
      <c r="L10" s="126">
        <f>Report!$C$6</f>
        <v>0</v>
      </c>
      <c r="M10" s="126">
        <f>Report!$H$6</f>
        <v>0</v>
      </c>
      <c r="N10" s="58" t="e">
        <f>波长拟合!#REF!</f>
        <v>#REF!</v>
      </c>
      <c r="O10" s="126"/>
      <c r="P10" s="59">
        <v>1004</v>
      </c>
    </row>
    <row r="11" ht="27.6" spans="1:16">
      <c r="A11" s="58">
        <v>2001</v>
      </c>
      <c r="B11" s="125" t="str">
        <f ca="1" t="array" ref="B11">MID(_xlfn.SINGLE(CELL("filename")),FIND("[",_xlfn.SINGLE(CELL("filename")),1)+1,FIND(".",_xlfn.SINGLE(CELL("filename")),1)-FIND("[",_xlfn.SINGLE(CELL("filename")),1)-1)</f>
        <v>T600T700-VariableSlit工装</v>
      </c>
      <c r="C11" s="58" t="e">
        <f>#REF!</f>
        <v>#REF!</v>
      </c>
      <c r="D11" s="126" t="e">
        <f>#REF!&amp;";"&amp;#REF!&amp;";"&amp;#REF!</f>
        <v>#REF!</v>
      </c>
      <c r="E11" s="126" t="e">
        <f>#REF!</f>
        <v>#REF!</v>
      </c>
      <c r="F11" s="126" t="e">
        <f>#REF!</f>
        <v>#REF!</v>
      </c>
      <c r="G11" s="126" t="e">
        <f>#REF!</f>
        <v>#REF!</v>
      </c>
      <c r="H11" s="126">
        <f>Report!$F$5</f>
        <v>0</v>
      </c>
      <c r="I11" s="128">
        <f ca="1" t="shared" si="0"/>
        <v>45593.8691435185</v>
      </c>
      <c r="J11" s="126">
        <f>Report!$N$5</f>
        <v>0</v>
      </c>
      <c r="K11" s="126"/>
      <c r="L11" s="126">
        <f>Report!$C$6</f>
        <v>0</v>
      </c>
      <c r="M11" s="126">
        <f>Report!$H$6</f>
        <v>0</v>
      </c>
      <c r="N11" s="58" t="e">
        <f>#REF!</f>
        <v>#REF!</v>
      </c>
      <c r="O11" s="126"/>
      <c r="P11" s="58">
        <v>2001</v>
      </c>
    </row>
    <row r="12" ht="27.6" spans="1:16">
      <c r="A12" s="58">
        <v>2002</v>
      </c>
      <c r="B12" s="125" t="str">
        <f ca="1" t="array" ref="B12">MID(_xlfn.SINGLE(CELL("filename")),FIND("[",_xlfn.SINGLE(CELL("filename")),1)+1,FIND(".",_xlfn.SINGLE(CELL("filename")),1)-FIND("[",_xlfn.SINGLE(CELL("filename")),1)-1)</f>
        <v>T600T700-VariableSlit工装</v>
      </c>
      <c r="C12" s="58" t="e">
        <f>#REF!</f>
        <v>#REF!</v>
      </c>
      <c r="D12" s="126" t="e">
        <f>#REF!&amp;";"&amp;#REF!&amp;";"&amp;#REF!</f>
        <v>#REF!</v>
      </c>
      <c r="E12" s="126" t="e">
        <f>#REF!</f>
        <v>#REF!</v>
      </c>
      <c r="F12" s="126" t="e">
        <f>#REF!</f>
        <v>#REF!</v>
      </c>
      <c r="G12" s="126" t="e">
        <f>#REF!</f>
        <v>#REF!</v>
      </c>
      <c r="H12" s="126">
        <f>Report!$F$5</f>
        <v>0</v>
      </c>
      <c r="I12" s="128">
        <f ca="1" t="shared" si="0"/>
        <v>45593.8691435185</v>
      </c>
      <c r="J12" s="126">
        <f>Report!$N$5</f>
        <v>0</v>
      </c>
      <c r="K12" s="126"/>
      <c r="L12" s="126">
        <f>Report!$C$6</f>
        <v>0</v>
      </c>
      <c r="M12" s="126">
        <f>Report!$H$6</f>
        <v>0</v>
      </c>
      <c r="N12" s="58" t="e">
        <f>#REF!</f>
        <v>#REF!</v>
      </c>
      <c r="O12" s="126"/>
      <c r="P12" s="58">
        <v>2001</v>
      </c>
    </row>
    <row r="13" ht="27.6" spans="1:16">
      <c r="A13" s="58">
        <v>2003</v>
      </c>
      <c r="B13" s="125" t="str">
        <f ca="1" t="array" ref="B13">MID(_xlfn.SINGLE(CELL("filename")),FIND("[",_xlfn.SINGLE(CELL("filename")),1)+1,FIND(".",_xlfn.SINGLE(CELL("filename")),1)-FIND("[",_xlfn.SINGLE(CELL("filename")),1)-1)</f>
        <v>T600T700-VariableSlit工装</v>
      </c>
      <c r="C13" s="58" t="e">
        <f>#REF!</f>
        <v>#REF!</v>
      </c>
      <c r="D13" s="126" t="e">
        <f>#REF!&amp;";"&amp;#REF!&amp;";"&amp;#REF!</f>
        <v>#REF!</v>
      </c>
      <c r="E13" s="126" t="e">
        <f>#REF!</f>
        <v>#REF!</v>
      </c>
      <c r="F13" s="126" t="e">
        <f>#REF!</f>
        <v>#REF!</v>
      </c>
      <c r="G13" s="126" t="e">
        <f>#REF!</f>
        <v>#REF!</v>
      </c>
      <c r="H13" s="126">
        <f>Report!$F$5</f>
        <v>0</v>
      </c>
      <c r="I13" s="128">
        <f ca="1" t="shared" si="0"/>
        <v>45593.8691435185</v>
      </c>
      <c r="J13" s="126">
        <f>Report!$N$5</f>
        <v>0</v>
      </c>
      <c r="K13" s="126"/>
      <c r="L13" s="126">
        <f>Report!$C$6</f>
        <v>0</v>
      </c>
      <c r="M13" s="126">
        <f>Report!$H$6</f>
        <v>0</v>
      </c>
      <c r="N13" s="58" t="e">
        <f>#REF!</f>
        <v>#REF!</v>
      </c>
      <c r="O13" s="126"/>
      <c r="P13" s="58">
        <v>2001</v>
      </c>
    </row>
    <row r="14" ht="27.6" spans="1:16">
      <c r="A14" s="58">
        <v>2004</v>
      </c>
      <c r="B14" s="125" t="str">
        <f ca="1" t="array" ref="B14">MID(_xlfn.SINGLE(CELL("filename")),FIND("[",_xlfn.SINGLE(CELL("filename")),1)+1,FIND(".",_xlfn.SINGLE(CELL("filename")),1)-FIND("[",_xlfn.SINGLE(CELL("filename")),1)-1)</f>
        <v>T600T700-VariableSlit工装</v>
      </c>
      <c r="C14" s="58" t="e">
        <f>#REF!</f>
        <v>#REF!</v>
      </c>
      <c r="D14" s="126" t="e">
        <f>#REF!&amp;";"&amp;#REF!&amp;";"&amp;#REF!</f>
        <v>#REF!</v>
      </c>
      <c r="E14" s="126" t="e">
        <f>#REF!</f>
        <v>#REF!</v>
      </c>
      <c r="F14" s="126" t="e">
        <f>#REF!</f>
        <v>#REF!</v>
      </c>
      <c r="G14" s="126" t="e">
        <f>#REF!</f>
        <v>#REF!</v>
      </c>
      <c r="H14" s="126">
        <f>Report!$F$5</f>
        <v>0</v>
      </c>
      <c r="I14" s="128">
        <f ca="1" t="shared" si="0"/>
        <v>45593.8691435185</v>
      </c>
      <c r="J14" s="126">
        <f>Report!$N$5</f>
        <v>0</v>
      </c>
      <c r="K14" s="126"/>
      <c r="L14" s="126">
        <f>Report!$C$6</f>
        <v>0</v>
      </c>
      <c r="M14" s="126">
        <f>Report!$H$6</f>
        <v>0</v>
      </c>
      <c r="N14" s="58" t="e">
        <f>#REF!</f>
        <v>#REF!</v>
      </c>
      <c r="O14" s="126"/>
      <c r="P14" s="58">
        <v>2001</v>
      </c>
    </row>
    <row r="15" ht="27.6" spans="1:16">
      <c r="A15" s="58">
        <v>2005</v>
      </c>
      <c r="B15" s="125" t="str">
        <f ca="1" t="array" ref="B15">MID(_xlfn.SINGLE(CELL("filename")),FIND("[",_xlfn.SINGLE(CELL("filename")),1)+1,FIND(".",_xlfn.SINGLE(CELL("filename")),1)-FIND("[",_xlfn.SINGLE(CELL("filename")),1)-1)</f>
        <v>T600T700-VariableSlit工装</v>
      </c>
      <c r="C15" s="58" t="e">
        <f>#REF!</f>
        <v>#REF!</v>
      </c>
      <c r="D15" s="126" t="e">
        <f>#REF!&amp;";"&amp;#REF!&amp;";"&amp;#REF!</f>
        <v>#REF!</v>
      </c>
      <c r="E15" s="126" t="e">
        <f>#REF!</f>
        <v>#REF!</v>
      </c>
      <c r="F15" s="126" t="e">
        <f>#REF!</f>
        <v>#REF!</v>
      </c>
      <c r="G15" s="126" t="e">
        <f>#REF!</f>
        <v>#REF!</v>
      </c>
      <c r="H15" s="126">
        <f>Report!$F$5</f>
        <v>0</v>
      </c>
      <c r="I15" s="128">
        <f ca="1" t="shared" si="0"/>
        <v>45593.8691435185</v>
      </c>
      <c r="J15" s="126">
        <f>Report!$N$5</f>
        <v>0</v>
      </c>
      <c r="K15" s="126"/>
      <c r="L15" s="126">
        <f>Report!$C$6</f>
        <v>0</v>
      </c>
      <c r="M15" s="126">
        <f>Report!$H$6</f>
        <v>0</v>
      </c>
      <c r="N15" s="58" t="e">
        <f>#REF!</f>
        <v>#REF!</v>
      </c>
      <c r="O15" s="126"/>
      <c r="P15" s="58">
        <v>2002</v>
      </c>
    </row>
    <row r="16" ht="27.6" spans="1:16">
      <c r="A16" s="58">
        <v>2006</v>
      </c>
      <c r="B16" s="125" t="str">
        <f ca="1" t="array" ref="B16">MID(_xlfn.SINGLE(CELL("filename")),FIND("[",_xlfn.SINGLE(CELL("filename")),1)+1,FIND(".",_xlfn.SINGLE(CELL("filename")),1)-FIND("[",_xlfn.SINGLE(CELL("filename")),1)-1)</f>
        <v>T600T700-VariableSlit工装</v>
      </c>
      <c r="C16" s="58" t="e">
        <f>#REF!</f>
        <v>#REF!</v>
      </c>
      <c r="D16" s="126" t="e">
        <f>#REF!&amp;";"&amp;#REF!&amp;";"&amp;#REF!</f>
        <v>#REF!</v>
      </c>
      <c r="E16" s="126" t="e">
        <f>#REF!</f>
        <v>#REF!</v>
      </c>
      <c r="F16" s="126" t="e">
        <f>#REF!</f>
        <v>#REF!</v>
      </c>
      <c r="G16" s="126" t="e">
        <f>#REF!</f>
        <v>#REF!</v>
      </c>
      <c r="H16" s="126">
        <f>Report!$F$5</f>
        <v>0</v>
      </c>
      <c r="I16" s="128">
        <f ca="1" t="shared" si="0"/>
        <v>45593.8691435185</v>
      </c>
      <c r="J16" s="126">
        <f>Report!$N$5</f>
        <v>0</v>
      </c>
      <c r="K16" s="126"/>
      <c r="L16" s="126">
        <f>Report!$C$6</f>
        <v>0</v>
      </c>
      <c r="M16" s="126">
        <f>Report!$H$6</f>
        <v>0</v>
      </c>
      <c r="N16" s="58" t="e">
        <f>#REF!</f>
        <v>#REF!</v>
      </c>
      <c r="O16" s="126"/>
      <c r="P16" s="58">
        <v>2002</v>
      </c>
    </row>
    <row r="17" ht="27.6" spans="1:16">
      <c r="A17" s="58">
        <v>2007</v>
      </c>
      <c r="B17" s="125" t="str">
        <f ca="1" t="array" ref="B17">MID(_xlfn.SINGLE(CELL("filename")),FIND("[",_xlfn.SINGLE(CELL("filename")),1)+1,FIND(".",_xlfn.SINGLE(CELL("filename")),1)-FIND("[",_xlfn.SINGLE(CELL("filename")),1)-1)</f>
        <v>T600T700-VariableSlit工装</v>
      </c>
      <c r="C17" s="58" t="e">
        <f>#REF!</f>
        <v>#REF!</v>
      </c>
      <c r="D17" s="126" t="e">
        <f>#REF!&amp;";"&amp;#REF!&amp;";"&amp;#REF!</f>
        <v>#REF!</v>
      </c>
      <c r="E17" s="126" t="e">
        <f>#REF!</f>
        <v>#REF!</v>
      </c>
      <c r="F17" s="126" t="e">
        <f>#REF!</f>
        <v>#REF!</v>
      </c>
      <c r="G17" s="126" t="e">
        <f>#REF!</f>
        <v>#REF!</v>
      </c>
      <c r="H17" s="126">
        <f>Report!$F$5</f>
        <v>0</v>
      </c>
      <c r="I17" s="128">
        <f ca="1" t="shared" si="0"/>
        <v>45593.8691435185</v>
      </c>
      <c r="J17" s="126">
        <f>Report!$N$5</f>
        <v>0</v>
      </c>
      <c r="K17" s="126"/>
      <c r="L17" s="126">
        <f>Report!$C$6</f>
        <v>0</v>
      </c>
      <c r="M17" s="126">
        <f>Report!$H$6</f>
        <v>0</v>
      </c>
      <c r="N17" s="58" t="e">
        <f>#REF!</f>
        <v>#REF!</v>
      </c>
      <c r="O17" s="126"/>
      <c r="P17" s="58">
        <v>2002</v>
      </c>
    </row>
    <row r="18" ht="27.6" spans="1:16">
      <c r="A18" s="58">
        <v>2008</v>
      </c>
      <c r="B18" s="125" t="str">
        <f ca="1" t="array" ref="B18">MID(_xlfn.SINGLE(CELL("filename")),FIND("[",_xlfn.SINGLE(CELL("filename")),1)+1,FIND(".",_xlfn.SINGLE(CELL("filename")),1)-FIND("[",_xlfn.SINGLE(CELL("filename")),1)-1)</f>
        <v>T600T700-VariableSlit工装</v>
      </c>
      <c r="C18" s="58" t="e">
        <f>#REF!</f>
        <v>#REF!</v>
      </c>
      <c r="D18" s="126" t="e">
        <f>#REF!&amp;";"&amp;#REF!&amp;";"&amp;#REF!</f>
        <v>#REF!</v>
      </c>
      <c r="E18" s="126" t="e">
        <f>#REF!</f>
        <v>#REF!</v>
      </c>
      <c r="F18" s="126" t="e">
        <f>#REF!</f>
        <v>#REF!</v>
      </c>
      <c r="G18" s="126" t="e">
        <f>#REF!</f>
        <v>#REF!</v>
      </c>
      <c r="H18" s="126">
        <f>Report!$F$5</f>
        <v>0</v>
      </c>
      <c r="I18" s="128">
        <f ca="1" t="shared" si="0"/>
        <v>45593.8691435185</v>
      </c>
      <c r="J18" s="126">
        <f>Report!$N$5</f>
        <v>0</v>
      </c>
      <c r="K18" s="126"/>
      <c r="L18" s="126">
        <f>Report!$C$6</f>
        <v>0</v>
      </c>
      <c r="M18" s="126">
        <f>Report!$H$6</f>
        <v>0</v>
      </c>
      <c r="N18" s="58" t="e">
        <f>#REF!</f>
        <v>#REF!</v>
      </c>
      <c r="O18" s="126"/>
      <c r="P18" s="58">
        <v>2003</v>
      </c>
    </row>
    <row r="19" ht="27.6" spans="1:16">
      <c r="A19" s="58">
        <v>2009</v>
      </c>
      <c r="B19" s="125" t="str">
        <f ca="1" t="array" ref="B19">MID(_xlfn.SINGLE(CELL("filename")),FIND("[",_xlfn.SINGLE(CELL("filename")),1)+1,FIND(".",_xlfn.SINGLE(CELL("filename")),1)-FIND("[",_xlfn.SINGLE(CELL("filename")),1)-1)</f>
        <v>T600T700-VariableSlit工装</v>
      </c>
      <c r="C19" s="58" t="e">
        <f>#REF!</f>
        <v>#REF!</v>
      </c>
      <c r="D19" s="126" t="e">
        <f>#REF!&amp;";"&amp;#REF!&amp;";"&amp;#REF!</f>
        <v>#REF!</v>
      </c>
      <c r="E19" s="126" t="e">
        <f>#REF!</f>
        <v>#REF!</v>
      </c>
      <c r="F19" s="126" t="e">
        <f>#REF!</f>
        <v>#REF!</v>
      </c>
      <c r="G19" s="126" t="e">
        <f>#REF!</f>
        <v>#REF!</v>
      </c>
      <c r="H19" s="126">
        <f>Report!$F$5</f>
        <v>0</v>
      </c>
      <c r="I19" s="128">
        <f ca="1" t="shared" si="0"/>
        <v>45593.8691435185</v>
      </c>
      <c r="J19" s="126">
        <f>Report!$N$5</f>
        <v>0</v>
      </c>
      <c r="K19" s="126"/>
      <c r="L19" s="126">
        <f>Report!$C$6</f>
        <v>0</v>
      </c>
      <c r="M19" s="126">
        <f>Report!$H$6</f>
        <v>0</v>
      </c>
      <c r="N19" s="58" t="e">
        <f>#REF!</f>
        <v>#REF!</v>
      </c>
      <c r="O19" s="126"/>
      <c r="P19" s="58">
        <v>2003</v>
      </c>
    </row>
    <row r="20" ht="27.6" spans="1:16">
      <c r="A20" s="58">
        <v>2010</v>
      </c>
      <c r="B20" s="125" t="str">
        <f ca="1" t="array" ref="B20">MID(_xlfn.SINGLE(CELL("filename")),FIND("[",_xlfn.SINGLE(CELL("filename")),1)+1,FIND(".",_xlfn.SINGLE(CELL("filename")),1)-FIND("[",_xlfn.SINGLE(CELL("filename")),1)-1)</f>
        <v>T600T700-VariableSlit工装</v>
      </c>
      <c r="C20" s="58" t="e">
        <f>#REF!</f>
        <v>#REF!</v>
      </c>
      <c r="D20" s="126" t="e">
        <f>#REF!&amp;";"&amp;#REF!&amp;";"&amp;#REF!</f>
        <v>#REF!</v>
      </c>
      <c r="E20" s="126" t="e">
        <f>#REF!</f>
        <v>#REF!</v>
      </c>
      <c r="F20" s="126" t="e">
        <f>#REF!</f>
        <v>#REF!</v>
      </c>
      <c r="G20" s="126" t="e">
        <f>#REF!</f>
        <v>#REF!</v>
      </c>
      <c r="H20" s="126">
        <f>Report!$F$5</f>
        <v>0</v>
      </c>
      <c r="I20" s="128">
        <f ca="1" t="shared" si="0"/>
        <v>45593.8691435185</v>
      </c>
      <c r="J20" s="126">
        <f>Report!$N$5</f>
        <v>0</v>
      </c>
      <c r="K20" s="126"/>
      <c r="L20" s="126">
        <f>Report!$C$6</f>
        <v>0</v>
      </c>
      <c r="M20" s="126">
        <f>Report!$H$6</f>
        <v>0</v>
      </c>
      <c r="N20" s="58" t="e">
        <f>#REF!</f>
        <v>#REF!</v>
      </c>
      <c r="O20" s="126"/>
      <c r="P20" s="58">
        <v>2003</v>
      </c>
    </row>
    <row r="21" ht="27.6" spans="1:16">
      <c r="A21" s="58">
        <v>2011</v>
      </c>
      <c r="B21" s="125" t="str">
        <f ca="1" t="array" ref="B21">MID(_xlfn.SINGLE(CELL("filename")),FIND("[",_xlfn.SINGLE(CELL("filename")),1)+1,FIND(".",_xlfn.SINGLE(CELL("filename")),1)-FIND("[",_xlfn.SINGLE(CELL("filename")),1)-1)</f>
        <v>T600T700-VariableSlit工装</v>
      </c>
      <c r="C21" s="58" t="e">
        <f>#REF!</f>
        <v>#REF!</v>
      </c>
      <c r="D21" s="126" t="e">
        <f>#REF!&amp;";"&amp;#REF!&amp;";"&amp;#REF!</f>
        <v>#REF!</v>
      </c>
      <c r="E21" s="126" t="e">
        <f>#REF!</f>
        <v>#REF!</v>
      </c>
      <c r="F21" s="126" t="e">
        <f>#REF!</f>
        <v>#REF!</v>
      </c>
      <c r="G21" s="126" t="e">
        <f>#REF!</f>
        <v>#REF!</v>
      </c>
      <c r="H21" s="126">
        <f>Report!$F$5</f>
        <v>0</v>
      </c>
      <c r="I21" s="128">
        <f ca="1" t="shared" si="0"/>
        <v>45593.8691435185</v>
      </c>
      <c r="J21" s="126">
        <f>Report!$N$5</f>
        <v>0</v>
      </c>
      <c r="K21" s="126"/>
      <c r="L21" s="126">
        <f>Report!$C$6</f>
        <v>0</v>
      </c>
      <c r="M21" s="126">
        <f>Report!$H$6</f>
        <v>0</v>
      </c>
      <c r="N21" s="58" t="e">
        <f>#REF!</f>
        <v>#REF!</v>
      </c>
      <c r="O21" s="126"/>
      <c r="P21" s="58">
        <v>2004</v>
      </c>
    </row>
    <row r="22" ht="27.6" spans="1:16">
      <c r="A22" s="58">
        <v>2012</v>
      </c>
      <c r="B22" s="125" t="str">
        <f ca="1" t="array" ref="B22">MID(_xlfn.SINGLE(CELL("filename")),FIND("[",_xlfn.SINGLE(CELL("filename")),1)+1,FIND(".",_xlfn.SINGLE(CELL("filename")),1)-FIND("[",_xlfn.SINGLE(CELL("filename")),1)-1)</f>
        <v>T600T700-VariableSlit工装</v>
      </c>
      <c r="C22" s="58" t="e">
        <f>#REF!</f>
        <v>#REF!</v>
      </c>
      <c r="D22" s="126" t="e">
        <f>#REF!&amp;";"&amp;#REF!&amp;";"&amp;#REF!</f>
        <v>#REF!</v>
      </c>
      <c r="E22" s="126" t="e">
        <f>#REF!</f>
        <v>#REF!</v>
      </c>
      <c r="F22" s="126" t="e">
        <f>#REF!</f>
        <v>#REF!</v>
      </c>
      <c r="G22" s="126" t="e">
        <f>#REF!</f>
        <v>#REF!</v>
      </c>
      <c r="H22" s="126">
        <f>Report!$F$5</f>
        <v>0</v>
      </c>
      <c r="I22" s="128">
        <f ca="1" t="shared" si="0"/>
        <v>45593.8691435185</v>
      </c>
      <c r="J22" s="126">
        <f>Report!$N$5</f>
        <v>0</v>
      </c>
      <c r="K22" s="126"/>
      <c r="L22" s="126">
        <f>Report!$C$6</f>
        <v>0</v>
      </c>
      <c r="M22" s="126">
        <f>Report!$H$6</f>
        <v>0</v>
      </c>
      <c r="N22" s="58" t="e">
        <f>#REF!</f>
        <v>#REF!</v>
      </c>
      <c r="O22" s="126"/>
      <c r="P22" s="58">
        <v>2004</v>
      </c>
    </row>
    <row r="23" ht="27.6" spans="1:16">
      <c r="A23" s="58">
        <v>2013</v>
      </c>
      <c r="B23" s="125" t="str">
        <f ca="1" t="array" ref="B23">MID(_xlfn.SINGLE(CELL("filename")),FIND("[",_xlfn.SINGLE(CELL("filename")),1)+1,FIND(".",_xlfn.SINGLE(CELL("filename")),1)-FIND("[",_xlfn.SINGLE(CELL("filename")),1)-1)</f>
        <v>T600T700-VariableSlit工装</v>
      </c>
      <c r="C23" s="58" t="e">
        <f>#REF!</f>
        <v>#REF!</v>
      </c>
      <c r="D23" s="126" t="e">
        <f>#REF!&amp;";"&amp;#REF!&amp;";"&amp;#REF!</f>
        <v>#REF!</v>
      </c>
      <c r="E23" s="126" t="e">
        <f>#REF!</f>
        <v>#REF!</v>
      </c>
      <c r="F23" s="126" t="e">
        <f>#REF!</f>
        <v>#REF!</v>
      </c>
      <c r="G23" s="126" t="e">
        <f>#REF!</f>
        <v>#REF!</v>
      </c>
      <c r="H23" s="126">
        <f>Report!$F$5</f>
        <v>0</v>
      </c>
      <c r="I23" s="128">
        <f ca="1" t="shared" si="0"/>
        <v>45593.8691435185</v>
      </c>
      <c r="J23" s="126">
        <f>Report!$N$5</f>
        <v>0</v>
      </c>
      <c r="K23" s="126"/>
      <c r="L23" s="126">
        <f>Report!$C$6</f>
        <v>0</v>
      </c>
      <c r="M23" s="126">
        <f>Report!$H$6</f>
        <v>0</v>
      </c>
      <c r="N23" s="58" t="e">
        <f>#REF!</f>
        <v>#REF!</v>
      </c>
      <c r="O23" s="126"/>
      <c r="P23" s="58">
        <v>2004</v>
      </c>
    </row>
    <row r="24" ht="27.6" spans="1:16">
      <c r="A24" s="58">
        <v>3001</v>
      </c>
      <c r="B24" s="125" t="str">
        <f ca="1" t="array" ref="B24">MID(_xlfn.SINGLE(CELL("filename")),FIND("[",_xlfn.SINGLE(CELL("filename")),1)+1,FIND(".",_xlfn.SINGLE(CELL("filename")),1)-FIND("[",_xlfn.SINGLE(CELL("filename")),1)-1)</f>
        <v>T600T700-VariableSlit工装</v>
      </c>
      <c r="C24" s="58" t="e">
        <f>#REF!</f>
        <v>#REF!</v>
      </c>
      <c r="D24" s="126" t="e">
        <f>#REF!&amp;";"&amp;#REF!&amp;";"&amp;#REF!</f>
        <v>#REF!</v>
      </c>
      <c r="E24" s="126"/>
      <c r="F24" s="126"/>
      <c r="G24" s="126"/>
      <c r="H24" s="126">
        <f>Report!$F$5</f>
        <v>0</v>
      </c>
      <c r="I24" s="128">
        <f ca="1" t="shared" si="0"/>
        <v>45593.8691435185</v>
      </c>
      <c r="J24" s="126">
        <f>Report!$N$5</f>
        <v>0</v>
      </c>
      <c r="K24" s="126"/>
      <c r="L24" s="126">
        <f>Report!$C$6</f>
        <v>0</v>
      </c>
      <c r="M24" s="126">
        <f>Report!$H$6</f>
        <v>0</v>
      </c>
      <c r="N24" s="58" t="e">
        <f>#REF!</f>
        <v>#REF!</v>
      </c>
      <c r="O24" s="126"/>
      <c r="P24" s="58">
        <v>3001</v>
      </c>
    </row>
    <row r="25" ht="27.6" spans="1:16">
      <c r="A25" s="58">
        <v>3002</v>
      </c>
      <c r="B25" s="125" t="str">
        <f ca="1" t="array" ref="B25">MID(_xlfn.SINGLE(CELL("filename")),FIND("[",_xlfn.SINGLE(CELL("filename")),1)+1,FIND(".",_xlfn.SINGLE(CELL("filename")),1)-FIND("[",_xlfn.SINGLE(CELL("filename")),1)-1)</f>
        <v>T600T700-VariableSlit工装</v>
      </c>
      <c r="C25" s="58" t="e">
        <f>#REF!</f>
        <v>#REF!</v>
      </c>
      <c r="D25" s="126" t="e">
        <f>#REF!&amp;";"&amp;#REF!&amp;";"&amp;#REF!</f>
        <v>#REF!</v>
      </c>
      <c r="E25" s="126"/>
      <c r="F25" s="126"/>
      <c r="G25" s="126"/>
      <c r="H25" s="126">
        <f>Report!$F$5</f>
        <v>0</v>
      </c>
      <c r="I25" s="128">
        <f ca="1" t="shared" si="0"/>
        <v>45593.8691435185</v>
      </c>
      <c r="J25" s="126">
        <f>Report!$N$5</f>
        <v>0</v>
      </c>
      <c r="K25" s="126"/>
      <c r="L25" s="126">
        <f>Report!$C$6</f>
        <v>0</v>
      </c>
      <c r="M25" s="126">
        <f>Report!$H$6</f>
        <v>0</v>
      </c>
      <c r="N25" s="58" t="e">
        <f>#REF!</f>
        <v>#REF!</v>
      </c>
      <c r="O25" s="126"/>
      <c r="P25" s="58">
        <v>3002</v>
      </c>
    </row>
    <row r="26" ht="27.6" spans="1:16">
      <c r="A26" s="58">
        <v>4001</v>
      </c>
      <c r="B26" s="125" t="str">
        <f ca="1" t="array" ref="B26">MID(_xlfn.SINGLE(CELL("filename")),FIND("[",_xlfn.SINGLE(CELL("filename")),1)+1,FIND(".",_xlfn.SINGLE(CELL("filename")),1)-FIND("[",_xlfn.SINGLE(CELL("filename")),1)-1)</f>
        <v>T600T700-VariableSlit工装</v>
      </c>
      <c r="C26" s="58"/>
      <c r="D26" s="126">
        <f>样品池重复性!$B$2</f>
        <v>0</v>
      </c>
      <c r="E26" s="126"/>
      <c r="F26" s="126"/>
      <c r="G26" s="126"/>
      <c r="H26" s="126">
        <f>Report!$F$5</f>
        <v>0</v>
      </c>
      <c r="I26" s="128">
        <f ca="1" t="shared" si="0"/>
        <v>45593.8691435185</v>
      </c>
      <c r="J26" s="126">
        <f>Report!$N$5</f>
        <v>0</v>
      </c>
      <c r="K26" s="126"/>
      <c r="L26" s="126">
        <f>Report!$C$6</f>
        <v>0</v>
      </c>
      <c r="M26" s="126">
        <f>Report!$H$6</f>
        <v>0</v>
      </c>
      <c r="N26" s="58" t="e">
        <f>样品池重复性!#REF!</f>
        <v>#REF!</v>
      </c>
      <c r="O26" s="126"/>
      <c r="P26" s="58">
        <v>4001</v>
      </c>
    </row>
    <row r="27" ht="27.6" spans="1:16">
      <c r="A27" s="58">
        <v>5001</v>
      </c>
      <c r="B27" s="125" t="str">
        <f ca="1" t="array" ref="B27">MID(_xlfn.SINGLE(CELL("filename")),FIND("[",_xlfn.SINGLE(CELL("filename")),1)+1,FIND(".",_xlfn.SINGLE(CELL("filename")),1)-FIND("[",_xlfn.SINGLE(CELL("filename")),1)-1)</f>
        <v>T600T700-VariableSlit工装</v>
      </c>
      <c r="C27" s="58"/>
      <c r="D27" s="126" t="str">
        <f>能量扫描!$B$3</f>
        <v>656.1</v>
      </c>
      <c r="E27" s="126"/>
      <c r="F27" s="126"/>
      <c r="G27" s="126"/>
      <c r="H27" s="126">
        <f>Report!$F$5</f>
        <v>0</v>
      </c>
      <c r="I27" s="128">
        <f ca="1" t="shared" si="0"/>
        <v>45593.8691435185</v>
      </c>
      <c r="J27" s="126">
        <f>Report!$N$5</f>
        <v>0</v>
      </c>
      <c r="K27" s="126"/>
      <c r="L27" s="126">
        <f>Report!$C$6</f>
        <v>0</v>
      </c>
      <c r="M27" s="126">
        <f>Report!$H$6</f>
        <v>0</v>
      </c>
      <c r="N27" s="58" t="e">
        <f>能量扫描!#REF!</f>
        <v>#REF!</v>
      </c>
      <c r="O27" s="126"/>
      <c r="P27" s="58">
        <v>5001</v>
      </c>
    </row>
    <row r="28" ht="27.6" spans="1:16">
      <c r="A28" s="58">
        <v>6002</v>
      </c>
      <c r="B28" s="125" t="str">
        <f ca="1" t="array" ref="B28">MID(_xlfn.SINGLE(CELL("filename")),FIND("[",_xlfn.SINGLE(CELL("filename")),1)+1,FIND(".",_xlfn.SINGLE(CELL("filename")),1)-FIND("[",_xlfn.SINGLE(CELL("filename")),1)-1)</f>
        <v>T600T700-VariableSlit工装</v>
      </c>
      <c r="C28" s="58" t="e">
        <f>#REF!</f>
        <v>#REF!</v>
      </c>
      <c r="D28" s="126" t="e">
        <f>#REF!</f>
        <v>#REF!</v>
      </c>
      <c r="E28" s="126"/>
      <c r="F28" s="126"/>
      <c r="G28" s="126"/>
      <c r="H28" s="126">
        <f>Report!$F$5</f>
        <v>0</v>
      </c>
      <c r="I28" s="128">
        <f ca="1" t="shared" si="0"/>
        <v>45593.8691435185</v>
      </c>
      <c r="J28" s="126">
        <f>Report!$N$5</f>
        <v>0</v>
      </c>
      <c r="K28" s="126"/>
      <c r="L28" s="126">
        <f>Report!$C$6</f>
        <v>0</v>
      </c>
      <c r="M28" s="126">
        <f>Report!$H$6</f>
        <v>0</v>
      </c>
      <c r="N28" s="58" t="e">
        <f>#REF!</f>
        <v>#REF!</v>
      </c>
      <c r="O28" s="126"/>
      <c r="P28" s="58">
        <v>6001</v>
      </c>
    </row>
    <row r="29" ht="27.6" spans="1:16">
      <c r="A29" s="58">
        <v>7001</v>
      </c>
      <c r="B29" s="125" t="str">
        <f ca="1" t="array" ref="B29">MID(_xlfn.SINGLE(CELL("filename")),FIND("[",_xlfn.SINGLE(CELL("filename")),1)+1,FIND(".",_xlfn.SINGLE(CELL("filename")),1)-FIND("[",_xlfn.SINGLE(CELL("filename")),1)-1)</f>
        <v>T600T700-VariableSlit工装</v>
      </c>
      <c r="C29" s="58" t="e">
        <f>#REF!</f>
        <v>#REF!</v>
      </c>
      <c r="D29" s="126" t="e">
        <f>#REF!</f>
        <v>#REF!</v>
      </c>
      <c r="E29" s="126"/>
      <c r="F29" s="126"/>
      <c r="G29" s="126"/>
      <c r="H29" s="126">
        <f>Report!$F$5</f>
        <v>0</v>
      </c>
      <c r="I29" s="128">
        <f ca="1" t="shared" si="0"/>
        <v>45593.8691435185</v>
      </c>
      <c r="J29" s="126">
        <f>Report!$N$5</f>
        <v>0</v>
      </c>
      <c r="K29" s="126"/>
      <c r="L29" s="126">
        <f>Report!$C$6</f>
        <v>0</v>
      </c>
      <c r="M29" s="126">
        <f>Report!$H$6</f>
        <v>0</v>
      </c>
      <c r="N29" s="58" t="e">
        <f>#REF!</f>
        <v>#REF!</v>
      </c>
      <c r="O29" s="126"/>
      <c r="P29" s="58">
        <v>7001</v>
      </c>
    </row>
    <row r="30" ht="27.6" spans="1:16">
      <c r="A30" s="58">
        <v>7002</v>
      </c>
      <c r="B30" s="125" t="str">
        <f ca="1" t="array" ref="B30">MID(_xlfn.SINGLE(CELL("filename")),FIND("[",_xlfn.SINGLE(CELL("filename")),1)+1,FIND(".",_xlfn.SINGLE(CELL("filename")),1)-FIND("[",_xlfn.SINGLE(CELL("filename")),1)-1)</f>
        <v>T600T700-VariableSlit工装</v>
      </c>
      <c r="C30" s="58" t="e">
        <f>#REF!</f>
        <v>#REF!</v>
      </c>
      <c r="D30" s="126" t="e">
        <f>#REF!</f>
        <v>#REF!</v>
      </c>
      <c r="E30" s="126"/>
      <c r="F30" s="126"/>
      <c r="G30" s="126"/>
      <c r="H30" s="126">
        <f>Report!$F$5</f>
        <v>0</v>
      </c>
      <c r="I30" s="128">
        <f ca="1" t="shared" si="0"/>
        <v>45593.8691435185</v>
      </c>
      <c r="J30" s="126">
        <f>Report!$N$5</f>
        <v>0</v>
      </c>
      <c r="K30" s="126"/>
      <c r="L30" s="126">
        <f>Report!$C$6</f>
        <v>0</v>
      </c>
      <c r="M30" s="126">
        <f>Report!$H$6</f>
        <v>0</v>
      </c>
      <c r="N30" s="58" t="e">
        <f>#REF!</f>
        <v>#REF!</v>
      </c>
      <c r="O30" s="126"/>
      <c r="P30" s="58">
        <v>7002</v>
      </c>
    </row>
    <row r="31" ht="27.6" spans="1:16">
      <c r="A31" s="58">
        <v>7003</v>
      </c>
      <c r="B31" s="125" t="str">
        <f ca="1" t="array" ref="B31">MID(_xlfn.SINGLE(CELL("filename")),FIND("[",_xlfn.SINGLE(CELL("filename")),1)+1,FIND(".",_xlfn.SINGLE(CELL("filename")),1)-FIND("[",_xlfn.SINGLE(CELL("filename")),1)-1)</f>
        <v>T600T700-VariableSlit工装</v>
      </c>
      <c r="C31" s="58" t="e">
        <f>#REF!</f>
        <v>#REF!</v>
      </c>
      <c r="D31" s="126" t="e">
        <f>#REF!</f>
        <v>#REF!</v>
      </c>
      <c r="E31" s="126"/>
      <c r="F31" s="126"/>
      <c r="G31" s="126"/>
      <c r="H31" s="126">
        <f>Report!$F$5</f>
        <v>0</v>
      </c>
      <c r="I31" s="128">
        <f ca="1" t="shared" si="0"/>
        <v>45593.8691435185</v>
      </c>
      <c r="J31" s="126">
        <f>Report!$N$5</f>
        <v>0</v>
      </c>
      <c r="K31" s="126"/>
      <c r="L31" s="126">
        <f>Report!$C$6</f>
        <v>0</v>
      </c>
      <c r="M31" s="126">
        <f>Report!$H$6</f>
        <v>0</v>
      </c>
      <c r="N31" s="58" t="e">
        <f>#REF!</f>
        <v>#REF!</v>
      </c>
      <c r="O31" s="126"/>
      <c r="P31" s="58">
        <v>7003</v>
      </c>
    </row>
    <row r="32" ht="27.6" spans="1:16">
      <c r="A32" s="58">
        <v>7004</v>
      </c>
      <c r="B32" s="125" t="str">
        <f ca="1" t="array" ref="B32">MID(_xlfn.SINGLE(CELL("filename")),FIND("[",_xlfn.SINGLE(CELL("filename")),1)+1,FIND(".",_xlfn.SINGLE(CELL("filename")),1)-FIND("[",_xlfn.SINGLE(CELL("filename")),1)-1)</f>
        <v>T600T700-VariableSlit工装</v>
      </c>
      <c r="C32" s="58" t="e">
        <f>#REF!</f>
        <v>#REF!</v>
      </c>
      <c r="D32" s="126" t="e">
        <f>#REF!</f>
        <v>#REF!</v>
      </c>
      <c r="E32" s="126"/>
      <c r="F32" s="126"/>
      <c r="G32" s="126"/>
      <c r="H32" s="126">
        <f>Report!$F$5</f>
        <v>0</v>
      </c>
      <c r="I32" s="128">
        <f ca="1" t="shared" si="0"/>
        <v>45593.8691435185</v>
      </c>
      <c r="J32" s="126">
        <f>Report!$N$5</f>
        <v>0</v>
      </c>
      <c r="K32" s="126"/>
      <c r="L32" s="126">
        <f>Report!$C$6</f>
        <v>0</v>
      </c>
      <c r="M32" s="126">
        <f>Report!$H$6</f>
        <v>0</v>
      </c>
      <c r="N32" s="58" t="e">
        <f>#REF!</f>
        <v>#REF!</v>
      </c>
      <c r="O32" s="126"/>
      <c r="P32" s="58">
        <v>7004</v>
      </c>
    </row>
    <row r="33" ht="27.6" spans="1:16">
      <c r="A33" s="58">
        <v>8001</v>
      </c>
      <c r="B33" s="125" t="str">
        <f ca="1" t="array" ref="B33">MID(_xlfn.SINGLE(CELL("filename")),FIND("[",_xlfn.SINGLE(CELL("filename")),1)+1,FIND(".",_xlfn.SINGLE(CELL("filename")),1)-FIND("[",_xlfn.SINGLE(CELL("filename")),1)-1)</f>
        <v>T600T700-VariableSlit工装</v>
      </c>
      <c r="C33" s="58" t="e">
        <f>#REF!</f>
        <v>#REF!</v>
      </c>
      <c r="D33" s="126" t="e">
        <f>#REF!</f>
        <v>#REF!</v>
      </c>
      <c r="E33" s="126"/>
      <c r="F33" s="126"/>
      <c r="G33" s="126"/>
      <c r="H33" s="126">
        <f>Report!$F$5</f>
        <v>0</v>
      </c>
      <c r="I33" s="128">
        <f ca="1" t="shared" si="0"/>
        <v>45593.8691435185</v>
      </c>
      <c r="J33" s="126">
        <f>Report!$N$5</f>
        <v>0</v>
      </c>
      <c r="K33" s="126"/>
      <c r="L33" s="126">
        <f>Report!$C$6</f>
        <v>0</v>
      </c>
      <c r="M33" s="126">
        <f>Report!$H$6</f>
        <v>0</v>
      </c>
      <c r="N33" s="58" t="e">
        <f>#REF!</f>
        <v>#REF!</v>
      </c>
      <c r="O33" s="126"/>
      <c r="P33" s="58">
        <v>8001</v>
      </c>
    </row>
    <row r="34" ht="27.6" spans="1:16">
      <c r="A34" s="58">
        <v>8002</v>
      </c>
      <c r="B34" s="125" t="str">
        <f ca="1" t="array" ref="B34">MID(_xlfn.SINGLE(CELL("filename")),FIND("[",_xlfn.SINGLE(CELL("filename")),1)+1,FIND(".",_xlfn.SINGLE(CELL("filename")),1)-FIND("[",_xlfn.SINGLE(CELL("filename")),1)-1)</f>
        <v>T600T700-VariableSlit工装</v>
      </c>
      <c r="C34" s="58" t="e">
        <f>#REF!</f>
        <v>#REF!</v>
      </c>
      <c r="D34" s="126" t="e">
        <f>#REF!</f>
        <v>#REF!</v>
      </c>
      <c r="E34" s="126"/>
      <c r="F34" s="126"/>
      <c r="G34" s="126"/>
      <c r="H34" s="126">
        <f>Report!$F$5</f>
        <v>0</v>
      </c>
      <c r="I34" s="128">
        <f ca="1" t="shared" si="0"/>
        <v>45593.8691435185</v>
      </c>
      <c r="J34" s="126">
        <f>Report!$N$5</f>
        <v>0</v>
      </c>
      <c r="K34" s="126"/>
      <c r="L34" s="126">
        <f>Report!$C$6</f>
        <v>0</v>
      </c>
      <c r="M34" s="126">
        <f>Report!$H$6</f>
        <v>0</v>
      </c>
      <c r="N34" s="58" t="e">
        <f>#REF!</f>
        <v>#REF!</v>
      </c>
      <c r="O34" s="126"/>
      <c r="P34" s="58">
        <v>8002</v>
      </c>
    </row>
    <row r="35" ht="27.6" spans="1:16">
      <c r="A35" s="58">
        <v>8003</v>
      </c>
      <c r="B35" s="125" t="str">
        <f ca="1" t="array" ref="B35">MID(_xlfn.SINGLE(CELL("filename")),FIND("[",_xlfn.SINGLE(CELL("filename")),1)+1,FIND(".",_xlfn.SINGLE(CELL("filename")),1)-FIND("[",_xlfn.SINGLE(CELL("filename")),1)-1)</f>
        <v>T600T700-VariableSlit工装</v>
      </c>
      <c r="C35" s="58" t="e">
        <f>#REF!</f>
        <v>#REF!</v>
      </c>
      <c r="D35" s="126" t="e">
        <f>#REF!</f>
        <v>#REF!</v>
      </c>
      <c r="E35" s="126"/>
      <c r="F35" s="126"/>
      <c r="G35" s="126"/>
      <c r="H35" s="126">
        <f>Report!$F$5</f>
        <v>0</v>
      </c>
      <c r="I35" s="128">
        <f ca="1" t="shared" si="0"/>
        <v>45593.8691435185</v>
      </c>
      <c r="J35" s="126">
        <f>Report!$N$5</f>
        <v>0</v>
      </c>
      <c r="K35" s="126"/>
      <c r="L35" s="126">
        <f>Report!$C$6</f>
        <v>0</v>
      </c>
      <c r="M35" s="126">
        <f>Report!$H$6</f>
        <v>0</v>
      </c>
      <c r="N35" s="58" t="e">
        <f>#REF!</f>
        <v>#REF!</v>
      </c>
      <c r="O35" s="126"/>
      <c r="P35" s="58">
        <v>8003</v>
      </c>
    </row>
    <row r="36" ht="27.6" spans="1:16">
      <c r="A36" s="59">
        <v>8004</v>
      </c>
      <c r="B36" s="125" t="str">
        <f ca="1" t="array" ref="B36">MID(_xlfn.SINGLE(CELL("filename")),FIND("[",_xlfn.SINGLE(CELL("filename")),1)+1,FIND(".",_xlfn.SINGLE(CELL("filename")),1)-FIND("[",_xlfn.SINGLE(CELL("filename")),1)-1)</f>
        <v>T600T700-VariableSlit工装</v>
      </c>
      <c r="C36" s="58" t="e">
        <f>#REF!</f>
        <v>#REF!</v>
      </c>
      <c r="D36" s="126" t="e">
        <f>#REF!</f>
        <v>#REF!</v>
      </c>
      <c r="E36" s="126"/>
      <c r="F36" s="126"/>
      <c r="G36" s="126"/>
      <c r="H36" s="126">
        <f>Report!$F$5</f>
        <v>0</v>
      </c>
      <c r="I36" s="128">
        <f ca="1" t="shared" si="0"/>
        <v>45593.8691435185</v>
      </c>
      <c r="J36" s="126">
        <f>Report!$N$5</f>
        <v>0</v>
      </c>
      <c r="K36" s="126"/>
      <c r="L36" s="126">
        <f>Report!$C$6</f>
        <v>0</v>
      </c>
      <c r="M36" s="126">
        <f>Report!$H$6</f>
        <v>0</v>
      </c>
      <c r="N36" s="58" t="e">
        <f>#REF!</f>
        <v>#REF!</v>
      </c>
      <c r="O36" s="126"/>
      <c r="P36" s="58">
        <v>8004</v>
      </c>
    </row>
    <row r="37" ht="27.6" spans="1:16">
      <c r="A37" s="59">
        <v>9001</v>
      </c>
      <c r="B37" s="125" t="str">
        <f ca="1" t="array" ref="B37">MID(_xlfn.SINGLE(CELL("filename")),FIND("[",_xlfn.SINGLE(CELL("filename")),1)+1,FIND(".",_xlfn.SINGLE(CELL("filename")),1)-FIND("[",_xlfn.SINGLE(CELL("filename")),1)-1)</f>
        <v>T600T700-VariableSlit工装</v>
      </c>
      <c r="C37" s="58" t="e">
        <f>#REF!</f>
        <v>#REF!</v>
      </c>
      <c r="D37" s="126" t="e">
        <f>#REF!</f>
        <v>#REF!</v>
      </c>
      <c r="E37" s="126"/>
      <c r="F37" s="126"/>
      <c r="G37" s="126"/>
      <c r="H37" s="126">
        <f>Report!$F$5</f>
        <v>0</v>
      </c>
      <c r="I37" s="128">
        <f ca="1" t="shared" si="0"/>
        <v>45593.8691435185</v>
      </c>
      <c r="J37" s="126">
        <f>Report!$N$5</f>
        <v>0</v>
      </c>
      <c r="K37" s="126"/>
      <c r="L37" s="126">
        <f>Report!$C$6</f>
        <v>0</v>
      </c>
      <c r="M37" s="126">
        <f>Report!$H$6</f>
        <v>0</v>
      </c>
      <c r="N37" s="58" t="e">
        <f>#REF!</f>
        <v>#REF!</v>
      </c>
      <c r="O37" s="126"/>
      <c r="P37" s="58">
        <v>9001</v>
      </c>
    </row>
    <row r="38" customHeight="1" spans="8:8">
      <c r="H38" s="118"/>
    </row>
  </sheetData>
  <pageMargins left="0.7" right="0.7" top="0.75" bottom="0.75" header="0.3" footer="0.3"/>
  <pageSetup paperSize="9" firstPageNumber="4294963191" orientation="portrait" useFirstPageNumb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9"/>
  <sheetViews>
    <sheetView showGridLines="0" showRowColHeaders="0" workbookViewId="0">
      <pane topLeftCell="A1" activePane="topLeft"/>
      <selection activeCell="A1" sqref="A1:H1"/>
    </sheetView>
  </sheetViews>
  <sheetFormatPr defaultColWidth="9" defaultRowHeight="14.25" customHeight="1"/>
  <cols>
    <col min="1" max="1" width="9" style="1"/>
    <col min="2" max="2" width="17.25" style="1" customWidth="1"/>
    <col min="3" max="3" width="29.25" style="1" customWidth="1"/>
    <col min="4" max="4" width="12.3796296296296" style="1" customWidth="1"/>
    <col min="5" max="5" width="22.6296296296296" style="96" customWidth="1"/>
    <col min="6" max="6" width="9" style="1"/>
    <col min="7" max="7" width="16.8796296296296" style="1" customWidth="1"/>
    <col min="8" max="8" width="29.25" style="1" customWidth="1"/>
    <col min="9" max="9" width="12.3796296296296" style="1" customWidth="1"/>
    <col min="10" max="10" width="3.75" style="1" customWidth="1"/>
    <col min="11" max="11" width="17.25" style="1" customWidth="1"/>
    <col min="12" max="12" width="16.8796296296296" style="1" customWidth="1"/>
    <col min="13" max="13" width="12.3796296296296" style="97" customWidth="1"/>
    <col min="14" max="14" width="5.75" style="1" customWidth="1"/>
    <col min="15" max="15" width="11.6296296296296" style="1" customWidth="1"/>
    <col min="16" max="16" width="5.75" style="1" customWidth="1"/>
    <col min="17" max="17" width="20.3796296296296" style="1" customWidth="1"/>
    <col min="18" max="18" width="14.8796296296296" style="1" customWidth="1"/>
    <col min="19" max="20" width="13.8796296296296" style="1" customWidth="1"/>
    <col min="21" max="21" width="19" style="1" customWidth="1"/>
    <col min="22" max="22" width="7.5" style="1" customWidth="1"/>
    <col min="23" max="23" width="19.3796296296296" style="1" customWidth="1"/>
    <col min="24" max="25" width="13.8796296296296" style="1" customWidth="1"/>
    <col min="26" max="26" width="14.8796296296296" style="1" customWidth="1"/>
    <col min="27" max="16384" width="9" style="1"/>
  </cols>
  <sheetData>
    <row r="1" customHeight="1" spans="1:15">
      <c r="A1" s="98" t="s">
        <v>19</v>
      </c>
      <c r="B1" s="99"/>
      <c r="C1" s="99"/>
      <c r="D1" s="99"/>
      <c r="E1" s="99"/>
      <c r="F1" s="99"/>
      <c r="G1" s="99"/>
      <c r="H1" s="100"/>
      <c r="M1" s="1"/>
      <c r="O1" s="96"/>
    </row>
    <row r="2" customHeight="1" spans="1:15">
      <c r="A2" s="101" t="s">
        <v>5</v>
      </c>
      <c r="B2" s="101" t="s">
        <v>125</v>
      </c>
      <c r="C2" s="101" t="s">
        <v>126</v>
      </c>
      <c r="D2" s="101" t="s">
        <v>127</v>
      </c>
      <c r="E2" s="101" t="s">
        <v>128</v>
      </c>
      <c r="F2" s="101" t="s">
        <v>72</v>
      </c>
      <c r="G2" s="101" t="s">
        <v>129</v>
      </c>
      <c r="H2" s="101" t="s">
        <v>130</v>
      </c>
      <c r="M2" s="1"/>
      <c r="O2" s="96"/>
    </row>
    <row r="3" customHeight="1" spans="1:15">
      <c r="A3" s="93" t="s">
        <v>131</v>
      </c>
      <c r="B3" s="93">
        <v>900</v>
      </c>
      <c r="C3" s="93" t="s">
        <v>21</v>
      </c>
      <c r="D3" s="93">
        <v>901</v>
      </c>
      <c r="E3" s="78" t="s">
        <v>132</v>
      </c>
      <c r="F3" s="78">
        <v>546</v>
      </c>
      <c r="G3" s="102"/>
      <c r="H3" s="103"/>
      <c r="M3" s="1"/>
      <c r="O3" s="96"/>
    </row>
    <row r="4" customHeight="1" spans="1:15">
      <c r="A4" s="93" t="s">
        <v>131</v>
      </c>
      <c r="B4" s="93">
        <v>1000</v>
      </c>
      <c r="C4" s="93" t="s">
        <v>133</v>
      </c>
      <c r="D4" s="93">
        <v>1001</v>
      </c>
      <c r="E4" s="104" t="s">
        <v>31</v>
      </c>
      <c r="F4" s="105" t="s">
        <v>134</v>
      </c>
      <c r="G4" s="102">
        <v>0.1</v>
      </c>
      <c r="H4" s="103">
        <v>0.1</v>
      </c>
      <c r="M4" s="1"/>
      <c r="O4" s="96"/>
    </row>
    <row r="5" customHeight="1" spans="1:15">
      <c r="A5" s="93" t="s">
        <v>131</v>
      </c>
      <c r="B5" s="93">
        <v>1000</v>
      </c>
      <c r="C5" s="93" t="s">
        <v>133</v>
      </c>
      <c r="D5" s="93">
        <v>1002</v>
      </c>
      <c r="E5" s="104" t="s">
        <v>31</v>
      </c>
      <c r="F5" s="93">
        <v>486</v>
      </c>
      <c r="G5" s="102">
        <v>0.3</v>
      </c>
      <c r="H5" s="103">
        <v>0.1</v>
      </c>
      <c r="M5" s="1"/>
      <c r="O5" s="96"/>
    </row>
    <row r="6" customHeight="1" spans="1:19">
      <c r="A6" s="93" t="s">
        <v>131</v>
      </c>
      <c r="B6" s="93">
        <v>1000</v>
      </c>
      <c r="C6" s="93" t="s">
        <v>133</v>
      </c>
      <c r="D6" s="93">
        <v>1003</v>
      </c>
      <c r="E6" s="104" t="s">
        <v>32</v>
      </c>
      <c r="F6" s="105" t="s">
        <v>135</v>
      </c>
      <c r="G6" s="102">
        <v>0.3</v>
      </c>
      <c r="H6" s="103">
        <v>0.1</v>
      </c>
      <c r="J6" s="118"/>
      <c r="K6" s="118"/>
      <c r="L6" s="118"/>
      <c r="M6" s="118"/>
      <c r="S6" s="121"/>
    </row>
    <row r="7" customHeight="1" spans="1:13">
      <c r="A7" s="93" t="s">
        <v>131</v>
      </c>
      <c r="B7" s="93">
        <v>1000</v>
      </c>
      <c r="C7" s="93" t="s">
        <v>133</v>
      </c>
      <c r="D7" s="93">
        <v>1008</v>
      </c>
      <c r="E7" s="104" t="s">
        <v>34</v>
      </c>
      <c r="F7" s="105" t="s">
        <v>136</v>
      </c>
      <c r="G7" s="102">
        <v>0.3</v>
      </c>
      <c r="H7" s="103">
        <v>0.1</v>
      </c>
      <c r="I7" s="119"/>
      <c r="J7" s="120"/>
      <c r="K7" s="120"/>
      <c r="M7" s="1"/>
    </row>
    <row r="8" customHeight="1" spans="1:13">
      <c r="A8" s="93" t="s">
        <v>131</v>
      </c>
      <c r="B8" s="93">
        <v>1000</v>
      </c>
      <c r="C8" s="93" t="s">
        <v>133</v>
      </c>
      <c r="D8" s="93">
        <v>1009</v>
      </c>
      <c r="E8" s="104" t="s">
        <v>34</v>
      </c>
      <c r="F8" s="105" t="s">
        <v>137</v>
      </c>
      <c r="G8" s="102">
        <v>0.3</v>
      </c>
      <c r="H8" s="103">
        <v>0.1</v>
      </c>
      <c r="J8" s="120"/>
      <c r="K8" s="120"/>
      <c r="M8" s="1"/>
    </row>
    <row r="9" customHeight="1" spans="1:13">
      <c r="A9" s="93" t="s">
        <v>131</v>
      </c>
      <c r="B9" s="93">
        <v>1000</v>
      </c>
      <c r="C9" s="93" t="s">
        <v>133</v>
      </c>
      <c r="D9" s="93">
        <v>1010</v>
      </c>
      <c r="E9" s="104" t="s">
        <v>34</v>
      </c>
      <c r="F9" s="105" t="s">
        <v>138</v>
      </c>
      <c r="G9" s="102">
        <v>0.3</v>
      </c>
      <c r="H9" s="103">
        <v>0.1</v>
      </c>
      <c r="J9" s="120"/>
      <c r="K9" s="120"/>
      <c r="M9" s="1"/>
    </row>
    <row r="10" customHeight="1" spans="1:13">
      <c r="A10" s="93" t="s">
        <v>131</v>
      </c>
      <c r="B10" s="93">
        <v>1000</v>
      </c>
      <c r="C10" s="93" t="s">
        <v>133</v>
      </c>
      <c r="D10" s="93">
        <v>1011</v>
      </c>
      <c r="E10" s="104" t="s">
        <v>34</v>
      </c>
      <c r="F10" s="105" t="s">
        <v>139</v>
      </c>
      <c r="G10" s="102">
        <v>0.3</v>
      </c>
      <c r="H10" s="103">
        <v>0.1</v>
      </c>
      <c r="J10" s="120"/>
      <c r="K10" s="120"/>
      <c r="M10" s="1"/>
    </row>
    <row r="11" customHeight="1" spans="1:13">
      <c r="A11" s="93" t="s">
        <v>131</v>
      </c>
      <c r="B11" s="93">
        <v>1000</v>
      </c>
      <c r="C11" s="93" t="s">
        <v>133</v>
      </c>
      <c r="D11" s="93">
        <v>1012</v>
      </c>
      <c r="E11" s="104" t="s">
        <v>34</v>
      </c>
      <c r="F11" s="105" t="s">
        <v>140</v>
      </c>
      <c r="G11" s="102">
        <v>0.3</v>
      </c>
      <c r="H11" s="103">
        <v>0.1</v>
      </c>
      <c r="J11" s="120"/>
      <c r="K11" s="120"/>
      <c r="M11" s="1"/>
    </row>
    <row r="12" customHeight="1" spans="1:13">
      <c r="A12" s="93" t="s">
        <v>131</v>
      </c>
      <c r="B12" s="93">
        <v>1000</v>
      </c>
      <c r="C12" s="93" t="s">
        <v>133</v>
      </c>
      <c r="D12" s="93">
        <v>1013</v>
      </c>
      <c r="E12" s="104" t="s">
        <v>34</v>
      </c>
      <c r="F12" s="105" t="s">
        <v>141</v>
      </c>
      <c r="G12" s="102">
        <v>0.3</v>
      </c>
      <c r="H12" s="103">
        <v>0.1</v>
      </c>
      <c r="J12" s="120"/>
      <c r="K12" s="120"/>
      <c r="M12" s="1"/>
    </row>
    <row r="13" customHeight="1" spans="1:13">
      <c r="A13" s="93" t="s">
        <v>131</v>
      </c>
      <c r="B13" s="93">
        <v>2000</v>
      </c>
      <c r="C13" s="93" t="s">
        <v>142</v>
      </c>
      <c r="D13" s="93">
        <v>2001</v>
      </c>
      <c r="E13" s="104" t="s">
        <v>143</v>
      </c>
      <c r="F13" s="106" t="s">
        <v>144</v>
      </c>
      <c r="G13" s="93">
        <v>0.3</v>
      </c>
      <c r="H13" s="93">
        <v>0.1</v>
      </c>
      <c r="J13" s="120"/>
      <c r="K13" s="119"/>
      <c r="M13" s="1"/>
    </row>
    <row r="14" ht="28.8" spans="1:13">
      <c r="A14" s="93" t="s">
        <v>131</v>
      </c>
      <c r="B14" s="93">
        <v>2000</v>
      </c>
      <c r="C14" s="93" t="s">
        <v>142</v>
      </c>
      <c r="D14" s="93">
        <v>2002</v>
      </c>
      <c r="E14" s="104" t="s">
        <v>143</v>
      </c>
      <c r="F14" s="106" t="s">
        <v>145</v>
      </c>
      <c r="G14" s="93">
        <v>0.3</v>
      </c>
      <c r="H14" s="93">
        <v>0.1</v>
      </c>
      <c r="J14" s="120"/>
      <c r="K14" s="119"/>
      <c r="M14" s="1"/>
    </row>
    <row r="15" ht="28.8" spans="1:13">
      <c r="A15" s="93" t="s">
        <v>131</v>
      </c>
      <c r="B15" s="93">
        <v>2000</v>
      </c>
      <c r="C15" s="93" t="s">
        <v>142</v>
      </c>
      <c r="D15" s="93">
        <v>2003</v>
      </c>
      <c r="E15" s="104" t="s">
        <v>143</v>
      </c>
      <c r="F15" s="106" t="s">
        <v>146</v>
      </c>
      <c r="G15" s="93">
        <v>0.3</v>
      </c>
      <c r="H15" s="93">
        <v>0.1</v>
      </c>
      <c r="J15" s="120"/>
      <c r="K15" s="119"/>
      <c r="M15" s="1"/>
    </row>
    <row r="16" ht="28.8" spans="1:13">
      <c r="A16" s="93" t="s">
        <v>131</v>
      </c>
      <c r="B16" s="93">
        <v>2000</v>
      </c>
      <c r="C16" s="93" t="s">
        <v>142</v>
      </c>
      <c r="D16" s="93">
        <v>2004</v>
      </c>
      <c r="E16" s="104" t="s">
        <v>143</v>
      </c>
      <c r="F16" s="106" t="s">
        <v>147</v>
      </c>
      <c r="G16" s="93">
        <v>0.3</v>
      </c>
      <c r="H16" s="93">
        <v>0.1</v>
      </c>
      <c r="J16" s="120"/>
      <c r="K16" s="119"/>
      <c r="M16" s="1"/>
    </row>
    <row r="17" customHeight="1" spans="1:13">
      <c r="A17" s="93" t="s">
        <v>131</v>
      </c>
      <c r="B17" s="93">
        <v>2000</v>
      </c>
      <c r="C17" s="93" t="s">
        <v>142</v>
      </c>
      <c r="D17" s="93">
        <v>2005</v>
      </c>
      <c r="E17" s="106" t="s">
        <v>100</v>
      </c>
      <c r="F17" s="106" t="s">
        <v>148</v>
      </c>
      <c r="G17" s="93">
        <v>0.3</v>
      </c>
      <c r="H17" s="93">
        <v>0.1</v>
      </c>
      <c r="M17" s="1"/>
    </row>
    <row r="18" customHeight="1" spans="1:13">
      <c r="A18" s="93" t="s">
        <v>131</v>
      </c>
      <c r="B18" s="93">
        <v>2000</v>
      </c>
      <c r="C18" s="93" t="s">
        <v>142</v>
      </c>
      <c r="D18" s="93">
        <v>2006</v>
      </c>
      <c r="E18" s="106" t="s">
        <v>100</v>
      </c>
      <c r="F18" s="106" t="s">
        <v>149</v>
      </c>
      <c r="G18" s="93">
        <v>0.3</v>
      </c>
      <c r="H18" s="93">
        <v>0.1</v>
      </c>
      <c r="M18" s="1"/>
    </row>
    <row r="19" customHeight="1" spans="1:13">
      <c r="A19" s="93" t="s">
        <v>131</v>
      </c>
      <c r="B19" s="93">
        <v>2000</v>
      </c>
      <c r="C19" s="93" t="s">
        <v>142</v>
      </c>
      <c r="D19" s="93">
        <v>2007</v>
      </c>
      <c r="E19" s="106" t="s">
        <v>100</v>
      </c>
      <c r="F19" s="106" t="s">
        <v>150</v>
      </c>
      <c r="G19" s="93">
        <v>0.3</v>
      </c>
      <c r="H19" s="93">
        <v>0.1</v>
      </c>
      <c r="M19" s="1"/>
    </row>
    <row r="20" customHeight="1" spans="1:13">
      <c r="A20" s="93" t="s">
        <v>131</v>
      </c>
      <c r="B20" s="93">
        <v>2000</v>
      </c>
      <c r="C20" s="93" t="s">
        <v>142</v>
      </c>
      <c r="D20" s="93">
        <v>2008</v>
      </c>
      <c r="E20" s="106" t="s">
        <v>105</v>
      </c>
      <c r="F20" s="106" t="s">
        <v>148</v>
      </c>
      <c r="G20" s="93">
        <v>0.3</v>
      </c>
      <c r="H20" s="93">
        <v>0.1</v>
      </c>
      <c r="M20" s="1"/>
    </row>
    <row r="21" customHeight="1" spans="1:13">
      <c r="A21" s="93" t="s">
        <v>131</v>
      </c>
      <c r="B21" s="93">
        <v>2000</v>
      </c>
      <c r="C21" s="93" t="s">
        <v>142</v>
      </c>
      <c r="D21" s="93">
        <v>2009</v>
      </c>
      <c r="E21" s="106" t="s">
        <v>105</v>
      </c>
      <c r="F21" s="106" t="s">
        <v>149</v>
      </c>
      <c r="G21" s="93">
        <v>0.3</v>
      </c>
      <c r="H21" s="93">
        <v>0.1</v>
      </c>
      <c r="M21" s="1"/>
    </row>
    <row r="22" customHeight="1" spans="1:13">
      <c r="A22" s="93" t="s">
        <v>131</v>
      </c>
      <c r="B22" s="93">
        <v>2000</v>
      </c>
      <c r="C22" s="93" t="s">
        <v>142</v>
      </c>
      <c r="D22" s="93">
        <v>2010</v>
      </c>
      <c r="E22" s="106" t="s">
        <v>105</v>
      </c>
      <c r="F22" s="106" t="s">
        <v>150</v>
      </c>
      <c r="G22" s="93">
        <v>0.3</v>
      </c>
      <c r="H22" s="93">
        <v>0.1</v>
      </c>
      <c r="M22" s="1"/>
    </row>
    <row r="23" customHeight="1" spans="1:13">
      <c r="A23" s="93" t="s">
        <v>131</v>
      </c>
      <c r="B23" s="93">
        <v>2000</v>
      </c>
      <c r="C23" s="93" t="s">
        <v>142</v>
      </c>
      <c r="D23" s="93">
        <v>2011</v>
      </c>
      <c r="E23" s="106" t="s">
        <v>108</v>
      </c>
      <c r="F23" s="106" t="s">
        <v>148</v>
      </c>
      <c r="G23" s="93">
        <v>0.3</v>
      </c>
      <c r="H23" s="93">
        <v>0.1</v>
      </c>
      <c r="M23" s="1"/>
    </row>
    <row r="24" customHeight="1" spans="1:13">
      <c r="A24" s="93" t="s">
        <v>131</v>
      </c>
      <c r="B24" s="93">
        <v>2000</v>
      </c>
      <c r="C24" s="93" t="s">
        <v>142</v>
      </c>
      <c r="D24" s="93">
        <v>2012</v>
      </c>
      <c r="E24" s="106" t="s">
        <v>108</v>
      </c>
      <c r="F24" s="106" t="s">
        <v>149</v>
      </c>
      <c r="G24" s="93">
        <v>0.3</v>
      </c>
      <c r="H24" s="93">
        <v>0.1</v>
      </c>
      <c r="M24" s="1"/>
    </row>
    <row r="25" customHeight="1" spans="1:13">
      <c r="A25" s="93" t="s">
        <v>131</v>
      </c>
      <c r="B25" s="93">
        <v>2000</v>
      </c>
      <c r="C25" s="93" t="s">
        <v>142</v>
      </c>
      <c r="D25" s="93">
        <v>2013</v>
      </c>
      <c r="E25" s="106" t="s">
        <v>108</v>
      </c>
      <c r="F25" s="106" t="s">
        <v>150</v>
      </c>
      <c r="G25" s="93">
        <v>0.3</v>
      </c>
      <c r="H25" s="93">
        <v>0.1</v>
      </c>
      <c r="M25" s="1"/>
    </row>
    <row r="26" customHeight="1" spans="1:13">
      <c r="A26" s="93" t="s">
        <v>131</v>
      </c>
      <c r="B26" s="93">
        <v>3000</v>
      </c>
      <c r="C26" s="93" t="s">
        <v>151</v>
      </c>
      <c r="D26" s="93">
        <v>3001</v>
      </c>
      <c r="E26" s="107" t="s">
        <v>56</v>
      </c>
      <c r="F26" s="108" t="s">
        <v>54</v>
      </c>
      <c r="G26" s="109">
        <v>0.01</v>
      </c>
      <c r="H26" s="93"/>
      <c r="M26" s="1"/>
    </row>
    <row r="27" customHeight="1" spans="1:13">
      <c r="A27" s="93" t="s">
        <v>131</v>
      </c>
      <c r="B27" s="93">
        <v>3000</v>
      </c>
      <c r="C27" s="93" t="s">
        <v>151</v>
      </c>
      <c r="D27" s="93">
        <v>3002</v>
      </c>
      <c r="E27" s="107" t="s">
        <v>60</v>
      </c>
      <c r="F27" s="108" t="s">
        <v>58</v>
      </c>
      <c r="G27" s="109">
        <v>0.02</v>
      </c>
      <c r="H27" s="93"/>
      <c r="M27" s="1"/>
    </row>
    <row r="28" customHeight="1" spans="1:13">
      <c r="A28" s="93" t="s">
        <v>131</v>
      </c>
      <c r="B28" s="93">
        <v>4000</v>
      </c>
      <c r="C28" s="93" t="s">
        <v>152</v>
      </c>
      <c r="D28" s="93">
        <v>4001</v>
      </c>
      <c r="E28" s="107" t="s">
        <v>61</v>
      </c>
      <c r="F28" s="93"/>
      <c r="G28" s="110">
        <v>0.0005</v>
      </c>
      <c r="H28" s="93"/>
      <c r="M28" s="1"/>
    </row>
    <row r="29" customHeight="1" spans="1:13">
      <c r="A29" s="93" t="s">
        <v>131</v>
      </c>
      <c r="B29" s="93">
        <v>5000</v>
      </c>
      <c r="C29" s="93" t="s">
        <v>153</v>
      </c>
      <c r="D29" s="93">
        <v>5001</v>
      </c>
      <c r="E29" s="107" t="s">
        <v>154</v>
      </c>
      <c r="F29" s="93"/>
      <c r="G29" s="111">
        <v>0.1</v>
      </c>
      <c r="H29" s="93"/>
      <c r="M29" s="1"/>
    </row>
    <row r="30" customHeight="1" spans="1:13">
      <c r="A30" s="93" t="s">
        <v>131</v>
      </c>
      <c r="B30" s="93">
        <v>6000</v>
      </c>
      <c r="C30" s="93" t="s">
        <v>155</v>
      </c>
      <c r="D30" s="93">
        <v>6002</v>
      </c>
      <c r="E30" s="107" t="s">
        <v>156</v>
      </c>
      <c r="F30" s="107">
        <v>656.1</v>
      </c>
      <c r="G30" s="112">
        <v>20</v>
      </c>
      <c r="H30" s="93"/>
      <c r="M30" s="1"/>
    </row>
    <row r="31" customHeight="1" spans="1:13">
      <c r="A31" s="93" t="s">
        <v>131</v>
      </c>
      <c r="B31" s="93">
        <v>7000</v>
      </c>
      <c r="C31" s="93" t="s">
        <v>157</v>
      </c>
      <c r="D31" s="93">
        <v>7001</v>
      </c>
      <c r="E31" s="93" t="s">
        <v>158</v>
      </c>
      <c r="F31" s="113">
        <v>500</v>
      </c>
      <c r="G31" s="114">
        <v>0.05</v>
      </c>
      <c r="H31" s="93"/>
      <c r="M31" s="1"/>
    </row>
    <row r="32" customHeight="1" spans="1:13">
      <c r="A32" s="93" t="s">
        <v>131</v>
      </c>
      <c r="B32" s="93">
        <v>7000</v>
      </c>
      <c r="C32" s="93" t="s">
        <v>157</v>
      </c>
      <c r="D32" s="93">
        <v>7002</v>
      </c>
      <c r="E32" s="93" t="s">
        <v>159</v>
      </c>
      <c r="F32" s="113">
        <v>500</v>
      </c>
      <c r="G32" s="115">
        <v>0.005</v>
      </c>
      <c r="H32" s="93"/>
      <c r="M32" s="1"/>
    </row>
    <row r="33" customHeight="1" spans="1:13">
      <c r="A33" s="93" t="s">
        <v>131</v>
      </c>
      <c r="B33" s="93">
        <v>7000</v>
      </c>
      <c r="C33" s="93" t="s">
        <v>157</v>
      </c>
      <c r="D33" s="93">
        <v>7003</v>
      </c>
      <c r="E33" s="93" t="s">
        <v>160</v>
      </c>
      <c r="F33" s="113">
        <v>250</v>
      </c>
      <c r="G33" s="114">
        <v>0.05</v>
      </c>
      <c r="H33" s="93"/>
      <c r="M33" s="1"/>
    </row>
    <row r="34" customHeight="1" spans="1:13">
      <c r="A34" s="93" t="s">
        <v>131</v>
      </c>
      <c r="B34" s="93">
        <v>7000</v>
      </c>
      <c r="C34" s="93" t="s">
        <v>157</v>
      </c>
      <c r="D34" s="93">
        <v>7004</v>
      </c>
      <c r="E34" s="93" t="s">
        <v>161</v>
      </c>
      <c r="F34" s="113">
        <v>250</v>
      </c>
      <c r="G34" s="115">
        <v>0.005</v>
      </c>
      <c r="H34" s="93"/>
      <c r="M34" s="1"/>
    </row>
    <row r="35" customHeight="1" spans="1:13">
      <c r="A35" s="93" t="s">
        <v>131</v>
      </c>
      <c r="B35" s="93">
        <v>8000</v>
      </c>
      <c r="C35" s="93" t="s">
        <v>162</v>
      </c>
      <c r="D35" s="93">
        <v>8001</v>
      </c>
      <c r="E35" s="93" t="s">
        <v>163</v>
      </c>
      <c r="F35" s="113">
        <v>1090</v>
      </c>
      <c r="G35" s="116">
        <v>0.1</v>
      </c>
      <c r="H35" s="93"/>
      <c r="M35" s="1"/>
    </row>
    <row r="36" customHeight="1" spans="1:13">
      <c r="A36" s="93" t="s">
        <v>131</v>
      </c>
      <c r="B36" s="93">
        <v>8000</v>
      </c>
      <c r="C36" s="93" t="s">
        <v>162</v>
      </c>
      <c r="D36" s="93">
        <v>8002</v>
      </c>
      <c r="E36" s="93" t="s">
        <v>164</v>
      </c>
      <c r="F36" s="113">
        <v>1090</v>
      </c>
      <c r="G36" s="114">
        <v>0.02</v>
      </c>
      <c r="H36" s="93"/>
      <c r="M36" s="1"/>
    </row>
    <row r="37" customHeight="1" spans="1:13">
      <c r="A37" s="93" t="s">
        <v>131</v>
      </c>
      <c r="B37" s="93">
        <v>8000</v>
      </c>
      <c r="C37" s="93" t="s">
        <v>162</v>
      </c>
      <c r="D37" s="93">
        <v>8003</v>
      </c>
      <c r="E37" s="93" t="s">
        <v>165</v>
      </c>
      <c r="F37" s="113">
        <v>200</v>
      </c>
      <c r="G37" s="116">
        <v>0.1</v>
      </c>
      <c r="H37" s="93"/>
      <c r="M37" s="1"/>
    </row>
    <row r="38" customHeight="1" spans="1:13">
      <c r="A38" s="93" t="s">
        <v>131</v>
      </c>
      <c r="B38" s="95">
        <v>8000</v>
      </c>
      <c r="C38" s="95" t="s">
        <v>162</v>
      </c>
      <c r="D38" s="95">
        <v>8004</v>
      </c>
      <c r="E38" s="95" t="s">
        <v>166</v>
      </c>
      <c r="F38" s="113">
        <v>200</v>
      </c>
      <c r="G38" s="114">
        <v>0.02</v>
      </c>
      <c r="H38" s="95"/>
      <c r="M38" s="1"/>
    </row>
    <row r="39" customHeight="1" spans="1:13">
      <c r="A39" s="93" t="s">
        <v>131</v>
      </c>
      <c r="B39" s="95">
        <v>9000</v>
      </c>
      <c r="C39" s="95" t="s">
        <v>167</v>
      </c>
      <c r="D39" s="95">
        <v>9001</v>
      </c>
      <c r="E39" s="107" t="s">
        <v>167</v>
      </c>
      <c r="F39" s="95" t="s">
        <v>168</v>
      </c>
      <c r="G39" s="117">
        <v>0.1</v>
      </c>
      <c r="H39" s="95"/>
      <c r="M39" s="1"/>
    </row>
  </sheetData>
  <mergeCells count="1">
    <mergeCell ref="A1:H1"/>
  </mergeCells>
  <pageMargins left="0.7" right="0.7" top="0.75" bottom="0.75" header="0.3" footer="0.3"/>
  <pageSetup paperSize="9" firstPageNumber="4294963191" orientation="portrait" useFirstPageNumb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RowColHeaders="0" workbookViewId="0">
      <pane topLeftCell="A1" activePane="topLeft"/>
      <selection activeCell="A1" sqref="A1"/>
    </sheetView>
  </sheetViews>
  <sheetFormatPr defaultColWidth="9" defaultRowHeight="14.25" customHeight="1" outlineLevelCol="4"/>
  <cols>
    <col min="1" max="1" width="10.1296296296296" style="92" customWidth="1"/>
    <col min="2" max="2" width="12.5" style="92" customWidth="1"/>
    <col min="3" max="3" width="9" style="1"/>
    <col min="4" max="4" width="29.25" style="1" customWidth="1"/>
    <col min="5" max="5" width="12.3796296296296" style="1" customWidth="1"/>
    <col min="6" max="6" width="9" style="1" customWidth="1"/>
    <col min="7" max="16384" width="9" style="1"/>
  </cols>
  <sheetData>
    <row r="1" customHeight="1" spans="1:5">
      <c r="A1" s="84" t="s">
        <v>6</v>
      </c>
      <c r="B1" s="84" t="s">
        <v>5</v>
      </c>
      <c r="D1" s="33" t="s">
        <v>126</v>
      </c>
      <c r="E1" s="33" t="s">
        <v>125</v>
      </c>
    </row>
    <row r="2" customHeight="1" spans="1:5">
      <c r="A2" s="59" t="s">
        <v>169</v>
      </c>
      <c r="B2" s="59" t="s">
        <v>170</v>
      </c>
      <c r="D2" s="93" t="s">
        <v>133</v>
      </c>
      <c r="E2" s="93">
        <v>1000</v>
      </c>
    </row>
    <row r="3" customHeight="1" spans="1:5">
      <c r="A3" s="59" t="s">
        <v>171</v>
      </c>
      <c r="B3" s="59" t="s">
        <v>172</v>
      </c>
      <c r="D3" s="93" t="s">
        <v>142</v>
      </c>
      <c r="E3" s="93">
        <v>2000</v>
      </c>
    </row>
    <row r="4" customHeight="1" spans="1:5">
      <c r="A4" s="59" t="s">
        <v>173</v>
      </c>
      <c r="B4" s="59" t="s">
        <v>174</v>
      </c>
      <c r="D4" s="93" t="s">
        <v>151</v>
      </c>
      <c r="E4" s="93">
        <v>3000</v>
      </c>
    </row>
    <row r="5" customHeight="1" spans="1:5">
      <c r="A5" s="59" t="s">
        <v>175</v>
      </c>
      <c r="B5" s="59" t="s">
        <v>176</v>
      </c>
      <c r="D5" s="93" t="s">
        <v>152</v>
      </c>
      <c r="E5" s="93">
        <v>4000</v>
      </c>
    </row>
    <row r="6" customHeight="1" spans="1:5">
      <c r="A6" s="59" t="s">
        <v>177</v>
      </c>
      <c r="B6" s="59" t="s">
        <v>178</v>
      </c>
      <c r="D6" s="93" t="s">
        <v>153</v>
      </c>
      <c r="E6" s="93">
        <v>5000</v>
      </c>
    </row>
    <row r="7" customHeight="1" spans="1:5">
      <c r="A7" s="59" t="s">
        <v>179</v>
      </c>
      <c r="B7" s="59" t="s">
        <v>180</v>
      </c>
      <c r="D7" s="93" t="s">
        <v>155</v>
      </c>
      <c r="E7" s="93">
        <v>6000</v>
      </c>
    </row>
    <row r="8" customHeight="1" spans="1:5">
      <c r="A8" s="59" t="s">
        <v>181</v>
      </c>
      <c r="B8" s="59" t="s">
        <v>131</v>
      </c>
      <c r="D8" s="93" t="s">
        <v>157</v>
      </c>
      <c r="E8" s="93">
        <v>7000</v>
      </c>
    </row>
    <row r="9" customHeight="1" spans="1:5">
      <c r="A9" s="94" t="s">
        <v>182</v>
      </c>
      <c r="B9" s="94" t="s">
        <v>183</v>
      </c>
      <c r="D9" s="95" t="s">
        <v>162</v>
      </c>
      <c r="E9" s="95">
        <v>8000</v>
      </c>
    </row>
    <row r="10" customHeight="1" spans="1:5">
      <c r="A10" s="59"/>
      <c r="B10" s="59"/>
      <c r="D10" s="95" t="s">
        <v>167</v>
      </c>
      <c r="E10" s="95">
        <v>9000</v>
      </c>
    </row>
    <row r="11" customHeight="1" spans="1:2">
      <c r="A11" s="59"/>
      <c r="B11" s="59"/>
    </row>
  </sheetData>
  <pageMargins left="0.7" right="0.7" top="0.75" bottom="0.75" header="0.3" footer="0.3"/>
  <pageSetup paperSize="9" firstPageNumber="4294963191" orientation="portrait" useFirstPageNumber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9"/>
  <sheetViews>
    <sheetView showGridLines="0" showRowColHeaders="0" zoomScale="85" zoomScaleNormal="85" workbookViewId="0">
      <pane xSplit="1" topLeftCell="B1" activePane="topRight" state="frozen"/>
      <selection/>
      <selection pane="topRight" activeCell="K11" sqref="K11"/>
    </sheetView>
  </sheetViews>
  <sheetFormatPr defaultColWidth="8.87962962962963" defaultRowHeight="14.25" customHeight="1"/>
  <cols>
    <col min="1" max="1" width="29.25" style="74" customWidth="1"/>
    <col min="2" max="2" width="18.3796296296296" style="73" customWidth="1"/>
    <col min="3" max="3" width="21.5" style="73" customWidth="1"/>
    <col min="4" max="4" width="40" style="73" customWidth="1"/>
    <col min="5" max="5" width="46.5" style="73" customWidth="1"/>
    <col min="6" max="6" width="8.87962962962963" style="73"/>
    <col min="7" max="7" width="10.5" style="73" customWidth="1"/>
    <col min="8" max="8" width="20.1296296296296" style="73" customWidth="1"/>
    <col min="9" max="9" width="79.5" style="73" customWidth="1"/>
    <col min="10" max="10" width="15.3796296296296" style="73" customWidth="1"/>
    <col min="11" max="11" width="11.5" style="73" customWidth="1"/>
    <col min="12" max="12" width="9.62962962962963" style="73" customWidth="1"/>
    <col min="13" max="13" width="8.5" style="73" customWidth="1"/>
    <col min="14" max="14" width="9.87962962962963" style="73" customWidth="1"/>
    <col min="15" max="15" width="10" style="73" customWidth="1"/>
    <col min="16" max="16" width="9.62962962962963" style="73" customWidth="1"/>
    <col min="17" max="17" width="8.5" style="73" customWidth="1"/>
    <col min="18" max="18" width="9.12962962962963" style="73" customWidth="1"/>
    <col min="19" max="19" width="9.5" style="73" customWidth="1"/>
    <col min="20" max="21" width="9.62962962962963" style="73" customWidth="1"/>
    <col min="22" max="22" width="18" style="73" customWidth="1"/>
    <col min="23" max="23" width="12.3796296296296" style="73" customWidth="1"/>
    <col min="24" max="24" width="18.5" style="73" customWidth="1"/>
    <col min="25" max="25" width="19.3796296296296" style="73" customWidth="1"/>
    <col min="26" max="26" width="15.1296296296296" style="75" customWidth="1"/>
    <col min="27" max="27" width="21.25" style="75" customWidth="1"/>
    <col min="28" max="28" width="17.25" style="76" customWidth="1"/>
    <col min="29" max="16384" width="8.87962962962963" style="73"/>
  </cols>
  <sheetData>
    <row r="1" s="72" customFormat="1" ht="40.8" spans="1:28">
      <c r="A1" s="77" t="s">
        <v>184</v>
      </c>
      <c r="B1" s="77" t="s">
        <v>185</v>
      </c>
      <c r="C1" s="77" t="s">
        <v>36</v>
      </c>
      <c r="D1" s="77" t="s">
        <v>186</v>
      </c>
      <c r="E1" s="77" t="s">
        <v>187</v>
      </c>
      <c r="F1" s="77" t="s">
        <v>79</v>
      </c>
      <c r="G1" s="77" t="s">
        <v>188</v>
      </c>
      <c r="H1" s="77" t="s">
        <v>72</v>
      </c>
      <c r="I1" s="84" t="s">
        <v>189</v>
      </c>
      <c r="J1" s="77" t="s">
        <v>189</v>
      </c>
      <c r="K1" s="85" t="s">
        <v>74</v>
      </c>
      <c r="L1" s="85" t="s">
        <v>190</v>
      </c>
      <c r="M1" s="85" t="s">
        <v>77</v>
      </c>
      <c r="N1" s="85" t="s">
        <v>191</v>
      </c>
      <c r="O1" s="85" t="s">
        <v>192</v>
      </c>
      <c r="P1" s="85" t="s">
        <v>193</v>
      </c>
      <c r="Q1" s="85" t="s">
        <v>28</v>
      </c>
      <c r="R1" s="85" t="s">
        <v>194</v>
      </c>
      <c r="S1" s="85" t="s">
        <v>195</v>
      </c>
      <c r="T1" s="85" t="s">
        <v>196</v>
      </c>
      <c r="U1" s="85" t="s">
        <v>82</v>
      </c>
      <c r="V1" s="77" t="s">
        <v>73</v>
      </c>
      <c r="W1" s="77" t="s">
        <v>197</v>
      </c>
      <c r="X1" s="77" t="s">
        <v>198</v>
      </c>
      <c r="Y1" s="77" t="s">
        <v>199</v>
      </c>
      <c r="Z1" s="77" t="s">
        <v>125</v>
      </c>
      <c r="AA1" s="77" t="s">
        <v>127</v>
      </c>
      <c r="AB1" s="89" t="s">
        <v>37</v>
      </c>
    </row>
    <row r="2" ht="28.8" spans="1:28">
      <c r="A2" s="78" t="s">
        <v>21</v>
      </c>
      <c r="B2" s="78" t="s">
        <v>132</v>
      </c>
      <c r="C2" s="78"/>
      <c r="D2" s="78" t="str">
        <f>IF(L2="","",字段对应!$B$10&amp;"="&amp;VLOOKUP(L2,基础信息!$I$2:$J$6,2,0)&amp;";")&amp;IF(M2="","",字段对应!$B$11&amp;"="&amp;VLOOKUP(M2,基础信息!$K$2:$L$6,2,0)&amp;";")&amp;IF(N2="","",字段对应!$C$2&amp;"="&amp;N2&amp;","&amp;O2&amp;","&amp;P2&amp;";")&amp;IF(Q2="","",字段对应!$B$13&amp;"="&amp;Q2&amp;";")&amp;IF(R2="","",字段对应!$B$14&amp;"="&amp;R2&amp;";")&amp;IF(U2="","",字段对应!$B$22&amp;"="&amp;U2&amp;";")&amp;IF(K2="","",字段对应!$B$21&amp;"="&amp;VLOOKUP(K2,基础信息!$F$2:$G$4,2,0))</f>
        <v>PhotoMode=1;ScanSpeed=2;WlRange=660,650,0.1;Slit1=2.0;LampPos=1</v>
      </c>
      <c r="E2" s="78" t="str">
        <f t="array" ref="E2">_xlfn.SINGLE(IF(W2="","",检测项信息!W2&amp;":"&amp;字段对应!$B$16&amp;"|"))&amp;IF(X2="","",X2&amp;":"&amp;IF(V2="是",字段对应!$C$17,字段对应!$B$17&amp;";"&amp;_xlfn.SINGLE(IF(H2="","",字段对应!$B$15&amp;"="&amp;检测项信息!H2)))&amp;"|")&amp;_xlfn.SINGLE(IF(Y2="",":",Y2&amp;":"))&amp;IF(V2="是",字段对应!$C$18,字段对应!$B$18&amp;";"&amp;_xlfn.SINGLE(IF(H2="","",字段对应!$B$15&amp;"="&amp;检测项信息!H2))&amp;_xlfn.SINGLE(IF(AND(T2="",S2=""),"",";"&amp;字段对应!$B$20&amp;"="&amp;T2&amp;";"&amp;字段对应!$B$19&amp;"="&amp;S2)))</f>
        <v>空气:Zero;Wl=546|空气:Measure;Wl=546</v>
      </c>
      <c r="F2" s="78">
        <v>1</v>
      </c>
      <c r="G2" s="78"/>
      <c r="H2" s="78">
        <v>546</v>
      </c>
      <c r="I2" s="78" t="str">
        <f>VLOOKUP(J2,字段对应!$D$2:$E$8,2,0)</f>
        <v>Validation.ViewModel.DataStructure.FindMaxOffsetUVTestTool</v>
      </c>
      <c r="J2" s="78" t="s">
        <v>200</v>
      </c>
      <c r="K2" s="86" t="s">
        <v>31</v>
      </c>
      <c r="L2" s="86" t="s">
        <v>89</v>
      </c>
      <c r="M2" s="86" t="s">
        <v>94</v>
      </c>
      <c r="N2" s="86">
        <v>660</v>
      </c>
      <c r="O2" s="86">
        <v>650</v>
      </c>
      <c r="P2" s="86">
        <v>0.1</v>
      </c>
      <c r="Q2" s="86"/>
      <c r="R2" s="86" t="s">
        <v>99</v>
      </c>
      <c r="S2" s="86"/>
      <c r="T2" s="86"/>
      <c r="U2" s="86"/>
      <c r="V2" s="78" t="s">
        <v>87</v>
      </c>
      <c r="W2" s="78"/>
      <c r="X2" s="78" t="s">
        <v>201</v>
      </c>
      <c r="Y2" s="78" t="s">
        <v>201</v>
      </c>
      <c r="Z2" s="78" t="e">
        <f>VLOOKUP(A2,对应信息!$D$2:$E$10,2,0)</f>
        <v>#N/A</v>
      </c>
      <c r="AA2" s="78" t="e">
        <f t="shared" ref="AA2:AA10" si="0">IF(Z1=Z2,AA1+1,Z2+1)</f>
        <v>#N/A</v>
      </c>
      <c r="AB2" s="90" t="s">
        <v>99</v>
      </c>
    </row>
    <row r="3" ht="44.25" customHeight="1" spans="1:28">
      <c r="A3" s="78" t="s">
        <v>25</v>
      </c>
      <c r="B3" s="78" t="s">
        <v>31</v>
      </c>
      <c r="C3" s="79"/>
      <c r="D3" s="78" t="str">
        <f>IF(L3="","",字段对应!$B$10&amp;"="&amp;VLOOKUP(L3,基础信息!$I$2:$J$6,2,0)&amp;";")&amp;IF(M3="","",字段对应!$B$11&amp;"="&amp;VLOOKUP(M3,基础信息!$K$2:$L$6,2,0)&amp;";")&amp;IF(N3="","",字段对应!$C$2&amp;"="&amp;N3&amp;","&amp;O3&amp;","&amp;P3&amp;";")&amp;IF(Q3="","",字段对应!$B$13&amp;"="&amp;Q3&amp;";")&amp;IF(R3="","",字段对应!$B$14&amp;"="&amp;R3&amp;";")&amp;IF(U3="","",字段对应!$B$22&amp;"="&amp;U3&amp;";")&amp;IF(K3="","",字段对应!$B$21&amp;"="&amp;VLOOKUP(K3,基础信息!$F$2:$G$4,2,0))</f>
        <v>PhotoMode=2;ScanSpeed=2;WlRange=660,480,0.1;Gain=4;Slit1=2.0;LampPos=1</v>
      </c>
      <c r="E3" s="78" t="str">
        <f t="array" ref="E3">_xlfn.SINGLE(IF(W3="","",检测项信息!W3&amp;":"&amp;字段对应!$B$16&amp;"|"))&amp;IF(X3="","",X3&amp;":"&amp;IF(V3="是",字段对应!$C$17,字段对应!$B$17&amp;";"&amp;_xlfn.SINGLE(IF(H3="","",字段对应!$B$15&amp;"="&amp;检测项信息!H3)))&amp;"|")&amp;_xlfn.SINGLE(IF(Y3="",":",Y3&amp;":"))&amp;IF(V3="是",字段对应!$C$18,字段对应!$B$18&amp;";"&amp;_xlfn.SINGLE(IF(H3="","",字段对应!$B$15&amp;"="&amp;检测项信息!H3))&amp;_xlfn.SINGLE(IF(AND(T3="",S3=""),"",";"&amp;字段对应!$B$20&amp;"="&amp;T3&amp;";"&amp;字段对应!$B$19&amp;"="&amp;S3)))</f>
        <v>空气:Scan</v>
      </c>
      <c r="F3" s="78">
        <v>1</v>
      </c>
      <c r="G3" s="78"/>
      <c r="H3" s="80" t="s">
        <v>202</v>
      </c>
      <c r="I3" s="78" t="str">
        <f>VLOOKUP(J3,字段对应!$D$2:$E$8,2,0)</f>
        <v>Validation.ViewModel.DataStructure.FindPeakAndAverageUVTestTool</v>
      </c>
      <c r="J3" s="78" t="s">
        <v>203</v>
      </c>
      <c r="K3" s="86" t="s">
        <v>31</v>
      </c>
      <c r="L3" s="86" t="s">
        <v>93</v>
      </c>
      <c r="M3" s="86" t="s">
        <v>94</v>
      </c>
      <c r="N3" s="86">
        <v>660</v>
      </c>
      <c r="O3" s="86">
        <v>480</v>
      </c>
      <c r="P3" s="86">
        <v>0.1</v>
      </c>
      <c r="Q3" s="86">
        <v>4</v>
      </c>
      <c r="R3" s="86" t="s">
        <v>99</v>
      </c>
      <c r="S3" s="86"/>
      <c r="T3" s="86"/>
      <c r="U3" s="86"/>
      <c r="V3" s="78" t="s">
        <v>83</v>
      </c>
      <c r="W3" s="78"/>
      <c r="X3" s="78"/>
      <c r="Y3" s="78" t="s">
        <v>201</v>
      </c>
      <c r="Z3" s="78" t="e">
        <f>VLOOKUP(A3,对应信息!$D$2:$E$10,2,0)</f>
        <v>#N/A</v>
      </c>
      <c r="AA3" s="78" t="e">
        <f t="shared" si="0"/>
        <v>#N/A</v>
      </c>
      <c r="AB3" s="90"/>
    </row>
    <row r="4" ht="44.25" customHeight="1" spans="1:28">
      <c r="A4" s="78" t="s">
        <v>25</v>
      </c>
      <c r="B4" s="78" t="s">
        <v>33</v>
      </c>
      <c r="C4" s="79"/>
      <c r="D4" s="78" t="str">
        <f>IF(L4="","",字段对应!$B$10&amp;"="&amp;VLOOKUP(L4,基础信息!$I$2:$J$6,2,0)&amp;";")&amp;IF(M4="","",字段对应!$B$11&amp;"="&amp;VLOOKUP(M4,基础信息!$K$2:$L$6,2,0)&amp;";")&amp;IF(N4="","",字段对应!$C$2&amp;"="&amp;N4&amp;","&amp;O4&amp;","&amp;P4&amp;";")&amp;IF(Q4="","",字段对应!$B$13&amp;"="&amp;Q4&amp;";")&amp;IF(R4="","",字段对应!$B$14&amp;"="&amp;R4&amp;";")&amp;IF(U4="","",字段对应!$B$22&amp;"="&amp;U4&amp;";")&amp;IF(K4="","",字段对应!$B$21&amp;"="&amp;VLOOKUP(K4,基础信息!$F$2:$G$4,2,0))</f>
        <v>PhotoMode=2;ScanSpeed=2;WlRange=550,290,0.1;Gain=3;Slit1=2.0;LampPos=2</v>
      </c>
      <c r="E4" s="78" t="str">
        <f t="array" ref="E4">_xlfn.SINGLE(IF(W4="","",检测项信息!W4&amp;":"&amp;字段对应!$B$16&amp;"|"))&amp;IF(X4="","",X4&amp;":"&amp;IF(V4="是",字段对应!$C$17,字段对应!$B$17&amp;";"&amp;_xlfn.SINGLE(IF(H4="","",字段对应!$B$15&amp;"="&amp;检测项信息!H4)))&amp;"|")&amp;_xlfn.SINGLE(IF(Y4="",":",Y4&amp;":"))&amp;IF(V4="是",字段对应!$C$18,字段对应!$B$18&amp;";"&amp;_xlfn.SINGLE(IF(H4="","",字段对应!$B$15&amp;"="&amp;检测项信息!H4))&amp;_xlfn.SINGLE(IF(AND(T4="",S4=""),"",";"&amp;字段对应!$B$20&amp;"="&amp;T4&amp;";"&amp;字段对应!$B$19&amp;"="&amp;S4)))</f>
        <v>空气:Scan</v>
      </c>
      <c r="F4" s="78">
        <v>1</v>
      </c>
      <c r="G4" s="78"/>
      <c r="H4" s="78" t="s">
        <v>204</v>
      </c>
      <c r="I4" s="78" t="str">
        <f>VLOOKUP(J4,字段对应!$D$2:$E$8,2,0)</f>
        <v>Validation.ViewModel.DataStructure.FindPeakAndAverageUVTestTool</v>
      </c>
      <c r="J4" s="78" t="s">
        <v>203</v>
      </c>
      <c r="K4" s="86" t="s">
        <v>33</v>
      </c>
      <c r="L4" s="86" t="s">
        <v>93</v>
      </c>
      <c r="M4" s="86" t="s">
        <v>94</v>
      </c>
      <c r="N4" s="86">
        <v>550</v>
      </c>
      <c r="O4" s="86">
        <v>290</v>
      </c>
      <c r="P4" s="86">
        <v>0.1</v>
      </c>
      <c r="Q4" s="86">
        <v>3</v>
      </c>
      <c r="R4" s="86" t="s">
        <v>99</v>
      </c>
      <c r="S4" s="86"/>
      <c r="T4" s="86"/>
      <c r="U4" s="86"/>
      <c r="V4" s="78" t="s">
        <v>83</v>
      </c>
      <c r="W4" s="78"/>
      <c r="X4" s="78"/>
      <c r="Y4" s="78" t="s">
        <v>201</v>
      </c>
      <c r="Z4" s="78" t="e">
        <f>VLOOKUP(A4,对应信息!$D$2:$E$10,2,0)</f>
        <v>#N/A</v>
      </c>
      <c r="AA4" s="78" t="e">
        <f t="shared" si="0"/>
        <v>#N/A</v>
      </c>
      <c r="AB4" s="90"/>
    </row>
    <row r="5" ht="46.5" customHeight="1" spans="1:28">
      <c r="A5" s="78" t="s">
        <v>25</v>
      </c>
      <c r="B5" s="78" t="s">
        <v>32</v>
      </c>
      <c r="C5" s="78"/>
      <c r="D5" s="78" t="str">
        <f>IF(L5="","",字段对应!$B$10&amp;"="&amp;VLOOKUP(L5,基础信息!$I$2:$J$6,2,0)&amp;";")&amp;IF(M5="","",字段对应!$B$11&amp;"="&amp;VLOOKUP(M5,基础信息!$K$2:$L$6,2,0)&amp;";")&amp;IF(N5="","",字段对应!$C$2&amp;"="&amp;N5&amp;","&amp;O5&amp;","&amp;P5&amp;";")&amp;IF(Q5="","",字段对应!$B$13&amp;"="&amp;Q5&amp;";")&amp;IF(R5="","",字段对应!$B$14&amp;"="&amp;R5&amp;";")&amp;IF(U5="","",字段对应!$B$22&amp;"="&amp;U5&amp;";")&amp;IF(K5="","",字段对应!$B$21&amp;"="&amp;VLOOKUP(K5,基础信息!$F$2:$G$4,2,0))</f>
        <v>PhotoMode=0;ScanSpeed=2;WlRange=810,800,0.1;Slit1=2.0;</v>
      </c>
      <c r="E5" s="78" t="str">
        <f t="array" ref="E5">_xlfn.SINGLE(IF(W5="","",检测项信息!W5&amp;":"&amp;字段对应!$B$16&amp;"|"))&amp;IF(X5="","",X5&amp;":"&amp;IF(V5="是",字段对应!$C$17,字段对应!$B$17&amp;";"&amp;_xlfn.SINGLE(IF(H5="","",字段对应!$B$15&amp;"="&amp;检测项信息!H5)))&amp;"|")&amp;_xlfn.SINGLE(IF(Y5="",":",Y5&amp;":"))&amp;IF(V5="是",字段对应!$C$18,字段对应!$B$18&amp;";"&amp;_xlfn.SINGLE(IF(H5="","",字段对应!$B$15&amp;"="&amp;检测项信息!H5))&amp;_xlfn.SINGLE(IF(AND(T5="",S5=""),"",";"&amp;字段对应!$B$20&amp;"="&amp;T5&amp;";"&amp;字段对应!$B$19&amp;"="&amp;S5)))</f>
        <v>空气:BaseLine|镨钕滤光片:Scan</v>
      </c>
      <c r="F5" s="78">
        <v>1</v>
      </c>
      <c r="G5" s="78"/>
      <c r="H5" s="78" t="s">
        <v>135</v>
      </c>
      <c r="I5" s="78" t="str">
        <f>VLOOKUP(J5,字段对应!$D$2:$E$8,2,0)</f>
        <v>Validation.ViewModel.DataStructure.FindPeakAndAverageUVTestTool</v>
      </c>
      <c r="J5" s="78" t="s">
        <v>203</v>
      </c>
      <c r="K5" s="86"/>
      <c r="L5" s="86" t="s">
        <v>84</v>
      </c>
      <c r="M5" s="86" t="s">
        <v>94</v>
      </c>
      <c r="N5" s="86">
        <v>810</v>
      </c>
      <c r="O5" s="86">
        <v>800</v>
      </c>
      <c r="P5" s="86">
        <v>0.1</v>
      </c>
      <c r="Q5" s="86"/>
      <c r="R5" s="86" t="s">
        <v>99</v>
      </c>
      <c r="S5" s="86"/>
      <c r="T5" s="86"/>
      <c r="U5" s="86"/>
      <c r="V5" s="78" t="s">
        <v>83</v>
      </c>
      <c r="W5" s="78"/>
      <c r="X5" s="78" t="s">
        <v>201</v>
      </c>
      <c r="Y5" s="78" t="s">
        <v>32</v>
      </c>
      <c r="Z5" s="78" t="e">
        <f>VLOOKUP(A5,对应信息!$D$2:$E$10,2,0)</f>
        <v>#N/A</v>
      </c>
      <c r="AA5" s="78" t="e">
        <f t="shared" si="0"/>
        <v>#N/A</v>
      </c>
      <c r="AB5" s="90"/>
    </row>
    <row r="6" ht="44.25" customHeight="1" spans="1:28">
      <c r="A6" s="78" t="s">
        <v>25</v>
      </c>
      <c r="B6" s="78" t="s">
        <v>34</v>
      </c>
      <c r="C6" s="78"/>
      <c r="D6" s="78" t="str">
        <f>IF(L6="","",字段对应!$B$10&amp;"="&amp;VLOOKUP(L6,基础信息!$I$2:$J$6,2,0)&amp;";")&amp;IF(M6="","",字段对应!$B$11&amp;"="&amp;VLOOKUP(M6,基础信息!$K$2:$L$6,2,0)&amp;";")&amp;IF(N6="","",字段对应!$C$2&amp;"="&amp;N6&amp;","&amp;O6&amp;","&amp;P6&amp;";")&amp;IF(Q6="","",字段对应!$B$13&amp;"="&amp;Q6&amp;";")&amp;IF(R6="","",字段对应!$B$14&amp;"="&amp;R6&amp;";")&amp;IF(U6="","",字段对应!$B$22&amp;"="&amp;U6&amp;";")&amp;IF(K6="","",字段对应!$B$21&amp;"="&amp;VLOOKUP(K6,基础信息!$F$2:$G$4,2,0))</f>
        <v>PhotoMode=0;ScanSpeed=2;WlRange=645,235,0.1;Slit1=2.0;</v>
      </c>
      <c r="E6" s="78" t="str">
        <f t="array" ref="E6">_xlfn.SINGLE(IF(W6="","",检测项信息!W6&amp;":"&amp;字段对应!$B$16&amp;"|"))&amp;IF(X6="","",X6&amp;":"&amp;IF(V6="是",字段对应!$C$17,字段对应!$B$17&amp;";"&amp;_xlfn.SINGLE(IF(H6="","",字段对应!$B$15&amp;"="&amp;检测项信息!H6)))&amp;"|")&amp;_xlfn.SINGLE(IF(Y6="",":",Y6&amp;":"))&amp;IF(V6="是",字段对应!$C$18,字段对应!$B$18&amp;";"&amp;_xlfn.SINGLE(IF(H6="","",字段对应!$B$15&amp;"="&amp;检测项信息!H6))&amp;_xlfn.SINGLE(IF(AND(T6="",S6=""),"",";"&amp;字段对应!$B$20&amp;"="&amp;T6&amp;";"&amp;字段对应!$B$19&amp;"="&amp;S6)))</f>
        <v>空气:BaseLine|钬溶液:Scan</v>
      </c>
      <c r="F6" s="78">
        <v>1</v>
      </c>
      <c r="G6" s="78"/>
      <c r="H6" s="78" t="s">
        <v>205</v>
      </c>
      <c r="I6" s="78" t="str">
        <f>VLOOKUP(J6,字段对应!$D$2:$E$8,2,0)</f>
        <v>Validation.ViewModel.DataStructure.FindPeakAndAverageUVTestTool</v>
      </c>
      <c r="J6" s="78" t="s">
        <v>203</v>
      </c>
      <c r="K6" s="86"/>
      <c r="L6" s="86" t="s">
        <v>84</v>
      </c>
      <c r="M6" s="86" t="s">
        <v>94</v>
      </c>
      <c r="N6" s="86">
        <v>645</v>
      </c>
      <c r="O6" s="86">
        <v>235</v>
      </c>
      <c r="P6" s="86">
        <v>0.1</v>
      </c>
      <c r="Q6" s="86"/>
      <c r="R6" s="86" t="s">
        <v>99</v>
      </c>
      <c r="S6" s="86"/>
      <c r="T6" s="86"/>
      <c r="U6" s="86"/>
      <c r="V6" s="78" t="s">
        <v>83</v>
      </c>
      <c r="W6" s="78"/>
      <c r="X6" s="78" t="s">
        <v>201</v>
      </c>
      <c r="Y6" s="78" t="s">
        <v>34</v>
      </c>
      <c r="Z6" s="78" t="e">
        <f>VLOOKUP(A6,对应信息!$D$2:$E$10,2,0)</f>
        <v>#N/A</v>
      </c>
      <c r="AA6" s="78" t="e">
        <f t="shared" si="0"/>
        <v>#N/A</v>
      </c>
      <c r="AB6" s="90"/>
    </row>
    <row r="7" ht="28.8" spans="1:28">
      <c r="A7" s="78" t="s">
        <v>35</v>
      </c>
      <c r="B7" s="28" t="s">
        <v>206</v>
      </c>
      <c r="C7" s="78"/>
      <c r="D7" s="78" t="str">
        <f>IF(L7="","",字段对应!$B$10&amp;"="&amp;VLOOKUP(L7,基础信息!$I$2:$J$6,2,0)&amp;";")&amp;IF(M7="","",字段对应!$B$11&amp;"="&amp;VLOOKUP(M7,基础信息!$K$2:$L$6,2,0)&amp;";")&amp;IF(N7="","",字段对应!$C$2&amp;"="&amp;N7&amp;","&amp;O7&amp;","&amp;P7&amp;";")&amp;IF(Q7="","",字段对应!$B$13&amp;"="&amp;Q7&amp;";")&amp;IF(R7="","",字段对应!$B$14&amp;"="&amp;R7&amp;";")&amp;IF(U7="","",字段对应!$B$22&amp;"="&amp;U7&amp;";")&amp;IF(K7="","",字段对应!$B$21&amp;"="&amp;VLOOKUP(K7,基础信息!$F$2:$G$4,2,0))</f>
        <v>PhotoMode=1;ScanSpeed=2;WlRange=490,480,1;Slit1=2.0;</v>
      </c>
      <c r="E7" s="78" t="str">
        <f t="array" ref="E7">_xlfn.SINGLE(IF(W7="","",检测项信息!W7&amp;":"&amp;字段对应!$B$16&amp;"|"))&amp;IF(X7="","",X7&amp;":"&amp;IF(V7="是",字段对应!$C$17,字段对应!$B$17&amp;";"&amp;_xlfn.SINGLE(IF(H7="","",字段对应!$B$15&amp;"="&amp;检测项信息!H7)))&amp;"|")&amp;_xlfn.SINGLE(IF(Y7="",":",Y7&amp;":"))&amp;IF(V7="是",字段对应!$C$18,字段对应!$B$18&amp;";"&amp;_xlfn.SINGLE(IF(H7="","",字段对应!$B$15&amp;"="&amp;检测项信息!H7))&amp;_xlfn.SINGLE(IF(AND(T7="",S7=""),"",";"&amp;字段对应!$B$20&amp;"="&amp;T7&amp;";"&amp;字段对应!$B$19&amp;"="&amp;S7)))</f>
        <v>黑挡块:Dark|空气:BaseLine|空气:Scan</v>
      </c>
      <c r="F7" s="78">
        <v>1</v>
      </c>
      <c r="G7" s="78"/>
      <c r="H7" s="78">
        <v>486</v>
      </c>
      <c r="I7" s="78" t="str">
        <f>VLOOKUP(J7,字段对应!$D$2:$E$8,2,0)</f>
        <v>Validation.ViewModel.DataStructure.FindPeakAndAverageUVTestTool</v>
      </c>
      <c r="J7" s="78" t="s">
        <v>203</v>
      </c>
      <c r="K7" s="86"/>
      <c r="L7" s="86" t="s">
        <v>89</v>
      </c>
      <c r="M7" s="86" t="s">
        <v>94</v>
      </c>
      <c r="N7" s="86">
        <v>490</v>
      </c>
      <c r="O7" s="86">
        <v>480</v>
      </c>
      <c r="P7" s="86">
        <v>1</v>
      </c>
      <c r="Q7" s="86"/>
      <c r="R7" s="86" t="s">
        <v>99</v>
      </c>
      <c r="S7" s="86"/>
      <c r="T7" s="86"/>
      <c r="U7" s="86"/>
      <c r="V7" s="78" t="s">
        <v>83</v>
      </c>
      <c r="W7" s="78" t="s">
        <v>207</v>
      </c>
      <c r="X7" s="78" t="s">
        <v>201</v>
      </c>
      <c r="Y7" s="78" t="s">
        <v>201</v>
      </c>
      <c r="Z7" s="78" t="e">
        <f>VLOOKUP(A7,对应信息!$D$2:$E$10,2,0)</f>
        <v>#N/A</v>
      </c>
      <c r="AA7" s="78" t="e">
        <f t="shared" si="0"/>
        <v>#N/A</v>
      </c>
      <c r="AB7" s="90"/>
    </row>
    <row r="8" ht="37.5" customHeight="1" spans="1:28">
      <c r="A8" s="78" t="s">
        <v>35</v>
      </c>
      <c r="B8" s="28" t="s">
        <v>208</v>
      </c>
      <c r="C8" s="78"/>
      <c r="D8" s="78" t="str">
        <f>IF(L8="","",字段对应!$B$10&amp;"="&amp;VLOOKUP(L8,基础信息!$I$2:$J$6,2,0)&amp;";")&amp;IF(M8="","",字段对应!$B$11&amp;"="&amp;VLOOKUP(M8,基础信息!$K$2:$L$6,2,0)&amp;";")&amp;IF(N8="","",字段对应!$C$2&amp;"="&amp;N8&amp;","&amp;O8&amp;","&amp;P8&amp;";")&amp;IF(Q8="","",字段对应!$B$13&amp;"="&amp;Q8&amp;";")&amp;IF(R8="","",字段对应!$B$14&amp;"="&amp;R8&amp;";")&amp;IF(U8="","",字段对应!$B$22&amp;"="&amp;U8&amp;";")&amp;IF(K8="","",字段对应!$B$21&amp;"="&amp;VLOOKUP(K8,基础信息!$F$2:$G$4,2,0))</f>
        <v>PhotoMode=1;ScanSpeed=2;WlRange=660,650,1;Slit1=2.0;</v>
      </c>
      <c r="E8" s="78" t="str">
        <f t="array" ref="E8">_xlfn.SINGLE(IF(W8="","",检测项信息!W8&amp;":"&amp;字段对应!$B$16&amp;"|"))&amp;IF(X8="","",X8&amp;":"&amp;IF(V8="是",字段对应!$C$17,字段对应!$B$17&amp;";"&amp;_xlfn.SINGLE(IF(H8="","",字段对应!$B$15&amp;"="&amp;检测项信息!H8)))&amp;"|")&amp;_xlfn.SINGLE(IF(Y8="",":",Y8&amp;":"))&amp;IF(V8="是",字段对应!$C$18,字段对应!$B$18&amp;";"&amp;_xlfn.SINGLE(IF(H8="","",字段对应!$B$15&amp;"="&amp;检测项信息!H8))&amp;_xlfn.SINGLE(IF(AND(T8="",S8=""),"",";"&amp;字段对应!$B$20&amp;"="&amp;T8&amp;";"&amp;字段对应!$B$19&amp;"="&amp;S8)))</f>
        <v>黑挡块:Dark|空气:BaseLine|空气:Scan</v>
      </c>
      <c r="F8" s="78">
        <v>1</v>
      </c>
      <c r="G8" s="78"/>
      <c r="H8" s="78">
        <v>656.1</v>
      </c>
      <c r="I8" s="78" t="str">
        <f>VLOOKUP(J8,字段对应!$D$2:$E$8,2,0)</f>
        <v>Validation.ViewModel.DataStructure.FindPeakAndAverageUVTestTool</v>
      </c>
      <c r="J8" s="78" t="s">
        <v>203</v>
      </c>
      <c r="K8" s="86"/>
      <c r="L8" s="86" t="s">
        <v>89</v>
      </c>
      <c r="M8" s="86" t="s">
        <v>94</v>
      </c>
      <c r="N8" s="86">
        <v>660</v>
      </c>
      <c r="O8" s="86">
        <v>650</v>
      </c>
      <c r="P8" s="86">
        <v>1</v>
      </c>
      <c r="Q8" s="86"/>
      <c r="R8" s="86" t="s">
        <v>99</v>
      </c>
      <c r="S8" s="86"/>
      <c r="T8" s="86"/>
      <c r="U8" s="86"/>
      <c r="V8" s="78" t="s">
        <v>83</v>
      </c>
      <c r="W8" s="78" t="s">
        <v>207</v>
      </c>
      <c r="X8" s="78" t="s">
        <v>201</v>
      </c>
      <c r="Y8" s="78" t="s">
        <v>201</v>
      </c>
      <c r="Z8" s="78" t="e">
        <f>VLOOKUP(A8,对应信息!$D$2:$E$10,2,0)</f>
        <v>#N/A</v>
      </c>
      <c r="AA8" s="78" t="e">
        <f t="shared" si="0"/>
        <v>#N/A</v>
      </c>
      <c r="AB8" s="90"/>
    </row>
    <row r="9" ht="51" customHeight="1" spans="1:28">
      <c r="A9" s="81" t="s">
        <v>35</v>
      </c>
      <c r="B9" s="82" t="s">
        <v>42</v>
      </c>
      <c r="C9" s="81"/>
      <c r="D9" s="81" t="str">
        <f>IF(L9="","",字段对应!$B$10&amp;"="&amp;VLOOKUP(L9,基础信息!$I$2:$J$6,2,0)&amp;";")&amp;IF(M9="","",字段对应!$B$11&amp;"="&amp;VLOOKUP(M9,基础信息!$K$2:$L$6,2,0)&amp;";")&amp;IF(N9="","",字段对应!$C$2&amp;"="&amp;N9&amp;","&amp;O9&amp;","&amp;P9&amp;";")&amp;IF(Q9="","",字段对应!$B$13&amp;"="&amp;Q9&amp;";")&amp;IF(R9="","",字段对应!$B$14&amp;"="&amp;R9&amp;";")&amp;IF(U9="","",字段对应!$B$22&amp;"="&amp;U9&amp;";")&amp;IF(K9="","",字段对应!$B$21&amp;"="&amp;VLOOKUP(K9,基础信息!$F$2:$G$4,2,0))</f>
        <v>PhotoMode=1;ScanSpeed=2;WlRange=1100,300,1;Slit1=2.0;ResponseTime=1;LampPos=0</v>
      </c>
      <c r="E9" s="81" t="str">
        <f t="array" ref="E9">_xlfn.SINGLE(IF(W9="","",检测项信息!W9&amp;":"&amp;字段对应!$B$16&amp;"|"))&amp;IF(X9="","",X9&amp;":"&amp;IF(V9="是",字段对应!$C$17,字段对应!$B$17&amp;";"&amp;_xlfn.SINGLE(IF(H9="","",字段对应!$B$15&amp;"="&amp;检测项信息!H9)))&amp;"|")&amp;_xlfn.SINGLE(IF(Y9="",":",Y9&amp;":"))&amp;IF(V9="是",字段对应!$C$18,字段对应!$B$18&amp;";"&amp;_xlfn.SINGLE(IF(H9="","",字段对应!$B$15&amp;"="&amp;检测项信息!H9))&amp;_xlfn.SINGLE(IF(AND(T9="",S9=""),"",";"&amp;字段对应!$B$20&amp;"="&amp;T9&amp;";"&amp;字段对应!$B$19&amp;"="&amp;S9)))</f>
        <v>黑挡块:Dark|空气:BaseLine|空气:Scan</v>
      </c>
      <c r="F9" s="81">
        <v>1</v>
      </c>
      <c r="G9" s="81"/>
      <c r="H9" s="81">
        <v>500</v>
      </c>
      <c r="I9" s="81" t="str">
        <f>VLOOKUP(J9,字段对应!$D$2:$E$8,2,0)</f>
        <v>Validation.ViewModel.DataStructure.FindPeakAndAverageUVTestTool</v>
      </c>
      <c r="J9" s="81" t="s">
        <v>203</v>
      </c>
      <c r="K9" s="87" t="s">
        <v>42</v>
      </c>
      <c r="L9" s="87" t="s">
        <v>89</v>
      </c>
      <c r="M9" s="87" t="s">
        <v>94</v>
      </c>
      <c r="N9" s="87">
        <v>1100</v>
      </c>
      <c r="O9" s="87">
        <v>300</v>
      </c>
      <c r="P9" s="87">
        <v>1</v>
      </c>
      <c r="Q9" s="87"/>
      <c r="R9" s="87" t="s">
        <v>99</v>
      </c>
      <c r="S9" s="87">
        <v>1</v>
      </c>
      <c r="T9" s="87">
        <v>120</v>
      </c>
      <c r="U9" s="87">
        <v>1</v>
      </c>
      <c r="V9" s="81" t="s">
        <v>83</v>
      </c>
      <c r="W9" s="81" t="s">
        <v>207</v>
      </c>
      <c r="X9" s="81" t="s">
        <v>201</v>
      </c>
      <c r="Y9" s="81" t="s">
        <v>201</v>
      </c>
      <c r="Z9" s="78" t="e">
        <f>VLOOKUP(A9,对应信息!$D$2:$E$10,2,0)</f>
        <v>#N/A</v>
      </c>
      <c r="AA9" s="78" t="e">
        <f t="shared" si="0"/>
        <v>#N/A</v>
      </c>
      <c r="AB9" s="91"/>
    </row>
    <row r="10" customFormat="1" ht="51" customHeight="1" spans="1:28">
      <c r="A10" s="81" t="s">
        <v>35</v>
      </c>
      <c r="B10" s="82" t="s">
        <v>31</v>
      </c>
      <c r="C10" s="81"/>
      <c r="D10" s="81" t="str">
        <f>IF(L10="","",字段对应!$B$10&amp;"="&amp;VLOOKUP(L10,基础信息!$I$2:$J$6,2,0)&amp;";")&amp;IF(M10="","",字段对应!$B$11&amp;"="&amp;VLOOKUP(M10,基础信息!$K$2:$L$6,2,0)&amp;";")&amp;IF(N10="","",字段对应!$C$2&amp;"="&amp;N10&amp;","&amp;O10&amp;","&amp;P10&amp;";")&amp;IF(Q10="","",字段对应!$B$13&amp;"="&amp;Q10&amp;";")&amp;IF(R10="","",字段对应!$B$14&amp;"="&amp;R10&amp;";")&amp;IF(U10="","",字段对应!$B$22&amp;"="&amp;U10&amp;";")&amp;IF(K10="","",字段对应!$B$21&amp;"="&amp;VLOOKUP(K10,基础信息!$F$2:$G$4,2,0))</f>
        <v>PhotoMode=1;ScanSpeed=2;WlRange=700,190,1;Slit1=2.0;ResponseTime=1;LampPos=1</v>
      </c>
      <c r="E10" s="81" t="str">
        <f t="array" ref="E10">_xlfn.SINGLE(IF(W10="","",检测项信息!W10&amp;":"&amp;字段对应!$B$16&amp;"|"))&amp;IF(X10="","",X10&amp;":"&amp;IF(V10="是",字段对应!$C$17,字段对应!$B$17&amp;";"&amp;_xlfn.SINGLE(IF(H10="","",字段对应!$B$15&amp;"="&amp;检测项信息!H10)))&amp;"|")&amp;_xlfn.SINGLE(IF(Y10="",":",Y10&amp;":"))&amp;IF(V10="是",字段对应!$C$18,字段对应!$B$18&amp;";"&amp;_xlfn.SINGLE(IF(H10="","",字段对应!$B$15&amp;"="&amp;检测项信息!H10))&amp;_xlfn.SINGLE(IF(AND(T10="",S10=""),"",";"&amp;字段对应!$B$20&amp;"="&amp;T10&amp;";"&amp;字段对应!$B$19&amp;"="&amp;S10)))</f>
        <v>黑挡块:Dark|空气:BaseLine|空气:Scan</v>
      </c>
      <c r="F10" s="81">
        <v>1</v>
      </c>
      <c r="G10" s="81"/>
      <c r="H10" s="81">
        <v>500</v>
      </c>
      <c r="I10" s="81" t="str">
        <f>VLOOKUP(J10,字段对应!$D$2:$E$8,2,0)</f>
        <v>Validation.ViewModel.DataStructure.FindPeakAndAverageUVTestTool</v>
      </c>
      <c r="J10" s="81" t="s">
        <v>203</v>
      </c>
      <c r="K10" s="87" t="s">
        <v>31</v>
      </c>
      <c r="L10" s="87" t="s">
        <v>89</v>
      </c>
      <c r="M10" s="87" t="s">
        <v>94</v>
      </c>
      <c r="N10" s="87">
        <v>700</v>
      </c>
      <c r="O10" s="87">
        <v>190</v>
      </c>
      <c r="P10" s="87">
        <v>1</v>
      </c>
      <c r="Q10" s="87"/>
      <c r="R10" s="87" t="s">
        <v>99</v>
      </c>
      <c r="S10" s="87">
        <v>1</v>
      </c>
      <c r="T10" s="87">
        <v>120</v>
      </c>
      <c r="U10" s="87">
        <v>1</v>
      </c>
      <c r="V10" s="81" t="s">
        <v>83</v>
      </c>
      <c r="W10" s="81" t="s">
        <v>207</v>
      </c>
      <c r="X10" s="81" t="s">
        <v>201</v>
      </c>
      <c r="Y10" s="81" t="s">
        <v>201</v>
      </c>
      <c r="Z10" s="78" t="e">
        <f>VLOOKUP(A10,对应信息!$D$2:$E$10,2,0)</f>
        <v>#N/A</v>
      </c>
      <c r="AA10" s="78" t="e">
        <f t="shared" si="0"/>
        <v>#N/A</v>
      </c>
      <c r="AB10" s="91"/>
    </row>
    <row r="11" customFormat="1" ht="51" customHeight="1" spans="1:28">
      <c r="A11" s="81" t="s">
        <v>133</v>
      </c>
      <c r="B11" s="28" t="s">
        <v>208</v>
      </c>
      <c r="C11" s="81"/>
      <c r="D11" s="81" t="str">
        <f>IF(L11="","",字段对应!$B$10&amp;"="&amp;VLOOKUP(L11,基础信息!$I$2:$J$6,2,0)&amp;";")&amp;IF(M11="","",字段对应!$B$11&amp;"="&amp;VLOOKUP(M11,基础信息!$K$2:$L$6,2,0)&amp;";")&amp;IF(N11="","",字段对应!$C$2&amp;"="&amp;N11&amp;","&amp;O11&amp;","&amp;P11&amp;";")&amp;IF(Q11="","",字段对应!$B$13&amp;"="&amp;Q11&amp;";")&amp;IF(R11="","",字段对应!$B$14&amp;"="&amp;R11&amp;";")&amp;IF(U11="","",字段对应!$B$22&amp;"="&amp;U11&amp;";")&amp;IF(K11="","",字段对应!$B$21&amp;"="&amp;VLOOKUP(K11,基础信息!$F$2:$G$4,2,0))</f>
        <v>PhotoMode=2;ScanSpeed=2;WlRange=660,650,0.02;Gain=4;Slit1=2.0;LampPos=1</v>
      </c>
      <c r="E11" s="81" t="str">
        <f t="array" ref="E11">_xlfn.SINGLE(IF(W11="","",检测项信息!W11&amp;":"&amp;字段对应!$B$16&amp;"|"))&amp;IF(X11="","",X11&amp;":"&amp;IF(V11="是",字段对应!$C$17,字段对应!$B$17&amp;";"&amp;_xlfn.SINGLE(IF(H11="","",字段对应!$B$15&amp;"="&amp;检测项信息!H11)))&amp;"|")&amp;_xlfn.SINGLE(IF(Y11="",":",Y11&amp;":"))&amp;IF(V11="是",字段对应!$C$18,字段对应!$B$18&amp;";"&amp;_xlfn.SINGLE(IF(H11="","",字段对应!$B$15&amp;"="&amp;检测项信息!H11))&amp;_xlfn.SINGLE(IF(AND(T11="",S11=""),"",";"&amp;字段对应!$B$20&amp;"="&amp;T11&amp;";"&amp;字段对应!$B$19&amp;"="&amp;S11)))</f>
        <v>空气:Scan</v>
      </c>
      <c r="F11" s="81">
        <v>1</v>
      </c>
      <c r="G11" s="81"/>
      <c r="H11" s="78">
        <v>656.1</v>
      </c>
      <c r="I11" s="81" t="str">
        <f>VLOOKUP(J11,字段对应!$D$2:$E$8,2,0)</f>
        <v>Validation.ViewModel.DataStructure.FindPeakAndAverageUVTestTool</v>
      </c>
      <c r="J11" s="81" t="s">
        <v>203</v>
      </c>
      <c r="K11" s="87" t="s">
        <v>31</v>
      </c>
      <c r="L11" s="87" t="s">
        <v>93</v>
      </c>
      <c r="M11" s="87" t="s">
        <v>94</v>
      </c>
      <c r="N11" s="87">
        <v>660</v>
      </c>
      <c r="O11" s="87">
        <v>650</v>
      </c>
      <c r="P11" s="87">
        <v>0.02</v>
      </c>
      <c r="Q11" s="87">
        <v>4</v>
      </c>
      <c r="R11" s="87" t="s">
        <v>99</v>
      </c>
      <c r="S11" s="87"/>
      <c r="T11" s="87"/>
      <c r="U11" s="87"/>
      <c r="V11" s="81" t="s">
        <v>83</v>
      </c>
      <c r="W11" s="81"/>
      <c r="X11" s="81"/>
      <c r="Y11" s="81" t="s">
        <v>201</v>
      </c>
      <c r="Z11" s="78">
        <f>VLOOKUP(A11,对应信息!$D$2:$E$10,2,0)</f>
        <v>1000</v>
      </c>
      <c r="AA11" s="78" t="e">
        <f>IF(Z9=Z11,AA9+1,Z11+1)</f>
        <v>#N/A</v>
      </c>
      <c r="AB11" s="91"/>
    </row>
    <row r="12" customFormat="1" ht="51" customHeight="1" spans="1:28">
      <c r="A12" s="81" t="s">
        <v>133</v>
      </c>
      <c r="B12" s="28" t="s">
        <v>206</v>
      </c>
      <c r="C12" s="81"/>
      <c r="D12" s="81" t="str">
        <f>IF(L12="","",字段对应!$B$10&amp;"="&amp;VLOOKUP(L12,基础信息!$I$2:$J$6,2,0)&amp;";")&amp;IF(M12="","",字段对应!$B$11&amp;"="&amp;VLOOKUP(M12,基础信息!$K$2:$L$6,2,0)&amp;";")&amp;IF(N12="","",字段对应!$C$2&amp;"="&amp;N12&amp;","&amp;O12&amp;","&amp;P12&amp;";")&amp;IF(Q12="","",字段对应!$B$13&amp;"="&amp;Q12&amp;";")&amp;IF(R12="","",字段对应!$B$14&amp;"="&amp;R12&amp;";")&amp;IF(U12="","",字段对应!$B$22&amp;"="&amp;U12&amp;";")&amp;IF(K12="","",字段对应!$B$21&amp;"="&amp;VLOOKUP(K12,基础信息!$F$2:$G$4,2,0))</f>
        <v>PhotoMode=2;ScanSpeed=2;WlRange=490,480,0.02;Gain=4;Slit1=2.0;LampPos=1</v>
      </c>
      <c r="E12" s="81" t="str">
        <f t="array" ref="E12">_xlfn.SINGLE(IF(W12="","",检测项信息!W12&amp;":"&amp;字段对应!$B$16&amp;"|"))&amp;IF(X12="","",X12&amp;":"&amp;IF(V12="是",字段对应!$C$17,字段对应!$B$17&amp;";"&amp;_xlfn.SINGLE(IF(H12="","",字段对应!$B$15&amp;"="&amp;检测项信息!H12)))&amp;"|")&amp;_xlfn.SINGLE(IF(Y12="",":",Y12&amp;":"))&amp;IF(V12="是",字段对应!$C$18,字段对应!$B$18&amp;";"&amp;_xlfn.SINGLE(IF(H12="","",字段对应!$B$15&amp;"="&amp;检测项信息!H12))&amp;_xlfn.SINGLE(IF(AND(T12="",S12=""),"",";"&amp;字段对应!$B$20&amp;"="&amp;T12&amp;";"&amp;字段对应!$B$19&amp;"="&amp;S12)))</f>
        <v>空气:Scan</v>
      </c>
      <c r="F12" s="81">
        <v>1</v>
      </c>
      <c r="G12" s="81"/>
      <c r="H12" s="78">
        <v>486</v>
      </c>
      <c r="I12" s="81" t="str">
        <f>VLOOKUP(J12,字段对应!$D$2:$E$8,2,0)</f>
        <v>Validation.ViewModel.DataStructure.FindPeakAndAverageUVTestTool</v>
      </c>
      <c r="J12" s="81" t="s">
        <v>203</v>
      </c>
      <c r="K12" s="87" t="s">
        <v>31</v>
      </c>
      <c r="L12" s="87" t="s">
        <v>93</v>
      </c>
      <c r="M12" s="87" t="s">
        <v>94</v>
      </c>
      <c r="N12" s="87">
        <v>490</v>
      </c>
      <c r="O12" s="87">
        <v>480</v>
      </c>
      <c r="P12" s="87">
        <v>0.02</v>
      </c>
      <c r="Q12" s="87">
        <v>4</v>
      </c>
      <c r="R12" s="87" t="s">
        <v>99</v>
      </c>
      <c r="S12" s="87"/>
      <c r="T12" s="87"/>
      <c r="U12" s="87"/>
      <c r="V12" s="81" t="s">
        <v>83</v>
      </c>
      <c r="W12" s="81"/>
      <c r="X12" s="81"/>
      <c r="Y12" s="81" t="s">
        <v>201</v>
      </c>
      <c r="Z12" s="78">
        <f>VLOOKUP(A12,对应信息!$D$2:$E$10,2,0)</f>
        <v>1000</v>
      </c>
      <c r="AA12" s="78" t="e">
        <f t="shared" ref="AA12:AA17" si="1">IF(Z11=Z12,AA11+1,Z12+1)</f>
        <v>#N/A</v>
      </c>
      <c r="AB12" s="91"/>
    </row>
    <row r="13" customFormat="1" ht="51" customHeight="1" spans="1:28">
      <c r="A13" s="81" t="s">
        <v>133</v>
      </c>
      <c r="B13" s="28" t="s">
        <v>32</v>
      </c>
      <c r="C13" s="81"/>
      <c r="D13" s="81" t="str">
        <f>IF(L13="","",字段对应!$B$10&amp;"="&amp;VLOOKUP(L13,基础信息!$I$2:$J$6,2,0)&amp;";")&amp;IF(M13="","",字段对应!$B$11&amp;"="&amp;VLOOKUP(M13,基础信息!$K$2:$L$6,2,0)&amp;";")&amp;IF(N13="","",字段对应!$C$2&amp;"="&amp;N13&amp;","&amp;O13&amp;","&amp;P13&amp;";")&amp;IF(Q13="","",字段对应!$B$13&amp;"="&amp;Q13&amp;";")&amp;IF(R13="","",字段对应!$B$14&amp;"="&amp;R13&amp;";")&amp;IF(U13="","",字段对应!$B$22&amp;"="&amp;U13&amp;";")&amp;IF(K13="","",字段对应!$B$21&amp;"="&amp;VLOOKUP(K13,基础信息!$F$2:$G$4,2,0))</f>
        <v>PhotoMode=0;ScanSpeed=2;WlRange=810,800,0.1;Slit1=2.0;</v>
      </c>
      <c r="E13" s="81" t="str">
        <f t="array" ref="E13">_xlfn.SINGLE(IF(W13="","",检测项信息!W13&amp;":"&amp;字段对应!$B$16&amp;"|"))&amp;IF(X13="","",X13&amp;":"&amp;IF(V13="是",字段对应!$C$17,字段对应!$B$17&amp;";"&amp;_xlfn.SINGLE(IF(H13="","",字段对应!$B$15&amp;"="&amp;检测项信息!H13)))&amp;"|")&amp;_xlfn.SINGLE(IF(Y13="",":",Y13&amp;":"))&amp;IF(V13="是",字段对应!$C$18,字段对应!$B$18&amp;";"&amp;_xlfn.SINGLE(IF(H13="","",字段对应!$B$15&amp;"="&amp;检测项信息!H13))&amp;_xlfn.SINGLE(IF(AND(T13="",S13=""),"",";"&amp;字段对应!$B$20&amp;"="&amp;T13&amp;";"&amp;字段对应!$B$19&amp;"="&amp;S13)))</f>
        <v>黑挡块:Dark|空气:BaseLine|镨钕滤光片:Scan</v>
      </c>
      <c r="F13" s="81">
        <v>1</v>
      </c>
      <c r="G13" s="81"/>
      <c r="H13" s="83" t="s">
        <v>135</v>
      </c>
      <c r="I13" s="81" t="str">
        <f>VLOOKUP(J13,字段对应!$D$2:$E$8,2,0)</f>
        <v>Validation.ViewModel.DataStructure.FindPeakAndAverageUVTestTool</v>
      </c>
      <c r="J13" s="81" t="s">
        <v>203</v>
      </c>
      <c r="K13" s="87"/>
      <c r="L13" s="87" t="s">
        <v>84</v>
      </c>
      <c r="M13" s="87" t="s">
        <v>94</v>
      </c>
      <c r="N13" s="87">
        <v>810</v>
      </c>
      <c r="O13" s="87">
        <v>800</v>
      </c>
      <c r="P13" s="87">
        <v>0.1</v>
      </c>
      <c r="Q13" s="87"/>
      <c r="R13" s="87" t="s">
        <v>99</v>
      </c>
      <c r="S13" s="87"/>
      <c r="T13" s="87"/>
      <c r="U13" s="87"/>
      <c r="V13" s="81" t="s">
        <v>83</v>
      </c>
      <c r="W13" s="81" t="s">
        <v>207</v>
      </c>
      <c r="X13" s="81" t="s">
        <v>201</v>
      </c>
      <c r="Y13" s="78" t="s">
        <v>32</v>
      </c>
      <c r="Z13" s="78">
        <f>VLOOKUP(A13,对应信息!$D$2:$E$10,2,0)</f>
        <v>1000</v>
      </c>
      <c r="AA13" s="78" t="e">
        <f t="shared" si="1"/>
        <v>#N/A</v>
      </c>
      <c r="AB13" s="91"/>
    </row>
    <row r="14" customFormat="1" ht="51" customHeight="1" spans="1:28">
      <c r="A14" s="81" t="s">
        <v>133</v>
      </c>
      <c r="B14" s="82" t="s">
        <v>34</v>
      </c>
      <c r="C14" s="81"/>
      <c r="D14" s="81" t="str">
        <f>IF(L14="","",字段对应!$B$10&amp;"="&amp;VLOOKUP(L14,基础信息!$I$2:$J$6,2,0)&amp;";")&amp;IF(M14="","",字段对应!$B$11&amp;"="&amp;VLOOKUP(M14,基础信息!$K$2:$L$6,2,0)&amp;";")&amp;IF(N14="","",字段对应!$C$2&amp;"="&amp;N14&amp;","&amp;O14&amp;","&amp;P14&amp;";")&amp;IF(Q14="","",字段对应!$B$13&amp;"="&amp;Q14&amp;";")&amp;IF(R14="","",字段对应!$B$14&amp;"="&amp;R14&amp;";")&amp;IF(U14="","",字段对应!$B$22&amp;"="&amp;U14&amp;";")&amp;IF(K14="","",字段对应!$B$21&amp;"="&amp;VLOOKUP(K14,基础信息!$F$2:$G$4,2,0))</f>
        <v>PhotoMode=0;ScanSpeed=3;WlRange=645,235,0.1;Slit1=2.0;</v>
      </c>
      <c r="E14" s="81" t="str">
        <f t="array" ref="E14">_xlfn.SINGLE(IF(W14="","",检测项信息!W14&amp;":"&amp;字段对应!$B$16&amp;"|"))&amp;IF(X14="","",X14&amp;":"&amp;IF(V14="是",字段对应!$C$17,字段对应!$B$17&amp;";"&amp;_xlfn.SINGLE(IF(H14="","",字段对应!$B$15&amp;"="&amp;检测项信息!H14)))&amp;"|")&amp;_xlfn.SINGLE(IF(Y14="",":",Y14&amp;":"))&amp;IF(V14="是",字段对应!$C$18,字段对应!$B$18&amp;";"&amp;_xlfn.SINGLE(IF(H14="","",字段对应!$B$15&amp;"="&amp;检测项信息!H14))&amp;_xlfn.SINGLE(IF(AND(T14="",S14=""),"",";"&amp;字段对应!$B$20&amp;"="&amp;T14&amp;";"&amp;字段对应!$B$19&amp;"="&amp;S14)))</f>
        <v>黑挡块:Dark|空气:BaseLine|钬溶液:Scan</v>
      </c>
      <c r="F14" s="81">
        <v>1</v>
      </c>
      <c r="G14" s="81"/>
      <c r="H14" s="81" t="s">
        <v>209</v>
      </c>
      <c r="I14" s="81" t="str">
        <f>VLOOKUP(J14,字段对应!$D$2:$E$8,2,0)</f>
        <v>Validation.ViewModel.DataStructure.FindPeakAndAverageUVTestTool</v>
      </c>
      <c r="J14" s="81" t="s">
        <v>203</v>
      </c>
      <c r="K14" s="87"/>
      <c r="L14" s="87" t="s">
        <v>84</v>
      </c>
      <c r="M14" s="87" t="s">
        <v>98</v>
      </c>
      <c r="N14" s="87">
        <v>645</v>
      </c>
      <c r="O14" s="87">
        <v>235</v>
      </c>
      <c r="P14" s="87">
        <v>0.1</v>
      </c>
      <c r="Q14" s="87"/>
      <c r="R14" s="87" t="s">
        <v>99</v>
      </c>
      <c r="S14" s="87"/>
      <c r="T14" s="87"/>
      <c r="U14" s="87"/>
      <c r="V14" s="81" t="s">
        <v>83</v>
      </c>
      <c r="W14" s="81" t="s">
        <v>207</v>
      </c>
      <c r="X14" s="81" t="s">
        <v>201</v>
      </c>
      <c r="Y14" s="78" t="s">
        <v>34</v>
      </c>
      <c r="Z14" s="78">
        <f>VLOOKUP(A14,对应信息!$D$2:$E$10,2,0)</f>
        <v>1000</v>
      </c>
      <c r="AA14" s="78" t="e">
        <f t="shared" si="1"/>
        <v>#N/A</v>
      </c>
      <c r="AB14" s="91"/>
    </row>
    <row r="15" customFormat="1" ht="39.75" customHeight="1" spans="1:28">
      <c r="A15" s="78" t="s">
        <v>151</v>
      </c>
      <c r="B15" s="78" t="s">
        <v>210</v>
      </c>
      <c r="C15" s="78"/>
      <c r="D15" s="78" t="s">
        <v>211</v>
      </c>
      <c r="E15" s="81" t="str">
        <f t="array" ref="E15">_xlfn.SINGLE(IF(W15="","",检测项信息!W15&amp;":"&amp;字段对应!$B$16&amp;"|"))&amp;IF(X15="","",X15&amp;":"&amp;IF(V15="是",字段对应!$C$17,字段对应!$B$17&amp;";"&amp;_xlfn.SINGLE(IF(H15="","",字段对应!$B$15&amp;"="&amp;检测项信息!H15)))&amp;"|")&amp;_xlfn.SINGLE(IF(Y15="",":",Y15&amp;":"))&amp;IF(V15="是",字段对应!$C$18,字段对应!$B$18&amp;";"&amp;_xlfn.SINGLE(IF(H15="","",字段对应!$B$15&amp;"="&amp;检测项信息!H15))&amp;_xlfn.SINGLE(IF(AND(T15="",S15=""),"",";"&amp;字段对应!$B$20&amp;"="&amp;T15&amp;";"&amp;字段对应!$B$19&amp;"="&amp;S15)))</f>
        <v>黑挡块:Dark|碘化钠空白溶液:Zero;Wl=220|碘化钠溶液:Measure;Wl=220</v>
      </c>
      <c r="F15" s="78">
        <v>3</v>
      </c>
      <c r="G15" s="78">
        <v>1</v>
      </c>
      <c r="H15" s="78" t="s">
        <v>212</v>
      </c>
      <c r="I15" s="81" t="str">
        <f>VLOOKUP(J15,字段对应!$D$2:$E$8,2,0)</f>
        <v>Validation.ViewModel.DataStructure.WlPointsUVTestTool</v>
      </c>
      <c r="J15" s="78" t="s">
        <v>213</v>
      </c>
      <c r="K15" s="86"/>
      <c r="L15" s="86" t="s">
        <v>89</v>
      </c>
      <c r="M15" s="86" t="s">
        <v>94</v>
      </c>
      <c r="N15" s="86"/>
      <c r="O15" s="86"/>
      <c r="P15" s="86"/>
      <c r="Q15" s="86"/>
      <c r="R15" s="86" t="s">
        <v>99</v>
      </c>
      <c r="S15" s="86"/>
      <c r="T15" s="86"/>
      <c r="U15" s="86"/>
      <c r="V15" s="78" t="s">
        <v>87</v>
      </c>
      <c r="W15" s="78" t="s">
        <v>207</v>
      </c>
      <c r="X15" s="78" t="s">
        <v>214</v>
      </c>
      <c r="Y15" s="78" t="s">
        <v>112</v>
      </c>
      <c r="Z15" s="78">
        <f>VLOOKUP(A15,对应信息!$D$2:$E$10,2,0)</f>
        <v>3000</v>
      </c>
      <c r="AA15" s="78">
        <f t="shared" si="1"/>
        <v>3001</v>
      </c>
      <c r="AB15" s="90"/>
    </row>
    <row r="16" customFormat="1" ht="28.8" spans="1:28">
      <c r="A16" s="78" t="s">
        <v>151</v>
      </c>
      <c r="B16" s="78" t="s">
        <v>215</v>
      </c>
      <c r="C16" s="78"/>
      <c r="D16" s="78" t="s">
        <v>211</v>
      </c>
      <c r="E16" s="81" t="str">
        <f t="array" ref="E16">_xlfn.SINGLE(IF(W16="","",检测项信息!W16&amp;":"&amp;字段对应!$B$16&amp;"|"))&amp;IF(X16="","",X16&amp;":"&amp;IF(V16="是",字段对应!$C$17,字段对应!$B$17&amp;";"&amp;_xlfn.SINGLE(IF(H16="","",字段对应!$B$15&amp;"="&amp;检测项信息!H16)))&amp;"|")&amp;_xlfn.SINGLE(IF(Y16="",":",Y16&amp;":"))&amp;IF(V16="是",字段对应!$C$18,字段对应!$B$18&amp;";"&amp;_xlfn.SINGLE(IF(H16="","",字段对应!$B$15&amp;"="&amp;检测项信息!H16))&amp;_xlfn.SINGLE(IF(AND(T16="",S16=""),"",";"&amp;字段对应!$B$20&amp;"="&amp;T16&amp;";"&amp;字段对应!$B$19&amp;"="&amp;S16)))</f>
        <v>黑挡块:Dark|亚硝酸钠空白溶液:Zero;Wl=360|亚硝酸钠溶液:Measure;Wl=360</v>
      </c>
      <c r="F16" s="78">
        <v>3</v>
      </c>
      <c r="G16" s="78">
        <v>1</v>
      </c>
      <c r="H16" s="78" t="s">
        <v>216</v>
      </c>
      <c r="I16" s="81" t="str">
        <f>VLOOKUP(J16,字段对应!$D$2:$E$8,2,0)</f>
        <v>Validation.ViewModel.DataStructure.WlPointsUVTestTool</v>
      </c>
      <c r="J16" s="78" t="s">
        <v>213</v>
      </c>
      <c r="K16" s="86"/>
      <c r="L16" s="86" t="s">
        <v>89</v>
      </c>
      <c r="M16" s="86" t="s">
        <v>94</v>
      </c>
      <c r="N16" s="86"/>
      <c r="O16" s="86"/>
      <c r="P16" s="86"/>
      <c r="Q16" s="86"/>
      <c r="R16" s="86" t="s">
        <v>99</v>
      </c>
      <c r="S16" s="86"/>
      <c r="T16" s="86"/>
      <c r="U16" s="86"/>
      <c r="V16" s="78" t="s">
        <v>87</v>
      </c>
      <c r="W16" s="78" t="s">
        <v>207</v>
      </c>
      <c r="X16" s="78" t="s">
        <v>217</v>
      </c>
      <c r="Y16" s="78" t="s">
        <v>113</v>
      </c>
      <c r="Z16" s="78">
        <f>VLOOKUP(A16,对应信息!$D$2:$E$10,2,0)</f>
        <v>3000</v>
      </c>
      <c r="AA16" s="78">
        <f t="shared" si="1"/>
        <v>3002</v>
      </c>
      <c r="AB16" s="90"/>
    </row>
    <row r="17" s="73" customFormat="1" ht="28.8" spans="1:28">
      <c r="A17" s="78" t="s">
        <v>152</v>
      </c>
      <c r="B17" s="78" t="s">
        <v>61</v>
      </c>
      <c r="C17" s="78"/>
      <c r="D17" s="78" t="str">
        <f>IF(L17="","",[1]字段对应!$B$10&amp;"="&amp;VLOOKUP(L17,[1]基础信息!$I$2:$J$6,2,0)&amp;";")&amp;IF(M17="","",[1]字段对应!$B$11&amp;"="&amp;VLOOKUP(M17,[1]基础信息!$K$2:$L$6,2,0)&amp;";")&amp;IF(N17="","",[1]字段对应!$C$2&amp;"="&amp;N17&amp;","&amp;O17&amp;","&amp;P17&amp;";")&amp;IF(Q17="","",[1]字段对应!$B$13&amp;"="&amp;Q17&amp;";")&amp;IF(R17="","",[1]字段对应!$B$14&amp;"="&amp;R17&amp;";")&amp;IF(U17="","",[1]字段对应!$B$22&amp;"="&amp;U17&amp;";")&amp;IF(K17="","",[1]字段对应!$B$21&amp;"="&amp;VLOOKUP(K17,[1]基础信息!$F$2:$G$4,2,0))</f>
        <v>PhotoMode=0;ScanSpeed=2;WlRange=1090,200,1;Slit1=2.0;</v>
      </c>
      <c r="E17" s="78" t="str">
        <f t="array" ref="E17">_xlfn.SINGLE(IF(W17="","",[1]检测项信息!W12&amp;":"&amp;[1]字段对应!$B$16&amp;"|"))&amp;IF(X17="","",X17&amp;":"&amp;IF(V17="是",[1]字段对应!$C$17,[1]字段对应!$B$17&amp;";"&amp;_xlfn.SINGLE(IF(H17="","",[1]字段对应!$B$15&amp;"="&amp;[1]检测项信息!H12)))&amp;"|")&amp;_xlfn.SINGLE(IF(Y17="",":",Y17&amp;":"))&amp;IF(V17="是",[1]字段对应!$C$18,[1]字段对应!$B$18&amp;";"&amp;_xlfn.SINGLE(IF(H17="","",[1]字段对应!$B$15&amp;"="&amp;[1]检测项信息!H12))&amp;_xlfn.SINGLE(IF(AND(T17="",S17=""),"",";"&amp;[1]字段对应!$B$20&amp;"="&amp;T17&amp;";"&amp;[1]字段对应!$B$19&amp;"="&amp;S17)))</f>
        <v>黑挡块:Dark|空气:BaseLine|空气:Scan</v>
      </c>
      <c r="F17" s="78">
        <v>1</v>
      </c>
      <c r="G17" s="78"/>
      <c r="H17" s="78"/>
      <c r="I17" s="81" t="str">
        <f>VLOOKUP(J17,字段对应!$D$2:$E$8,2,0)</f>
        <v>Validation.ViewModel.DataStructure.GetMaxDIstanceUVTestTool</v>
      </c>
      <c r="J17" s="78" t="s">
        <v>218</v>
      </c>
      <c r="K17" s="86"/>
      <c r="L17" s="87" t="s">
        <v>84</v>
      </c>
      <c r="M17" s="87" t="s">
        <v>94</v>
      </c>
      <c r="N17" s="86">
        <v>1090</v>
      </c>
      <c r="O17" s="86">
        <v>200</v>
      </c>
      <c r="P17" s="87">
        <v>1</v>
      </c>
      <c r="Q17" s="86"/>
      <c r="R17" s="87" t="s">
        <v>99</v>
      </c>
      <c r="S17" s="86"/>
      <c r="T17" s="86"/>
      <c r="U17" s="86"/>
      <c r="V17" s="78" t="s">
        <v>83</v>
      </c>
      <c r="W17" s="78" t="s">
        <v>207</v>
      </c>
      <c r="X17" s="78" t="s">
        <v>201</v>
      </c>
      <c r="Y17" s="78" t="s">
        <v>201</v>
      </c>
      <c r="Z17" s="78">
        <f>VLOOKUP(A17,对应信息!$D$2:$E$10,2,0)</f>
        <v>4000</v>
      </c>
      <c r="AA17" s="78">
        <f t="shared" si="1"/>
        <v>4001</v>
      </c>
      <c r="AB17" s="90"/>
    </row>
    <row r="18" customHeight="1" spans="1:25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</row>
    <row r="19" customHeight="1" spans="1:25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</row>
    <row r="20" customHeight="1" spans="1:25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</row>
    <row r="21" customHeight="1" spans="1:25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</row>
    <row r="22" customHeight="1" spans="1:25">
      <c r="A22" s="7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</row>
    <row r="23" ht="39.75" customHeight="1" spans="1:25">
      <c r="A23" s="75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</row>
    <row r="24" customHeight="1" spans="1:25">
      <c r="A24" s="75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</row>
    <row r="25" customHeight="1" spans="1:25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88"/>
      <c r="Y25" s="75"/>
    </row>
    <row r="26" customHeight="1" spans="1:25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</row>
    <row r="27" customHeight="1" spans="1:25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</row>
    <row r="28" ht="40.5" customHeight="1" spans="1:25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</row>
    <row r="29" customHeight="1" spans="1:25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</row>
  </sheetData>
  <dataValidations count="9">
    <dataValidation type="list" allowBlank="1" showInputMessage="1" showErrorMessage="1" sqref="K16 K1:K14 K18:K1048576">
      <formula1>基础信息!$F$2:$F$4</formula1>
    </dataValidation>
    <dataValidation type="list" allowBlank="1" showInputMessage="1" showErrorMessage="1" sqref="Q16 Q1:Q14 Q18:Q1048576">
      <formula1>基础信息!$Q$2:$Q$7</formula1>
    </dataValidation>
    <dataValidation type="list" allowBlank="1" showInputMessage="1" showErrorMessage="1" sqref="U16 U1:U14 U18:U1048576">
      <formula1>基础信息!$R$2:$R$5</formula1>
    </dataValidation>
    <dataValidation type="list" allowBlank="1" showInputMessage="1" showErrorMessage="1" sqref="J1:J16 J18:J1048576">
      <formula1>字段对应!$D$2:$D$8</formula1>
    </dataValidation>
    <dataValidation type="list" allowBlank="1" showInputMessage="1" showErrorMessage="1" sqref="L$1:L$1048576">
      <formula1>基础信息!$I$2:$I$6</formula1>
    </dataValidation>
    <dataValidation type="list" allowBlank="1" showInputMessage="1" showErrorMessage="1" sqref="M$1:M$1048576">
      <formula1>基础信息!$K$2:$K$6</formula1>
    </dataValidation>
    <dataValidation type="list" allowBlank="1" showInputMessage="1" showErrorMessage="1" sqref="P$1:P$1048576">
      <formula1>基础信息!$M$2:$M$9</formula1>
    </dataValidation>
    <dataValidation type="list" allowBlank="1" showInputMessage="1" showErrorMessage="1" sqref="R$1:R$1048576">
      <formula1>基础信息!$P$2:$P$6</formula1>
    </dataValidation>
    <dataValidation type="list" allowBlank="1" showInputMessage="1" showErrorMessage="1" sqref="V1:V16 V18:V1048576">
      <formula1>基础信息!$E$2:$E$3</formula1>
    </dataValidation>
  </dataValidations>
  <pageMargins left="0.7" right="0.7" top="0.75" bottom="0.75" header="0.3" footer="0.3"/>
  <pageSetup paperSize="9" firstPageNumber="4294963191" orientation="portrait" useFirstPageNumber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showRowColHeaders="0" workbookViewId="0">
      <pane topLeftCell="A1" activePane="topLeft"/>
      <selection activeCell="A1" sqref="A1"/>
    </sheetView>
  </sheetViews>
  <sheetFormatPr defaultColWidth="9" defaultRowHeight="14.25" customHeight="1" outlineLevelCol="4"/>
  <cols>
    <col min="1" max="1" width="22.6296296296296" style="1" customWidth="1"/>
    <col min="2" max="2" width="44.6296296296296" style="1" customWidth="1"/>
    <col min="3" max="3" width="22.6296296296296" style="1" customWidth="1"/>
    <col min="4" max="5" width="5.5" style="1" customWidth="1"/>
    <col min="6" max="9" width="22.6296296296296" style="1" customWidth="1"/>
    <col min="10" max="16384" width="9" style="1"/>
  </cols>
  <sheetData>
    <row r="1" customHeight="1" spans="1:5">
      <c r="A1" s="68" t="s">
        <v>219</v>
      </c>
      <c r="B1" s="68" t="s">
        <v>220</v>
      </c>
      <c r="C1" s="68" t="s">
        <v>221</v>
      </c>
      <c r="D1" s="68" t="s">
        <v>222</v>
      </c>
      <c r="E1" s="68" t="s">
        <v>223</v>
      </c>
    </row>
    <row r="2" customHeight="1" spans="1:5">
      <c r="A2" s="69" t="str">
        <f ca="1" t="array" ref="A2">MID(_xlfn.SINGLE(CELL("filename")),FIND("[",_xlfn.SINGLE(CELL("filename")),1)+1,FIND(".",_xlfn.SINGLE(CELL("filename")),1)-FIND("[",_xlfn.SINGLE(CELL("filename")),1)-1)</f>
        <v>T600T700-VariableSlit工装</v>
      </c>
      <c r="B2" s="70" t="s">
        <v>224</v>
      </c>
      <c r="C2" s="69"/>
      <c r="D2" s="69"/>
      <c r="E2" s="69"/>
    </row>
    <row r="3" customHeight="1" spans="1:5">
      <c r="A3" s="69" t="str">
        <f ca="1" t="array" ref="A3">MID(_xlfn.SINGLE(CELL("filename")),FIND("[",_xlfn.SINGLE(CELL("filename")),1)+1,FIND(".",_xlfn.SINGLE(CELL("filename")),1)-FIND("[",_xlfn.SINGLE(CELL("filename")),1)-1)</f>
        <v>T600T700-VariableSlit工装</v>
      </c>
      <c r="B3" s="70" t="s">
        <v>225</v>
      </c>
      <c r="C3" s="69"/>
      <c r="D3" s="69"/>
      <c r="E3" s="69"/>
    </row>
    <row r="4" customHeight="1" spans="1:5">
      <c r="A4" s="69" t="str">
        <f ca="1" t="array" ref="A4">MID(_xlfn.SINGLE(CELL("filename")),FIND("[",_xlfn.SINGLE(CELL("filename")),1)+1,FIND(".",_xlfn.SINGLE(CELL("filename")),1)-FIND("[",_xlfn.SINGLE(CELL("filename")),1)-1)</f>
        <v>T600T700-VariableSlit工装</v>
      </c>
      <c r="B4" s="70" t="s">
        <v>226</v>
      </c>
      <c r="C4" s="69"/>
      <c r="D4" s="69"/>
      <c r="E4" s="69"/>
    </row>
    <row r="5" customHeight="1" spans="1:5">
      <c r="A5" s="69" t="str">
        <f ca="1" t="array" ref="A5">MID(_xlfn.SINGLE(CELL("filename")),FIND("[",_xlfn.SINGLE(CELL("filename")),1)+1,FIND(".",_xlfn.SINGLE(CELL("filename")),1)-FIND("[",_xlfn.SINGLE(CELL("filename")),1)-1)</f>
        <v>T600T700-VariableSlit工装</v>
      </c>
      <c r="B5" s="70" t="s">
        <v>227</v>
      </c>
      <c r="C5" s="69"/>
      <c r="D5" s="69"/>
      <c r="E5" s="69"/>
    </row>
    <row r="6" customHeight="1" spans="1:5">
      <c r="A6" s="69" t="str">
        <f ca="1" t="array" ref="A6">MID(_xlfn.SINGLE(CELL("filename")),FIND("[",_xlfn.SINGLE(CELL("filename")),1)+1,FIND(".",_xlfn.SINGLE(CELL("filename")),1)-FIND("[",_xlfn.SINGLE(CELL("filename")),1)-1)</f>
        <v>T600T700-VariableSlit工装</v>
      </c>
      <c r="B6" s="70" t="s">
        <v>228</v>
      </c>
      <c r="C6" s="69"/>
      <c r="D6" s="69"/>
      <c r="E6" s="69"/>
    </row>
    <row r="7" customHeight="1" spans="1:5">
      <c r="A7" s="69" t="str">
        <f ca="1" t="array" ref="A7">MID(_xlfn.SINGLE(CELL("filename")),FIND("[",_xlfn.SINGLE(CELL("filename")),1)+1,FIND(".",_xlfn.SINGLE(CELL("filename")),1)-FIND("[",_xlfn.SINGLE(CELL("filename")),1)-1)</f>
        <v>T600T700-VariableSlit工装</v>
      </c>
      <c r="B7" s="70" t="s">
        <v>229</v>
      </c>
      <c r="C7" s="69"/>
      <c r="D7" s="69"/>
      <c r="E7" s="69"/>
    </row>
    <row r="8" customHeight="1" spans="1:5">
      <c r="A8" s="69" t="str">
        <f ca="1" t="array" ref="A8">MID(_xlfn.SINGLE(CELL("filename")),FIND("[",_xlfn.SINGLE(CELL("filename")),1)+1,FIND(".",_xlfn.SINGLE(CELL("filename")),1)-FIND("[",_xlfn.SINGLE(CELL("filename")),1)-1)</f>
        <v>T600T700-VariableSlit工装</v>
      </c>
      <c r="B8" s="70" t="s">
        <v>230</v>
      </c>
      <c r="C8" s="69"/>
      <c r="D8" s="69"/>
      <c r="E8" s="69"/>
    </row>
    <row r="9" customHeight="1" spans="1:5">
      <c r="A9" s="69" t="str">
        <f ca="1" t="array" ref="A9">MID(_xlfn.SINGLE(CELL("filename")),FIND("[",_xlfn.SINGLE(CELL("filename")),1)+1,FIND(".",_xlfn.SINGLE(CELL("filename")),1)-FIND("[",_xlfn.SINGLE(CELL("filename")),1)-1)</f>
        <v>T600T700-VariableSlit工装</v>
      </c>
      <c r="B9" s="70" t="s">
        <v>231</v>
      </c>
      <c r="C9" s="69"/>
      <c r="D9" s="69"/>
      <c r="E9" s="69"/>
    </row>
    <row r="10" customHeight="1" spans="1:5">
      <c r="A10" s="69" t="str">
        <f ca="1" t="array" ref="A10">MID(_xlfn.SINGLE(CELL("filename")),FIND("[",_xlfn.SINGLE(CELL("filename")),1)+1,FIND(".",_xlfn.SINGLE(CELL("filename")),1)-FIND("[",_xlfn.SINGLE(CELL("filename")),1)-1)</f>
        <v>T600T700-VariableSlit工装</v>
      </c>
      <c r="B10" s="70" t="s">
        <v>232</v>
      </c>
      <c r="C10" s="69"/>
      <c r="D10" s="69">
        <v>1001</v>
      </c>
      <c r="E10" s="69">
        <v>1001</v>
      </c>
    </row>
    <row r="11" customHeight="1" spans="1:5">
      <c r="A11" s="69" t="str">
        <f ca="1" t="array" ref="A11">MID(_xlfn.SINGLE(CELL("filename")),FIND("[",_xlfn.SINGLE(CELL("filename")),1)+1,FIND(".",_xlfn.SINGLE(CELL("filename")),1)-FIND("[",_xlfn.SINGLE(CELL("filename")),1)-1)</f>
        <v>T600T700-VariableSlit工装</v>
      </c>
      <c r="B11" s="70" t="s">
        <v>233</v>
      </c>
      <c r="C11" s="69"/>
      <c r="D11" s="69">
        <v>1002</v>
      </c>
      <c r="E11" s="69">
        <v>1002</v>
      </c>
    </row>
    <row r="12" customHeight="1" spans="1:5">
      <c r="A12" s="69" t="str">
        <f ca="1" t="array" ref="A12">MID(_xlfn.SINGLE(CELL("filename")),FIND("[",_xlfn.SINGLE(CELL("filename")),1)+1,FIND(".",_xlfn.SINGLE(CELL("filename")),1)-FIND("[",_xlfn.SINGLE(CELL("filename")),1)-1)</f>
        <v>T600T700-VariableSlit工装</v>
      </c>
      <c r="B12" s="70" t="s">
        <v>234</v>
      </c>
      <c r="C12" s="69"/>
      <c r="D12" s="69">
        <v>2001</v>
      </c>
      <c r="E12" s="69">
        <v>2001</v>
      </c>
    </row>
    <row r="13" customHeight="1" spans="1:5">
      <c r="A13" s="69" t="str">
        <f ca="1" t="array" ref="A13">MID(_xlfn.SINGLE(CELL("filename")),FIND("[",_xlfn.SINGLE(CELL("filename")),1)+1,FIND(".",_xlfn.SINGLE(CELL("filename")),1)-FIND("[",_xlfn.SINGLE(CELL("filename")),1)-1)</f>
        <v>T600T700-VariableSlit工装</v>
      </c>
      <c r="B13" s="70" t="s">
        <v>235</v>
      </c>
      <c r="C13" s="69"/>
      <c r="D13" s="69">
        <v>2002</v>
      </c>
      <c r="E13" s="69">
        <v>2001</v>
      </c>
    </row>
    <row r="14" customHeight="1" spans="1:5">
      <c r="A14" s="69" t="str">
        <f ca="1" t="array" ref="A14">MID(_xlfn.SINGLE(CELL("filename")),FIND("[",_xlfn.SINGLE(CELL("filename")),1)+1,FIND(".",_xlfn.SINGLE(CELL("filename")),1)-FIND("[",_xlfn.SINGLE(CELL("filename")),1)-1)</f>
        <v>T600T700-VariableSlit工装</v>
      </c>
      <c r="B14" s="70" t="s">
        <v>236</v>
      </c>
      <c r="C14" s="69"/>
      <c r="D14" s="69">
        <v>2003</v>
      </c>
      <c r="E14" s="69">
        <v>2001</v>
      </c>
    </row>
    <row r="15" customHeight="1" spans="1:5">
      <c r="A15" s="69" t="str">
        <f ca="1" t="array" ref="A15">MID(_xlfn.SINGLE(CELL("filename")),FIND("[",_xlfn.SINGLE(CELL("filename")),1)+1,FIND(".",_xlfn.SINGLE(CELL("filename")),1)-FIND("[",_xlfn.SINGLE(CELL("filename")),1)-1)</f>
        <v>T600T700-VariableSlit工装</v>
      </c>
      <c r="B15" s="70" t="s">
        <v>237</v>
      </c>
      <c r="C15" s="69"/>
      <c r="D15" s="69">
        <v>2004</v>
      </c>
      <c r="E15" s="69">
        <v>2001</v>
      </c>
    </row>
    <row r="16" customHeight="1" spans="1:5">
      <c r="A16" s="69" t="str">
        <f ca="1" t="array" ref="A16">MID(_xlfn.SINGLE(CELL("filename")),FIND("[",_xlfn.SINGLE(CELL("filename")),1)+1,FIND(".",_xlfn.SINGLE(CELL("filename")),1)-FIND("[",_xlfn.SINGLE(CELL("filename")),1)-1)</f>
        <v>T600T700-VariableSlit工装</v>
      </c>
      <c r="B16" s="70" t="s">
        <v>238</v>
      </c>
      <c r="C16" s="69"/>
      <c r="D16" s="69">
        <v>3001</v>
      </c>
      <c r="E16" s="69">
        <v>3001</v>
      </c>
    </row>
    <row r="17" customHeight="1" spans="1:5">
      <c r="A17" s="69" t="str">
        <f ca="1" t="array" ref="A17">MID(_xlfn.SINGLE(CELL("filename")),FIND("[",_xlfn.SINGLE(CELL("filename")),1)+1,FIND(".",_xlfn.SINGLE(CELL("filename")),1)-FIND("[",_xlfn.SINGLE(CELL("filename")),1)-1)</f>
        <v>T600T700-VariableSlit工装</v>
      </c>
      <c r="B17" s="70" t="s">
        <v>239</v>
      </c>
      <c r="C17" s="69"/>
      <c r="D17" s="69">
        <v>3002</v>
      </c>
      <c r="E17" s="69">
        <v>3002</v>
      </c>
    </row>
    <row r="18" customHeight="1" spans="1:5">
      <c r="A18" s="69" t="str">
        <f ca="1" t="array" ref="A18">MID(_xlfn.SINGLE(CELL("filename")),FIND("[",_xlfn.SINGLE(CELL("filename")),1)+1,FIND(".",_xlfn.SINGLE(CELL("filename")),1)-FIND("[",_xlfn.SINGLE(CELL("filename")),1)-1)</f>
        <v>T600T700-VariableSlit工装</v>
      </c>
      <c r="B18" s="71" t="s">
        <v>240</v>
      </c>
      <c r="C18" s="69"/>
      <c r="D18" s="69">
        <v>4001</v>
      </c>
      <c r="E18" s="69">
        <v>4001</v>
      </c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RowColHeaders="0" workbookViewId="0">
      <pane topLeftCell="A1" activePane="topLeft"/>
      <selection activeCell="A1" sqref="A1"/>
    </sheetView>
  </sheetViews>
  <sheetFormatPr defaultColWidth="9" defaultRowHeight="14.25" customHeight="1"/>
  <cols>
    <col min="1" max="1" width="35.75" style="1" customWidth="1"/>
    <col min="2" max="16384" width="9" style="1"/>
  </cols>
  <sheetData>
    <row r="1" ht="189.75" customHeight="1" spans="1:1">
      <c r="A1" s="67"/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showGridLines="0" showRowColHeaders="0" workbookViewId="0">
      <pane topLeftCell="A1" activePane="topLeft"/>
      <selection activeCell="A1" sqref="A1"/>
    </sheetView>
  </sheetViews>
  <sheetFormatPr defaultColWidth="9" defaultRowHeight="14.25" customHeight="1" outlineLevelCol="3"/>
  <cols>
    <col min="1" max="1" width="35.3796296296296" style="1" customWidth="1"/>
    <col min="2" max="2" width="27.5" style="1" customWidth="1"/>
    <col min="3" max="3" width="15.75" style="1" customWidth="1"/>
    <col min="4" max="4" width="20.25" style="1" customWidth="1"/>
    <col min="5" max="16384" width="9" style="1"/>
  </cols>
  <sheetData>
    <row r="1" customHeight="1" spans="1:4">
      <c r="A1" s="2" t="s">
        <v>241</v>
      </c>
      <c r="B1" s="2" t="s">
        <v>26</v>
      </c>
      <c r="C1" s="2" t="s">
        <v>72</v>
      </c>
      <c r="D1" s="60" t="s">
        <v>242</v>
      </c>
    </row>
    <row r="2" customHeight="1" spans="1:4">
      <c r="A2" s="46" t="s">
        <v>142</v>
      </c>
      <c r="B2" s="44" t="s">
        <v>143</v>
      </c>
      <c r="C2" s="61" t="s">
        <v>144</v>
      </c>
      <c r="D2" s="61">
        <v>23.2</v>
      </c>
    </row>
    <row r="3" customHeight="1" spans="1:4">
      <c r="A3" s="48"/>
      <c r="B3" s="48"/>
      <c r="C3" s="61" t="s">
        <v>145</v>
      </c>
      <c r="D3" s="61">
        <v>51.58</v>
      </c>
    </row>
    <row r="4" ht="12" customHeight="1" spans="1:4">
      <c r="A4" s="48"/>
      <c r="B4" s="48"/>
      <c r="C4" s="62" t="s">
        <v>146</v>
      </c>
      <c r="D4" s="61">
        <v>14.06</v>
      </c>
    </row>
    <row r="5" customHeight="1" spans="1:4">
      <c r="A5" s="48"/>
      <c r="B5" s="46"/>
      <c r="C5" s="62" t="s">
        <v>147</v>
      </c>
      <c r="D5" s="61">
        <v>18.42</v>
      </c>
    </row>
    <row r="6" customHeight="1" spans="1:4">
      <c r="A6" s="48"/>
      <c r="B6" s="63" t="s">
        <v>100</v>
      </c>
      <c r="C6" s="61" t="s">
        <v>148</v>
      </c>
      <c r="D6" s="61">
        <v>7.62</v>
      </c>
    </row>
    <row r="7" customHeight="1" spans="1:4">
      <c r="A7" s="48"/>
      <c r="B7" s="64"/>
      <c r="C7" s="61" t="s">
        <v>149</v>
      </c>
      <c r="D7" s="61">
        <v>11.03</v>
      </c>
    </row>
    <row r="8" customHeight="1" spans="1:4">
      <c r="A8" s="48"/>
      <c r="B8" s="65"/>
      <c r="C8" s="61" t="s">
        <v>150</v>
      </c>
      <c r="D8" s="61">
        <v>11.46</v>
      </c>
    </row>
    <row r="9" customHeight="1" spans="1:4">
      <c r="A9" s="48"/>
      <c r="B9" s="63" t="s">
        <v>105</v>
      </c>
      <c r="C9" s="61" t="s">
        <v>148</v>
      </c>
      <c r="D9" s="61">
        <v>17.64</v>
      </c>
    </row>
    <row r="10" customHeight="1" spans="1:4">
      <c r="A10" s="48"/>
      <c r="B10" s="64"/>
      <c r="C10" s="61" t="s">
        <v>149</v>
      </c>
      <c r="D10" s="61">
        <v>21.74</v>
      </c>
    </row>
    <row r="11" customHeight="1" spans="1:4">
      <c r="A11" s="48"/>
      <c r="B11" s="65"/>
      <c r="C11" s="61" t="s">
        <v>150</v>
      </c>
      <c r="D11" s="61">
        <v>21.92</v>
      </c>
    </row>
    <row r="12" customHeight="1" spans="1:4">
      <c r="A12" s="48"/>
      <c r="B12" s="63" t="s">
        <v>108</v>
      </c>
      <c r="C12" s="61" t="s">
        <v>148</v>
      </c>
      <c r="D12" s="61">
        <v>23.59</v>
      </c>
    </row>
    <row r="13" customHeight="1" spans="1:4">
      <c r="A13" s="48"/>
      <c r="B13" s="64"/>
      <c r="C13" s="61" t="s">
        <v>149</v>
      </c>
      <c r="D13" s="61">
        <v>29.32</v>
      </c>
    </row>
    <row r="14" customHeight="1" spans="1:4">
      <c r="A14" s="46"/>
      <c r="B14" s="65"/>
      <c r="C14" s="61" t="s">
        <v>150</v>
      </c>
      <c r="D14" s="61">
        <v>29.91</v>
      </c>
    </row>
    <row r="15" customHeight="1" spans="1:4">
      <c r="A15" s="44" t="s">
        <v>25</v>
      </c>
      <c r="B15" s="28" t="s">
        <v>32</v>
      </c>
      <c r="C15" s="29" t="s">
        <v>135</v>
      </c>
      <c r="D15" s="29"/>
    </row>
    <row r="16" customHeight="1" spans="1:4">
      <c r="A16" s="48"/>
      <c r="B16" s="34" t="s">
        <v>34</v>
      </c>
      <c r="C16" s="29" t="s">
        <v>243</v>
      </c>
      <c r="D16" s="29"/>
    </row>
    <row r="17" customHeight="1" spans="1:4">
      <c r="A17" s="48"/>
      <c r="B17" s="35"/>
      <c r="C17" s="29" t="s">
        <v>244</v>
      </c>
      <c r="D17" s="29"/>
    </row>
    <row r="18" customHeight="1" spans="1:4">
      <c r="A18" s="48"/>
      <c r="B18" s="35"/>
      <c r="C18" s="29" t="s">
        <v>245</v>
      </c>
      <c r="D18" s="29"/>
    </row>
    <row r="19" customHeight="1" spans="1:4">
      <c r="A19" s="48"/>
      <c r="B19" s="35"/>
      <c r="C19" s="29" t="s">
        <v>246</v>
      </c>
      <c r="D19" s="29"/>
    </row>
    <row r="20" customHeight="1" spans="1:4">
      <c r="A20" s="48"/>
      <c r="B20" s="35"/>
      <c r="C20" s="29" t="s">
        <v>247</v>
      </c>
      <c r="D20" s="29"/>
    </row>
    <row r="21" customHeight="1" spans="1:4">
      <c r="A21" s="46"/>
      <c r="B21" s="36"/>
      <c r="C21" s="29" t="s">
        <v>248</v>
      </c>
      <c r="D21" s="29"/>
    </row>
    <row r="23" customHeight="1" spans="1:4">
      <c r="A23" s="66" t="s">
        <v>249</v>
      </c>
      <c r="B23" s="66"/>
      <c r="C23" s="66"/>
      <c r="D23" s="66"/>
    </row>
  </sheetData>
  <mergeCells count="8">
    <mergeCell ref="A23:D23"/>
    <mergeCell ref="A2:A14"/>
    <mergeCell ref="A15:A21"/>
    <mergeCell ref="B2:B5"/>
    <mergeCell ref="B6:B8"/>
    <mergeCell ref="B9:B11"/>
    <mergeCell ref="B12:B14"/>
    <mergeCell ref="B16:B21"/>
  </mergeCells>
  <pageMargins left="0.7" right="0.7" top="0.75" bottom="0.75" header="0.3" footer="0.3"/>
  <pageSetup paperSize="1" firstPageNumber="4294963191" orientation="portrait" useFirstPageNumber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showRowColHeaders="0" workbookViewId="0">
      <pane topLeftCell="A1" activePane="topLeft"/>
      <selection activeCell="A1" sqref="A1"/>
    </sheetView>
  </sheetViews>
  <sheetFormatPr defaultColWidth="9" defaultRowHeight="14.25" customHeight="1" outlineLevelCol="4"/>
  <cols>
    <col min="1" max="2" width="16.1296296296296" style="1" customWidth="1"/>
    <col min="3" max="3" width="9" style="1"/>
    <col min="4" max="4" width="13.8796296296296" style="1" customWidth="1"/>
    <col min="5" max="5" width="69.8796296296296" style="1" customWidth="1"/>
    <col min="6" max="16384" width="9" style="1"/>
  </cols>
  <sheetData>
    <row r="1" customHeight="1" spans="1:5">
      <c r="A1" s="33" t="s">
        <v>250</v>
      </c>
      <c r="B1" s="33" t="s">
        <v>251</v>
      </c>
      <c r="D1" s="33" t="s">
        <v>252</v>
      </c>
      <c r="E1" s="33" t="s">
        <v>253</v>
      </c>
    </row>
    <row r="2" customHeight="1" spans="1:5">
      <c r="A2" s="58" t="s">
        <v>191</v>
      </c>
      <c r="B2" s="58" t="s">
        <v>254</v>
      </c>
      <c r="C2" s="58" t="s">
        <v>255</v>
      </c>
      <c r="D2" s="59" t="s">
        <v>203</v>
      </c>
      <c r="E2" s="58" t="s">
        <v>256</v>
      </c>
    </row>
    <row r="3" customHeight="1" spans="1:5">
      <c r="A3" s="58" t="s">
        <v>192</v>
      </c>
      <c r="B3" s="58" t="s">
        <v>257</v>
      </c>
      <c r="D3" s="58" t="s">
        <v>258</v>
      </c>
      <c r="E3" s="58" t="s">
        <v>259</v>
      </c>
    </row>
    <row r="4" customHeight="1" spans="1:5">
      <c r="A4" s="58" t="s">
        <v>79</v>
      </c>
      <c r="B4" s="58" t="s">
        <v>260</v>
      </c>
      <c r="D4" s="59" t="s">
        <v>213</v>
      </c>
      <c r="E4" s="58" t="s">
        <v>261</v>
      </c>
    </row>
    <row r="5" customHeight="1" spans="1:5">
      <c r="A5" s="58" t="s">
        <v>188</v>
      </c>
      <c r="B5" s="58" t="s">
        <v>262</v>
      </c>
      <c r="D5" s="59" t="s">
        <v>200</v>
      </c>
      <c r="E5" s="58" t="s">
        <v>263</v>
      </c>
    </row>
    <row r="6" customHeight="1" spans="1:5">
      <c r="A6" s="58" t="s">
        <v>186</v>
      </c>
      <c r="B6" s="58" t="s">
        <v>264</v>
      </c>
      <c r="D6" s="59" t="s">
        <v>265</v>
      </c>
      <c r="E6" s="58" t="s">
        <v>266</v>
      </c>
    </row>
    <row r="7" customHeight="1" spans="1:5">
      <c r="A7" s="58" t="s">
        <v>187</v>
      </c>
      <c r="B7" s="58" t="s">
        <v>267</v>
      </c>
      <c r="D7" s="59" t="s">
        <v>218</v>
      </c>
      <c r="E7" s="58" t="s">
        <v>268</v>
      </c>
    </row>
    <row r="8" customHeight="1" spans="1:5">
      <c r="A8" s="58" t="s">
        <v>269</v>
      </c>
      <c r="B8" s="58" t="s">
        <v>270</v>
      </c>
      <c r="D8" s="59" t="s">
        <v>271</v>
      </c>
      <c r="E8" s="58" t="s">
        <v>272</v>
      </c>
    </row>
    <row r="9" customHeight="1" spans="1:2">
      <c r="A9" s="58" t="s">
        <v>185</v>
      </c>
      <c r="B9" s="58" t="s">
        <v>273</v>
      </c>
    </row>
    <row r="10" customHeight="1" spans="1:2">
      <c r="A10" s="58" t="s">
        <v>190</v>
      </c>
      <c r="B10" s="58" t="s">
        <v>274</v>
      </c>
    </row>
    <row r="11" customHeight="1" spans="1:2">
      <c r="A11" s="58" t="s">
        <v>77</v>
      </c>
      <c r="B11" s="58" t="s">
        <v>275</v>
      </c>
    </row>
    <row r="12" customHeight="1" spans="1:2">
      <c r="A12" s="58" t="s">
        <v>193</v>
      </c>
      <c r="B12" s="58" t="s">
        <v>276</v>
      </c>
    </row>
    <row r="13" customHeight="1" spans="1:2">
      <c r="A13" s="58" t="s">
        <v>28</v>
      </c>
      <c r="B13" s="58" t="s">
        <v>277</v>
      </c>
    </row>
    <row r="14" customHeight="1" spans="1:2">
      <c r="A14" s="58" t="s">
        <v>194</v>
      </c>
      <c r="B14" s="58" t="s">
        <v>278</v>
      </c>
    </row>
    <row r="15" customHeight="1" spans="1:2">
      <c r="A15" s="58" t="s">
        <v>72</v>
      </c>
      <c r="B15" s="58" t="s">
        <v>279</v>
      </c>
    </row>
    <row r="16" customHeight="1" spans="1:2">
      <c r="A16" s="58" t="s">
        <v>280</v>
      </c>
      <c r="B16" s="58" t="s">
        <v>281</v>
      </c>
    </row>
    <row r="17" customHeight="1" spans="1:3">
      <c r="A17" s="58" t="s">
        <v>282</v>
      </c>
      <c r="B17" s="58" t="s">
        <v>283</v>
      </c>
      <c r="C17" s="58" t="s">
        <v>284</v>
      </c>
    </row>
    <row r="18" customHeight="1" spans="1:3">
      <c r="A18" s="58" t="s">
        <v>285</v>
      </c>
      <c r="B18" s="58" t="s">
        <v>286</v>
      </c>
      <c r="C18" s="58" t="s">
        <v>287</v>
      </c>
    </row>
    <row r="19" customHeight="1" spans="1:2">
      <c r="A19" s="58" t="s">
        <v>195</v>
      </c>
      <c r="B19" s="58" t="s">
        <v>288</v>
      </c>
    </row>
    <row r="20" customHeight="1" spans="1:4">
      <c r="A20" s="58" t="s">
        <v>196</v>
      </c>
      <c r="B20" s="58" t="s">
        <v>289</v>
      </c>
      <c r="D20" s="58"/>
    </row>
    <row r="21" customHeight="1" spans="1:2">
      <c r="A21" s="58" t="s">
        <v>74</v>
      </c>
      <c r="B21" s="58" t="s">
        <v>290</v>
      </c>
    </row>
    <row r="22" customHeight="1" spans="1:2">
      <c r="A22" s="58" t="s">
        <v>82</v>
      </c>
      <c r="B22" s="58" t="s">
        <v>291</v>
      </c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showGridLines="0" showRowColHeaders="0" workbookViewId="0">
      <pane topLeftCell="A1" activePane="topLeft"/>
      <selection activeCell="A1" sqref="A1"/>
    </sheetView>
  </sheetViews>
  <sheetFormatPr defaultColWidth="9" defaultRowHeight="14.25" customHeight="1" outlineLevelRow="7" outlineLevelCol="3"/>
  <cols>
    <col min="1" max="1" width="11.75" style="11" customWidth="1"/>
    <col min="2" max="2" width="16.1296296296296" style="53" customWidth="1"/>
    <col min="3" max="16384" width="9" style="11"/>
  </cols>
  <sheetData>
    <row r="1" ht="30" customHeight="1" spans="1:2">
      <c r="A1" s="2" t="s">
        <v>185</v>
      </c>
      <c r="B1" s="3" t="s">
        <v>292</v>
      </c>
    </row>
    <row r="2" customHeight="1" spans="1:2">
      <c r="A2" s="54" t="s">
        <v>293</v>
      </c>
      <c r="B2" s="6">
        <v>0</v>
      </c>
    </row>
    <row r="3" customHeight="1" spans="1:2">
      <c r="A3" s="54" t="s">
        <v>294</v>
      </c>
      <c r="B3" s="6">
        <v>0</v>
      </c>
    </row>
    <row r="4" customHeight="1" spans="1:2">
      <c r="A4" s="54" t="s">
        <v>295</v>
      </c>
      <c r="B4" s="6">
        <v>0</v>
      </c>
    </row>
    <row r="5" customHeight="1" spans="1:2">
      <c r="A5" s="54" t="s">
        <v>296</v>
      </c>
      <c r="B5" s="6">
        <v>0</v>
      </c>
    </row>
    <row r="6" customHeight="1" spans="1:2">
      <c r="A6" s="54" t="s">
        <v>297</v>
      </c>
      <c r="B6" s="6">
        <v>0</v>
      </c>
    </row>
    <row r="7" ht="18" customHeight="1" spans="1:4">
      <c r="A7" s="8" t="s">
        <v>298</v>
      </c>
      <c r="B7" s="55" t="str">
        <f t="array" ref="B7">IF(AND(MAX(B2:B6)-MIN(B2:B6)&lt;0.1,B2:B6&gt;=99.9,B2:B6&lt;=100.1),"合格","不合格")</f>
        <v>不合格</v>
      </c>
      <c r="D7" s="56"/>
    </row>
    <row r="8" customHeight="1" spans="1:2">
      <c r="A8" s="8" t="s">
        <v>118</v>
      </c>
      <c r="B8" s="57">
        <f>MAX(B2:B6)-MIN(B2:B6)</f>
        <v>0</v>
      </c>
    </row>
  </sheetData>
  <pageMargins left="0.7" right="0.7" top="0.75" bottom="0.75" header="0.3" footer="0.3"/>
  <pageSetup paperSize="9" firstPageNumber="4294963191" orientation="portrait" useFirstPageNumber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showGridLines="0" showRowColHeaders="0" workbookViewId="0">
      <pane topLeftCell="A1" activePane="topLeft"/>
      <selection activeCell="A1" sqref="A1"/>
    </sheetView>
  </sheetViews>
  <sheetFormatPr defaultColWidth="9" defaultRowHeight="14.25" customHeight="1" outlineLevelCol="5"/>
  <cols>
    <col min="1" max="1" width="11.5" style="40" customWidth="1"/>
    <col min="2" max="2" width="9.12962962962963" style="41" customWidth="1"/>
    <col min="3" max="3" width="8.5" style="42" customWidth="1"/>
    <col min="4" max="4" width="10.5" style="43" customWidth="1"/>
    <col min="5" max="5" width="9" style="40"/>
    <col min="6" max="6" width="9.62962962962963" style="40" customWidth="1"/>
    <col min="7" max="16384" width="9" style="40"/>
  </cols>
  <sheetData>
    <row r="1" ht="28.8" spans="1:6">
      <c r="A1" s="2" t="s">
        <v>185</v>
      </c>
      <c r="B1" s="2" t="s">
        <v>299</v>
      </c>
      <c r="C1" s="39" t="s">
        <v>27</v>
      </c>
      <c r="D1" s="39" t="s">
        <v>28</v>
      </c>
      <c r="E1" s="39" t="s">
        <v>300</v>
      </c>
      <c r="F1" s="39" t="s">
        <v>30</v>
      </c>
    </row>
    <row r="2" ht="15" customHeight="1" spans="1:6">
      <c r="A2" s="44" t="s">
        <v>31</v>
      </c>
      <c r="B2" s="45">
        <v>486</v>
      </c>
      <c r="C2" s="30" t="s">
        <v>93</v>
      </c>
      <c r="D2" s="30">
        <v>4</v>
      </c>
      <c r="E2" s="30" t="s">
        <v>31</v>
      </c>
      <c r="F2" s="30"/>
    </row>
    <row r="3" ht="15" customHeight="1" spans="1:6">
      <c r="A3" s="46"/>
      <c r="B3" s="45">
        <v>656.1</v>
      </c>
      <c r="C3" s="30" t="s">
        <v>93</v>
      </c>
      <c r="D3" s="30">
        <v>4</v>
      </c>
      <c r="E3" s="30" t="s">
        <v>31</v>
      </c>
      <c r="F3" s="30"/>
    </row>
    <row r="4" ht="15" customHeight="1" spans="1:6">
      <c r="A4" s="44" t="s">
        <v>33</v>
      </c>
      <c r="B4" s="47">
        <v>296.7</v>
      </c>
      <c r="C4" s="30" t="s">
        <v>93</v>
      </c>
      <c r="D4" s="30">
        <v>3</v>
      </c>
      <c r="E4" s="30" t="s">
        <v>33</v>
      </c>
      <c r="F4" s="30"/>
    </row>
    <row r="5" ht="15" customHeight="1" spans="1:6">
      <c r="A5" s="48"/>
      <c r="B5" s="47">
        <v>404.7</v>
      </c>
      <c r="C5" s="30" t="s">
        <v>93</v>
      </c>
      <c r="D5" s="30">
        <v>3</v>
      </c>
      <c r="E5" s="30" t="s">
        <v>33</v>
      </c>
      <c r="F5" s="30"/>
    </row>
    <row r="6" ht="15" customHeight="1" spans="1:6">
      <c r="A6" s="48"/>
      <c r="B6" s="47">
        <v>435.8</v>
      </c>
      <c r="C6" s="30" t="s">
        <v>93</v>
      </c>
      <c r="D6" s="30">
        <v>3</v>
      </c>
      <c r="E6" s="30" t="s">
        <v>33</v>
      </c>
      <c r="F6" s="30"/>
    </row>
    <row r="7" ht="15" customHeight="1" spans="1:6">
      <c r="A7" s="46"/>
      <c r="B7" s="45">
        <v>546.1</v>
      </c>
      <c r="C7" s="30" t="s">
        <v>93</v>
      </c>
      <c r="D7" s="30">
        <v>3</v>
      </c>
      <c r="E7" s="30" t="s">
        <v>33</v>
      </c>
      <c r="F7" s="49"/>
    </row>
    <row r="8" ht="15" customHeight="1" spans="1:6">
      <c r="A8" s="28" t="s">
        <v>32</v>
      </c>
      <c r="B8" s="45">
        <v>807.4</v>
      </c>
      <c r="C8" s="30" t="s">
        <v>84</v>
      </c>
      <c r="D8" s="30"/>
      <c r="E8" s="30"/>
      <c r="F8" s="30"/>
    </row>
    <row r="9" ht="12" customHeight="1" spans="1:6">
      <c r="A9" s="50" t="s">
        <v>34</v>
      </c>
      <c r="B9" s="45">
        <v>241</v>
      </c>
      <c r="C9" s="30" t="s">
        <v>84</v>
      </c>
      <c r="D9" s="30"/>
      <c r="E9" s="30"/>
      <c r="F9" s="30">
        <v>240.9</v>
      </c>
    </row>
    <row r="10" customHeight="1" spans="1:6">
      <c r="A10" s="51"/>
      <c r="B10" s="45">
        <v>361</v>
      </c>
      <c r="C10" s="30" t="s">
        <v>84</v>
      </c>
      <c r="D10" s="30"/>
      <c r="E10" s="30"/>
      <c r="F10" s="30">
        <v>361.2</v>
      </c>
    </row>
    <row r="11" ht="15.75" customHeight="1" spans="1:6">
      <c r="A11" s="52"/>
      <c r="B11" s="45">
        <v>640.7</v>
      </c>
      <c r="C11" s="30" t="s">
        <v>84</v>
      </c>
      <c r="D11" s="30"/>
      <c r="E11" s="30"/>
      <c r="F11" s="30">
        <v>640.7</v>
      </c>
    </row>
    <row r="12" ht="15" customHeight="1"/>
    <row r="17" customHeight="1" spans="4:4">
      <c r="D17" s="40"/>
    </row>
    <row r="18" customHeight="1" spans="4:4">
      <c r="D18" s="40"/>
    </row>
  </sheetData>
  <sortState ref="B2:B3">
    <sortCondition ref="B2:B3"/>
  </sortState>
  <mergeCells count="3">
    <mergeCell ref="A2:A3"/>
    <mergeCell ref="A4:A7"/>
    <mergeCell ref="A9:A11"/>
  </mergeCells>
  <dataValidations count="3">
    <dataValidation type="list" allowBlank="1" showInputMessage="1" showErrorMessage="1" sqref="C1:C11 C17:C1048576">
      <formula1>"Abs,T%,Er,Es"</formula1>
    </dataValidation>
    <dataValidation type="list" allowBlank="1" showInputMessage="1" showErrorMessage="1" sqref="D1:D11 D17:D1048576">
      <formula1>"1,2,3,4"</formula1>
    </dataValidation>
    <dataValidation type="list" allowBlank="1" showInputMessage="1" showErrorMessage="1" sqref="E1:E11 E17:E1048576">
      <formula1>"氘灯,钨灯,汞灯"</formula1>
    </dataValidation>
  </dataValidations>
  <pageMargins left="0.7" right="0.7" top="0.75" bottom="0.75" header="0.3" footer="0.3"/>
  <pageSetup paperSize="9" firstPageNumber="4294963191" orientation="portrait" useFirstPageNumber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showGridLines="0" showRowColHeaders="0" workbookViewId="0">
      <pane topLeftCell="A1" activePane="topLeft"/>
      <selection activeCell="A1" sqref="A1"/>
    </sheetView>
  </sheetViews>
  <sheetFormatPr defaultColWidth="9" defaultRowHeight="14.25" customHeight="1" outlineLevelRow="4" outlineLevelCol="2"/>
  <cols>
    <col min="1" max="1" width="12.25" style="1" customWidth="1"/>
    <col min="2" max="2" width="12.75" style="37" customWidth="1"/>
    <col min="3" max="3" width="13.25" style="38" customWidth="1"/>
    <col min="4" max="16384" width="9" style="1"/>
  </cols>
  <sheetData>
    <row r="1" ht="30" customHeight="1" spans="1:3">
      <c r="A1" s="2" t="s">
        <v>185</v>
      </c>
      <c r="B1" s="2" t="s">
        <v>299</v>
      </c>
      <c r="C1" s="39" t="s">
        <v>30</v>
      </c>
    </row>
    <row r="2" ht="18" customHeight="1" spans="1:3">
      <c r="A2" s="28" t="s">
        <v>206</v>
      </c>
      <c r="B2" s="29" t="s">
        <v>301</v>
      </c>
      <c r="C2" s="30">
        <v>483</v>
      </c>
    </row>
    <row r="3" customHeight="1" spans="1:3">
      <c r="A3" s="28" t="s">
        <v>208</v>
      </c>
      <c r="B3" s="29" t="s">
        <v>134</v>
      </c>
      <c r="C3" s="30">
        <v>653</v>
      </c>
    </row>
    <row r="4" customHeight="1" spans="1:3">
      <c r="A4" s="28" t="s">
        <v>42</v>
      </c>
      <c r="B4" s="29"/>
      <c r="C4" s="30"/>
    </row>
    <row r="5" customHeight="1" spans="1:3">
      <c r="A5" s="28" t="s">
        <v>31</v>
      </c>
      <c r="B5" s="29"/>
      <c r="C5" s="30"/>
    </row>
  </sheetData>
  <pageMargins left="0.7" right="0.7" top="0.75" bottom="0.75" header="0.3" footer="0.3"/>
  <pageSetup paperSize="9" firstPageNumber="4294963191" orientation="portrait" useFirstPageNumber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showRowColHeaders="0" workbookViewId="0">
      <pane topLeftCell="A1" activePane="topLeft"/>
      <selection activeCell="A1" sqref="A1"/>
    </sheetView>
  </sheetViews>
  <sheetFormatPr defaultColWidth="8.87962962962963" defaultRowHeight="14.25" customHeight="1" outlineLevelCol="5"/>
  <cols>
    <col min="1" max="1" width="17" style="11" customWidth="1"/>
    <col min="2" max="3" width="8.87962962962963" style="11"/>
    <col min="4" max="4" width="9.5" style="11"/>
    <col min="5" max="16384" width="8.87962962962963" style="11"/>
  </cols>
  <sheetData>
    <row r="1" ht="43.2" spans="1:6">
      <c r="A1" s="24" t="s">
        <v>185</v>
      </c>
      <c r="B1" s="24" t="s">
        <v>299</v>
      </c>
      <c r="C1" s="25" t="s">
        <v>30</v>
      </c>
      <c r="D1" s="26" t="s">
        <v>302</v>
      </c>
      <c r="E1" s="4" t="s">
        <v>303</v>
      </c>
      <c r="F1" s="27" t="s">
        <v>122</v>
      </c>
    </row>
    <row r="2" customHeight="1" spans="1:6">
      <c r="A2" s="28" t="s">
        <v>208</v>
      </c>
      <c r="B2" s="29" t="s">
        <v>134</v>
      </c>
      <c r="C2" s="30">
        <v>656.04</v>
      </c>
      <c r="D2" s="31">
        <f t="shared" ref="D2:D10" si="0">IF(ISBLANK(C2),"",IF(C2&lt;&gt;"",C2-B2,""))</f>
        <v>-0.0600000000000591</v>
      </c>
      <c r="E2" s="32">
        <v>0.1</v>
      </c>
      <c r="F2" s="33" t="str">
        <f t="shared" ref="F2:F10" si="1">IF(C2="","不合格",IF(AND(ROUND(ABS(D2),1)&lt;=ROUND(ABS(E2),1)),"合格","不合格"))</f>
        <v>合格</v>
      </c>
    </row>
    <row r="3" customHeight="1" spans="1:6">
      <c r="A3" s="28" t="s">
        <v>304</v>
      </c>
      <c r="B3" s="29" t="s">
        <v>301</v>
      </c>
      <c r="C3" s="30"/>
      <c r="D3" s="31" t="str">
        <f t="shared" si="0"/>
        <v/>
      </c>
      <c r="E3" s="32">
        <v>0.1</v>
      </c>
      <c r="F3" s="33" t="str">
        <f t="shared" si="1"/>
        <v>不合格</v>
      </c>
    </row>
    <row r="4" customHeight="1" spans="1:6">
      <c r="A4" s="28" t="s">
        <v>32</v>
      </c>
      <c r="B4" s="29" t="s">
        <v>135</v>
      </c>
      <c r="C4" s="30"/>
      <c r="D4" s="31" t="str">
        <f t="shared" si="0"/>
        <v/>
      </c>
      <c r="E4" s="32">
        <v>0.3</v>
      </c>
      <c r="F4" s="33" t="str">
        <f t="shared" si="1"/>
        <v>不合格</v>
      </c>
    </row>
    <row r="5" customHeight="1" spans="1:6">
      <c r="A5" s="34" t="s">
        <v>34</v>
      </c>
      <c r="B5" s="29" t="s">
        <v>243</v>
      </c>
      <c r="C5" s="30"/>
      <c r="D5" s="31" t="str">
        <f t="shared" si="0"/>
        <v/>
      </c>
      <c r="E5" s="32">
        <v>0.3</v>
      </c>
      <c r="F5" s="33" t="str">
        <f t="shared" si="1"/>
        <v>不合格</v>
      </c>
    </row>
    <row r="6" customHeight="1" spans="1:6">
      <c r="A6" s="35"/>
      <c r="B6" s="29" t="s">
        <v>244</v>
      </c>
      <c r="C6" s="30"/>
      <c r="D6" s="31" t="str">
        <f t="shared" si="0"/>
        <v/>
      </c>
      <c r="E6" s="32">
        <v>0.3</v>
      </c>
      <c r="F6" s="33" t="str">
        <f t="shared" si="1"/>
        <v>不合格</v>
      </c>
    </row>
    <row r="7" customHeight="1" spans="1:6">
      <c r="A7" s="35"/>
      <c r="B7" s="29" t="s">
        <v>245</v>
      </c>
      <c r="C7" s="30"/>
      <c r="D7" s="31" t="str">
        <f t="shared" si="0"/>
        <v/>
      </c>
      <c r="E7" s="32">
        <v>0.3</v>
      </c>
      <c r="F7" s="33" t="str">
        <f t="shared" si="1"/>
        <v>不合格</v>
      </c>
    </row>
    <row r="8" customHeight="1" spans="1:6">
      <c r="A8" s="35"/>
      <c r="B8" s="29" t="s">
        <v>246</v>
      </c>
      <c r="C8" s="30"/>
      <c r="D8" s="31" t="str">
        <f t="shared" si="0"/>
        <v/>
      </c>
      <c r="E8" s="32">
        <v>0.3</v>
      </c>
      <c r="F8" s="33" t="str">
        <f t="shared" si="1"/>
        <v>不合格</v>
      </c>
    </row>
    <row r="9" customHeight="1" spans="1:6">
      <c r="A9" s="35"/>
      <c r="B9" s="29" t="s">
        <v>247</v>
      </c>
      <c r="C9" s="30"/>
      <c r="D9" s="31" t="str">
        <f t="shared" si="0"/>
        <v/>
      </c>
      <c r="E9" s="32">
        <v>0.3</v>
      </c>
      <c r="F9" s="33" t="str">
        <f t="shared" si="1"/>
        <v>不合格</v>
      </c>
    </row>
    <row r="10" customHeight="1" spans="1:6">
      <c r="A10" s="36"/>
      <c r="B10" s="29" t="s">
        <v>248</v>
      </c>
      <c r="C10" s="30"/>
      <c r="D10" s="31" t="str">
        <f t="shared" si="0"/>
        <v/>
      </c>
      <c r="E10" s="32">
        <v>0.3</v>
      </c>
      <c r="F10" s="33" t="str">
        <f t="shared" si="1"/>
        <v>不合格</v>
      </c>
    </row>
  </sheetData>
  <mergeCells count="1">
    <mergeCell ref="A5:A10"/>
  </mergeCells>
  <pageMargins left="0.75" right="0.75" top="1" bottom="1" header="0.5" footer="0.5"/>
  <pageSetup paperSize="1" firstPageNumber="4294963191" orientation="portrait" useFirstPageNumber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showRowColHeaders="0" workbookViewId="0">
      <pane topLeftCell="A1" activePane="topLeft"/>
      <selection activeCell="A1" sqref="A1"/>
    </sheetView>
  </sheetViews>
  <sheetFormatPr defaultColWidth="8.87962962962963" defaultRowHeight="14.25" customHeight="1" outlineLevelRow="7" outlineLevelCol="7"/>
  <cols>
    <col min="1" max="1" width="18.5" style="11" customWidth="1"/>
    <col min="2" max="2" width="8.87962962962963" style="11" customWidth="1"/>
    <col min="3" max="6" width="8.87962962962963" style="11"/>
    <col min="7" max="7" width="25.25" style="11" customWidth="1"/>
    <col min="8" max="16384" width="8.87962962962963" style="11"/>
  </cols>
  <sheetData>
    <row r="1" ht="28.8" spans="1:8">
      <c r="A1" s="2" t="s">
        <v>185</v>
      </c>
      <c r="B1" s="2" t="s">
        <v>305</v>
      </c>
      <c r="C1" s="12" t="s">
        <v>306</v>
      </c>
      <c r="D1" s="13"/>
      <c r="E1" s="14"/>
      <c r="F1" s="15" t="s">
        <v>307</v>
      </c>
      <c r="G1" s="2" t="s">
        <v>122</v>
      </c>
      <c r="H1" s="16"/>
    </row>
    <row r="2" ht="15.75" customHeight="1" spans="1:8">
      <c r="A2" s="17" t="s">
        <v>56</v>
      </c>
      <c r="B2" s="18">
        <v>220</v>
      </c>
      <c r="C2" s="19"/>
      <c r="D2" s="19"/>
      <c r="E2" s="19"/>
      <c r="F2" s="20">
        <v>0.01</v>
      </c>
      <c r="G2" s="8" t="str">
        <f t="shared" ref="G2:G3" si="0">IF(C2="","不合格",IF(ROUND(ABS(AVERAGE(C2:E2)),4)&lt;ROUND(F2,4),"合格","不合格"))</f>
        <v>不合格</v>
      </c>
      <c r="H2" s="16"/>
    </row>
    <row r="3" customHeight="1" spans="1:8">
      <c r="A3" s="17" t="s">
        <v>60</v>
      </c>
      <c r="B3" s="18">
        <v>360</v>
      </c>
      <c r="C3" s="19"/>
      <c r="D3" s="19"/>
      <c r="E3" s="19"/>
      <c r="F3" s="20">
        <v>0.05</v>
      </c>
      <c r="G3" s="8" t="str">
        <f t="shared" si="0"/>
        <v>不合格</v>
      </c>
      <c r="H3" s="16"/>
    </row>
    <row r="4" customHeight="1" spans="1:8">
      <c r="A4" s="16"/>
      <c r="B4" s="16"/>
      <c r="C4" s="21"/>
      <c r="D4" s="21"/>
      <c r="E4" s="21"/>
      <c r="F4" s="22"/>
      <c r="G4" s="16"/>
      <c r="H4" s="16"/>
    </row>
    <row r="5" customHeight="1" spans="1:8">
      <c r="A5" s="23"/>
      <c r="B5" s="16"/>
      <c r="C5" s="21"/>
      <c r="D5" s="21"/>
      <c r="E5" s="21"/>
      <c r="F5" s="22"/>
      <c r="G5" s="16"/>
      <c r="H5" s="16"/>
    </row>
    <row r="6" customHeight="1" spans="1:8">
      <c r="A6" s="16"/>
      <c r="B6" s="16"/>
      <c r="C6" s="21"/>
      <c r="D6" s="21"/>
      <c r="E6" s="21"/>
      <c r="F6" s="22"/>
      <c r="G6" s="16"/>
      <c r="H6" s="16"/>
    </row>
    <row r="7" customHeight="1" spans="1:8">
      <c r="A7" s="16"/>
      <c r="B7" s="16"/>
      <c r="C7" s="21"/>
      <c r="D7" s="21"/>
      <c r="E7" s="21"/>
      <c r="F7" s="22"/>
      <c r="G7" s="16"/>
      <c r="H7" s="16"/>
    </row>
    <row r="8" customHeight="1" spans="1:8">
      <c r="A8" s="16"/>
      <c r="B8" s="16"/>
      <c r="C8" s="21"/>
      <c r="D8" s="21"/>
      <c r="E8" s="21"/>
      <c r="F8" s="22"/>
      <c r="G8" s="16"/>
      <c r="H8" s="16"/>
    </row>
  </sheetData>
  <mergeCells count="1">
    <mergeCell ref="C1:E1"/>
  </mergeCells>
  <conditionalFormatting sqref="G2:G3">
    <cfRule type="cellIs" priority="1" operator="equal">
      <formula>"不合格"</formula>
    </cfRule>
  </conditionalFormatting>
  <pageMargins left="0.75" right="0.75" top="1" bottom="1" header="0.5" footer="0.5"/>
  <pageSetup paperSize="1" firstPageNumber="4294963191" orientation="portrait" useFirstPageNumber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showRowColHeaders="0" workbookViewId="0">
      <pane topLeftCell="A1" activePane="topLeft"/>
      <selection activeCell="A1" sqref="A1"/>
    </sheetView>
  </sheetViews>
  <sheetFormatPr defaultColWidth="8.87962962962963" defaultRowHeight="14.25" customHeight="1" outlineLevelRow="3" outlineLevelCol="3"/>
  <cols>
    <col min="1" max="1" width="13.1296296296296" style="1" customWidth="1"/>
    <col min="2" max="2" width="10.1296296296296" style="1" customWidth="1"/>
    <col min="3" max="3" width="11" style="1" customWidth="1"/>
    <col min="4" max="4" width="10.75" style="1" customWidth="1"/>
    <col min="5" max="16384" width="8.87962962962963" style="1"/>
  </cols>
  <sheetData>
    <row r="1" ht="28.8" spans="1:4">
      <c r="A1" s="2" t="s">
        <v>185</v>
      </c>
      <c r="B1" s="3" t="s">
        <v>63</v>
      </c>
      <c r="C1" s="4" t="s">
        <v>307</v>
      </c>
      <c r="D1" s="2" t="s">
        <v>122</v>
      </c>
    </row>
    <row r="2" customHeight="1" spans="1:4">
      <c r="A2" s="5" t="s">
        <v>61</v>
      </c>
      <c r="B2" s="6"/>
      <c r="C2" s="7">
        <v>0.0005</v>
      </c>
      <c r="D2" s="8" t="str">
        <f>IF(OR(B2="",(ABS(B2)&gt;C2)),"不合格","合格")</f>
        <v>不合格</v>
      </c>
    </row>
    <row r="3" customHeight="1" spans="2:2">
      <c r="B3" s="9"/>
    </row>
    <row r="4" customHeight="1" spans="2:2">
      <c r="B4" s="10"/>
    </row>
  </sheetData>
  <conditionalFormatting sqref="D2">
    <cfRule type="cellIs" priority="1" operator="equal">
      <formula>"不合格"</formula>
    </cfRule>
  </conditionalFormatting>
  <pageMargins left="0.75" right="0.75" top="1" bottom="1" header="0.5" footer="0.5"/>
  <pageSetup paperSize="1" firstPageNumber="4294963191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Report</vt:lpstr>
      <vt:lpstr>基础信息</vt:lpstr>
      <vt:lpstr>测量结果表</vt:lpstr>
      <vt:lpstr>管理表</vt:lpstr>
      <vt:lpstr>对应信息</vt:lpstr>
      <vt:lpstr>检测项信息</vt:lpstr>
      <vt:lpstr>仪器状态</vt:lpstr>
      <vt:lpstr>样品池准确度与重复性校验</vt:lpstr>
      <vt:lpstr>标准值</vt:lpstr>
      <vt:lpstr>字段对应</vt:lpstr>
      <vt:lpstr>样品池重复性</vt:lpstr>
      <vt:lpstr>波长拟合</vt:lpstr>
      <vt:lpstr>能量扫描</vt:lpstr>
      <vt:lpstr>波长示值误差与重复性校验</vt:lpstr>
      <vt:lpstr>杂散光校验</vt:lpstr>
      <vt:lpstr>基线平直度检验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99153</dc:creator>
  <cp:lastModifiedBy>寻</cp:lastModifiedBy>
  <cp:revision>0</cp:revision>
  <dcterms:created xsi:type="dcterms:W3CDTF">2006-09-16T08:00:00Z</dcterms:created>
  <dcterms:modified xsi:type="dcterms:W3CDTF">2024-10-28T12:51:39Z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8F776F41D1B44447A8BE5A42D860A213_12</vt:lpwstr>
  </property>
  <property fmtid="{D5CDD505-2E9C-101B-9397-08002B2CF9AE}" pid="3" name="KSOProductBuildVer">
    <vt:lpwstr>2052-12.1.0.18608</vt:lpwstr>
  </property>
</Properties>
</file>