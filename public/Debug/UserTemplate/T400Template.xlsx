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showSheetTabs="0" windowWidth="27945" windowHeight="14175" tabRatio="521" firstSheet="9"/>
  </bookViews>
  <sheets>
    <sheet name="Report" sheetId="21" r:id="rId1"/>
    <sheet name="基础信息" sheetId="13" r:id="rId2"/>
    <sheet name="测量结果表" sheetId="20" r:id="rId3"/>
    <sheet name="管理表" sheetId="19" r:id="rId4"/>
    <sheet name="对应信息" sheetId="17" r:id="rId5"/>
    <sheet name="检测项信息" sheetId="14" r:id="rId6"/>
    <sheet name="仪器状态" sheetId="22" r:id="rId7"/>
    <sheet name="标准值" sheetId="16" r:id="rId8"/>
    <sheet name="字段对应" sheetId="15" r:id="rId9"/>
    <sheet name="波长示值误差与重复性校验" sheetId="3" r:id="rId10"/>
    <sheet name="透射比示值误差与重复性校验" sheetId="4" r:id="rId11"/>
    <sheet name="杂散光校验" sheetId="5" r:id="rId12"/>
    <sheet name="基线平直度检验" sheetId="6" r:id="rId13"/>
    <sheet name="基线暗噪声检验" sheetId="7" r:id="rId14"/>
    <sheet name="噪声检验" sheetId="9" r:id="rId15"/>
    <sheet name="波长边缘噪声" sheetId="10" r:id="rId16"/>
    <sheet name="漂移检验" sheetId="11" r:id="rId17"/>
  </sheets>
  <definedNames>
    <definedName name="OLE_LINK10" localSheetId="0">Report!#REF!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<sst xmlns="http://schemas.openxmlformats.org/spreadsheetml/2006/main" count="793" uniqueCount="366">
  <si>
    <t>北京普析通用仪器有限责任公司</t>
  </si>
  <si>
    <t>文件编号</t>
  </si>
  <si>
    <t>T400T500系列紫外可见分光光度计整机检验原始记录表</t>
  </si>
  <si>
    <t>版本/修订</t>
  </si>
  <si>
    <t>发布/修订日期</t>
  </si>
  <si>
    <t>产品型号</t>
  </si>
  <si>
    <t>产品编号</t>
  </si>
  <si>
    <t>检验员</t>
  </si>
  <si>
    <t>检验日期</t>
  </si>
  <si>
    <t>复核员</t>
  </si>
  <si>
    <t>23-1610-01-05</t>
  </si>
  <si>
    <t xml:space="preserve"> </t>
  </si>
  <si>
    <t>温度(℃)</t>
  </si>
  <si>
    <t>相对湿度(%)</t>
  </si>
  <si>
    <t>检验结果</t>
  </si>
  <si>
    <t>序号</t>
  </si>
  <si>
    <t>检验项目</t>
  </si>
  <si>
    <t>结果</t>
  </si>
  <si>
    <t>波长示值误差与重复性</t>
  </si>
  <si>
    <t xml:space="preserve">
波长示值误差
镨钕：
±1.4nm
波长重复性
≤0.4nm 
</t>
  </si>
  <si>
    <t>波长段</t>
  </si>
  <si>
    <t>B段</t>
  </si>
  <si>
    <t>检测工具</t>
  </si>
  <si>
    <t>镨钕滤光片</t>
  </si>
  <si>
    <t>钬溶液</t>
  </si>
  <si>
    <t>标准值(nm)</t>
  </si>
  <si>
    <t>807.4</t>
  </si>
  <si>
    <t>640.7</t>
  </si>
  <si>
    <t>536.8</t>
  </si>
  <si>
    <t>416.5</t>
  </si>
  <si>
    <t>361.0</t>
  </si>
  <si>
    <t>测量值（nm）</t>
  </si>
  <si>
    <t>806.20</t>
  </si>
  <si>
    <t>639.60</t>
  </si>
  <si>
    <t>535.40</t>
  </si>
  <si>
    <t>415.20</t>
  </si>
  <si>
    <t>360.00</t>
  </si>
  <si>
    <t>平均值(nm)</t>
  </si>
  <si>
    <t>误差值(nm)</t>
  </si>
  <si>
    <t>-1.20</t>
  </si>
  <si>
    <t>-1.10</t>
  </si>
  <si>
    <t>-1.40</t>
  </si>
  <si>
    <t>-1.30</t>
  </si>
  <si>
    <t>-1.00</t>
  </si>
  <si>
    <t>重复性(nm)</t>
  </si>
  <si>
    <t>0.00</t>
  </si>
  <si>
    <t>透射比示值误差与重复性
(可见区）</t>
  </si>
  <si>
    <t xml:space="preserve">透射比示值误差
±0.3%
透射比重复性
≤0.15%
</t>
  </si>
  <si>
    <t>10%中性滤光片、20%中性滤光片、30%中性滤光片
（以标定的标准值为准）</t>
  </si>
  <si>
    <t>型号</t>
  </si>
  <si>
    <t>测量点</t>
  </si>
  <si>
    <t>10%中性滤光片</t>
  </si>
  <si>
    <t>标准值(%)</t>
  </si>
  <si>
    <t>7.57</t>
  </si>
  <si>
    <t>10.1</t>
  </si>
  <si>
    <t>10.07</t>
  </si>
  <si>
    <t>测量值(%)</t>
  </si>
  <si>
    <t>7.29</t>
  </si>
  <si>
    <t>9.83</t>
  </si>
  <si>
    <t>9.94</t>
  </si>
  <si>
    <t>7.30</t>
  </si>
  <si>
    <t>平均值(%)</t>
  </si>
  <si>
    <t>9.95</t>
  </si>
  <si>
    <t>误差值(%)</t>
  </si>
  <si>
    <t>-0.27</t>
  </si>
  <si>
    <t>-0.12</t>
  </si>
  <si>
    <t>重复性(%)</t>
  </si>
  <si>
    <t>20%中性滤光片</t>
  </si>
  <si>
    <t>18.98</t>
  </si>
  <si>
    <t>20.09</t>
  </si>
  <si>
    <t>20.91</t>
  </si>
  <si>
    <t>18.94</t>
  </si>
  <si>
    <t>20.07</t>
  </si>
  <si>
    <t>20.94</t>
  </si>
  <si>
    <t>18.95</t>
  </si>
  <si>
    <t>20.95</t>
  </si>
  <si>
    <t>-0.03</t>
  </si>
  <si>
    <t>-0.02</t>
  </si>
  <si>
    <t>0.04</t>
  </si>
  <si>
    <t>0.01</t>
  </si>
  <si>
    <t>透射比示值误差
±0.3%
透射比重复性
≤0.15%</t>
  </si>
  <si>
    <t>30%中性滤光片</t>
  </si>
  <si>
    <t>29.96</t>
  </si>
  <si>
    <t>30.43</t>
  </si>
  <si>
    <t>28.88</t>
  </si>
  <si>
    <t>29.85</t>
  </si>
  <si>
    <t>30.31</t>
  </si>
  <si>
    <t>28.89</t>
  </si>
  <si>
    <t>29.86</t>
  </si>
  <si>
    <t>30.32</t>
  </si>
  <si>
    <t>28.90</t>
  </si>
  <si>
    <t>-0.10</t>
  </si>
  <si>
    <t>-0.11</t>
  </si>
  <si>
    <t>0.02</t>
  </si>
  <si>
    <t>杂散光</t>
  </si>
  <si>
    <t>检验工具</t>
  </si>
  <si>
    <t>360nm</t>
  </si>
  <si>
    <t>≤0.05%</t>
  </si>
  <si>
    <t>亚硝酸钠标准溶液</t>
  </si>
  <si>
    <t>测量值
（%）</t>
  </si>
  <si>
    <t>0.016</t>
  </si>
  <si>
    <t>0.022</t>
  </si>
  <si>
    <t>0.023</t>
  </si>
  <si>
    <t>合格</t>
  </si>
  <si>
    <t>基线平直度</t>
  </si>
  <si>
    <t>≤±0.002（2.0nm光谱带宽）</t>
  </si>
  <si>
    <t>测量值（Abs）</t>
  </si>
  <si>
    <t>-0.0001</t>
  </si>
  <si>
    <t>基线暗噪声</t>
  </si>
  <si>
    <t>≤±0.5%</t>
  </si>
  <si>
    <t>测量值（%）</t>
  </si>
  <si>
    <t>-0.00</t>
  </si>
  <si>
    <t>噪声500nm</t>
  </si>
  <si>
    <t>≤0.15%</t>
  </si>
  <si>
    <t>0.027</t>
  </si>
  <si>
    <t>0.001</t>
  </si>
  <si>
    <t>边缘噪声
1090 nm</t>
  </si>
  <si>
    <t>≤1.0%</t>
  </si>
  <si>
    <t>0.0</t>
  </si>
  <si>
    <t>≤0.3%</t>
  </si>
  <si>
    <t>边缘噪声335nm</t>
  </si>
  <si>
    <t>漂移</t>
  </si>
  <si>
    <t>500nm ≤0.2%/h</t>
  </si>
  <si>
    <t>0.03</t>
  </si>
  <si>
    <t>电源电压的适应性</t>
  </si>
  <si>
    <t>±0.2%</t>
  </si>
  <si>
    <t>电压</t>
  </si>
  <si>
    <t>198V</t>
  </si>
  <si>
    <t>220V</t>
  </si>
  <si>
    <t>242V</t>
  </si>
  <si>
    <t>调压器，数字万用表</t>
  </si>
  <si>
    <t>500nm测量值（%）</t>
  </si>
  <si>
    <t>500nm处的透射比变化（%）</t>
  </si>
  <si>
    <t>250nm测量值（%）</t>
  </si>
  <si>
    <t>250nm处的透射比变化（%）</t>
  </si>
  <si>
    <t>介电强度</t>
  </si>
  <si>
    <t>无击穿和飞弧现象</t>
  </si>
  <si>
    <t>检验工具：耐压测试仪</t>
  </si>
  <si>
    <t xml:space="preserve">  有 □        无 □</t>
  </si>
  <si>
    <t>接触电流</t>
  </si>
  <si>
    <t>正常条件≤0.5mA</t>
  </si>
  <si>
    <t>检验工具：泄漏电流测试仪</t>
  </si>
  <si>
    <t>测量值（mA）</t>
  </si>
  <si>
    <t>单一故障≤3.5mA</t>
  </si>
  <si>
    <t>保护接地</t>
  </si>
  <si>
    <t>≤0.1Ω</t>
  </si>
  <si>
    <t>检验工具：程控接地电阻测试仪</t>
  </si>
  <si>
    <t>测量值（Ω）</t>
  </si>
  <si>
    <t>绝缘电阻</t>
  </si>
  <si>
    <t>≥20MΩ</t>
  </si>
  <si>
    <t>检验工具：绝缘电阻测试仪</t>
  </si>
  <si>
    <t>测量值（MΩ）</t>
  </si>
  <si>
    <t>外观和结构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</si>
  <si>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</si>
  <si>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合格□
不合格□</t>
  </si>
  <si>
    <t>检验结论</t>
  </si>
  <si>
    <t>合格 □                 不合格 □</t>
  </si>
  <si>
    <t>备注</t>
  </si>
  <si>
    <t xml:space="preserve">1.本表格依据T600T700系列紫外可见分光光度计整机检验工艺编制；
2. 测量结果保留的小数点位数应与指标要求的小数点位数一致；
3. 表格中的标准值依据有效期内的标准物质证书提供的标准值为准。
</t>
  </si>
  <si>
    <t>名称</t>
  </si>
  <si>
    <t>特征值</t>
  </si>
  <si>
    <t>标准值</t>
  </si>
  <si>
    <t>是否为光谱扫描</t>
  </si>
  <si>
    <t>灯状态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</si>
  <si>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</si>
  <si>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</si>
  <si>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</si>
  <si>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</si>
  <si>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</si>
  <si>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</si>
  <si>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</si>
  <si>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增益</t>
  </si>
  <si>
    <t>响应时间</t>
  </si>
  <si>
    <t>氘灯</t>
  </si>
  <si>
    <t>是</t>
  </si>
  <si>
    <t>钨灯</t>
  </si>
  <si>
    <t>Abs</t>
  </si>
  <si>
    <t>极慢</t>
  </si>
  <si>
    <t>低压汞灯A段</t>
  </si>
  <si>
    <t>否</t>
  </si>
  <si>
    <t>其它</t>
  </si>
  <si>
    <t>T%</t>
  </si>
  <si>
    <t>慢速</t>
  </si>
  <si>
    <t>低压汞灯B段</t>
  </si>
  <si>
    <t>365.0,435.8,546.1</t>
  </si>
  <si>
    <t>汞灯</t>
  </si>
  <si>
    <t>Es</t>
  </si>
  <si>
    <t>中速</t>
  </si>
  <si>
    <t>1.0</t>
  </si>
  <si>
    <t>739.2,,807.4</t>
  </si>
  <si>
    <t>Er</t>
  </si>
  <si>
    <t>快速</t>
  </si>
  <si>
    <t>2.0</t>
  </si>
  <si>
    <t>635.0,546.0,440.0</t>
  </si>
  <si>
    <t>R%</t>
  </si>
  <si>
    <t>极快</t>
  </si>
  <si>
    <t>5.0</t>
  </si>
  <si>
    <t>635.0,546.0,440.1</t>
  </si>
  <si>
    <t>635.0,546.0,440.2</t>
  </si>
  <si>
    <t>重铬酸钾标准物质</t>
  </si>
  <si>
    <t>22.9,51.3,13.7,18.2</t>
  </si>
  <si>
    <t>碘化钠溶液</t>
  </si>
  <si>
    <t>亚硝酸钠溶液</t>
  </si>
  <si>
    <t>项目编号</t>
  </si>
  <si>
    <t>仪器ID</t>
  </si>
  <si>
    <t>平均值</t>
  </si>
  <si>
    <t>误差值</t>
  </si>
  <si>
    <t>重复性</t>
  </si>
  <si>
    <t>检验地点</t>
  </si>
  <si>
    <t>温度</t>
  </si>
  <si>
    <t>湿度</t>
  </si>
  <si>
    <t>判定结果</t>
  </si>
  <si>
    <t>其他</t>
  </si>
  <si>
    <t>子项目编号-与检测项信息对应的</t>
  </si>
  <si>
    <t>父项目编号</t>
  </si>
  <si>
    <t>父项目名称</t>
  </si>
  <si>
    <t>子项目编号</t>
  </si>
  <si>
    <t>子项目名称</t>
  </si>
  <si>
    <t>可允许误差范围</t>
  </si>
  <si>
    <t>波长重复性</t>
  </si>
  <si>
    <t>T700S</t>
  </si>
  <si>
    <t>波长示值误差与重复性校验</t>
  </si>
  <si>
    <t>透射比示值误差与重复性校验</t>
  </si>
  <si>
    <t>635nm</t>
  </si>
  <si>
    <t>546nm</t>
  </si>
  <si>
    <t>440nm</t>
  </si>
  <si>
    <t>杂散光校验</t>
  </si>
  <si>
    <t>基线平直度检验</t>
  </si>
  <si>
    <t>基线暗噪声检验</t>
  </si>
  <si>
    <t>噪声检验</t>
  </si>
  <si>
    <t>500nm100%噪声</t>
  </si>
  <si>
    <t>500nm0%噪声</t>
  </si>
  <si>
    <t>波长边缘噪声</t>
  </si>
  <si>
    <t>1090nm100%噪声</t>
  </si>
  <si>
    <t>1090nm0%噪声</t>
  </si>
  <si>
    <t>335nm100%噪声</t>
  </si>
  <si>
    <t>335nm0%噪声</t>
  </si>
  <si>
    <t>漂移检验</t>
  </si>
  <si>
    <t>500nm</t>
  </si>
  <si>
    <t>1610</t>
  </si>
  <si>
    <t>T400</t>
  </si>
  <si>
    <t>1650</t>
  </si>
  <si>
    <t>T500</t>
  </si>
  <si>
    <t>U1601</t>
  </si>
  <si>
    <t>T600B</t>
  </si>
  <si>
    <t>U1602</t>
  </si>
  <si>
    <t>T600A</t>
  </si>
  <si>
    <t>U1603</t>
  </si>
  <si>
    <t>T600S</t>
  </si>
  <si>
    <t>U1604</t>
  </si>
  <si>
    <t>T600AS</t>
  </si>
  <si>
    <t>光谱带宽与仪器最小光谱带宽</t>
  </si>
  <si>
    <t>U1701</t>
  </si>
  <si>
    <t>T700B</t>
  </si>
  <si>
    <t>U1702</t>
  </si>
  <si>
    <t>T700A</t>
  </si>
  <si>
    <t>U1703</t>
  </si>
  <si>
    <t>U1704</t>
  </si>
  <si>
    <t>T700AS</t>
  </si>
  <si>
    <t>检测类别</t>
  </si>
  <si>
    <t>项目名称</t>
  </si>
  <si>
    <t>提示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</si>
  <si>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</si>
  <si>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</si>
  <si>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</si>
  <si>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</si>
  <si>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</si>
  <si>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</si>
  <si>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</si>
  <si>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</si>
  <si>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光谱带宽</t>
  </si>
  <si>
    <t>时间间隔</t>
  </si>
  <si>
    <t>扫描个数</t>
  </si>
  <si>
    <t>暗电流物质</t>
  </si>
  <si>
    <t>校零物质</t>
  </si>
  <si>
    <t>测量物质</t>
  </si>
  <si>
    <t>寻峰</t>
  </si>
  <si>
    <t>黑挡块</t>
  </si>
  <si>
    <t>空气</t>
  </si>
  <si>
    <t>640.7,536.8,416.5,361.0</t>
  </si>
  <si>
    <t>求最大偏移量</t>
  </si>
  <si>
    <t>最大最小值差</t>
  </si>
  <si>
    <t>360nm杂散光</t>
  </si>
  <si>
    <t>360</t>
  </si>
  <si>
    <t>多次测量</t>
  </si>
  <si>
    <t>亚硝酸钠空白溶液</t>
  </si>
  <si>
    <t>635,546,440</t>
  </si>
  <si>
    <t>求平均</t>
  </si>
  <si>
    <t>7.57,10.1,10.07</t>
  </si>
  <si>
    <t>18.89,20.09,20.91</t>
  </si>
  <si>
    <t>29.96,30.43,28.88</t>
  </si>
  <si>
    <t>仪器预热1小时之后进行检验</t>
  </si>
  <si>
    <t>仪器id</t>
  </si>
  <si>
    <t>项目</t>
  </si>
  <si>
    <t>能量</t>
  </si>
  <si>
    <t>id</t>
  </si>
  <si>
    <t>父id</t>
  </si>
  <si>
    <t>关灯，增益1下的RSD值</t>
  </si>
  <si>
    <t>关灯，增益2下的RSD值</t>
  </si>
  <si>
    <t>关灯，增益3下的RSD值</t>
  </si>
  <si>
    <t>关灯，增益4下的RSD值</t>
  </si>
  <si>
    <t>开灯，增益1下的RSD值</t>
  </si>
  <si>
    <t>开灯，增益2下的RSD值</t>
  </si>
  <si>
    <t>开灯，增益3下的RSD值</t>
  </si>
  <si>
    <t>开灯，增益4下的RSD值</t>
  </si>
  <si>
    <t>亚硝酸钠标准溶液-360nm能量</t>
  </si>
  <si>
    <t>基线平直度-全波长能量</t>
  </si>
  <si>
    <t>测试项</t>
  </si>
  <si>
    <t>标准值（%）</t>
  </si>
  <si>
    <t>修改标准值时，该仪器对应的模板文件必须未打开，同时修改后光标要在未修改的单元格内！方可保存成功！</t>
  </si>
  <si>
    <t>仪器方法标记</t>
  </si>
  <si>
    <t>仪器方法字段</t>
  </si>
  <si>
    <t>算法标记</t>
  </si>
  <si>
    <t>算法字段</t>
  </si>
  <si>
    <t>StartWl</t>
  </si>
  <si>
    <t>WlRange</t>
  </si>
  <si>
    <t>Validation.ViewModel.DataStructure.FindPeakAndAverageUVTestTool</t>
  </si>
  <si>
    <t>EndWl</t>
  </si>
  <si>
    <t>Validation.ViewModel.DataStructure.WlPointsAndAverageUVTestTool</t>
  </si>
  <si>
    <t>RepeatTimes</t>
  </si>
  <si>
    <t>Validation.ViewModel.DataStructure.WlPointsUVTestTool</t>
  </si>
  <si>
    <t>RepeatInterval</t>
  </si>
  <si>
    <t>Validation.ViewModel.DataStructure.FindMaxOffsetUVTestTool</t>
  </si>
  <si>
    <t>MethodStr</t>
  </si>
  <si>
    <t>求半峰宽</t>
  </si>
  <si>
    <t>Validation.ViewModel.DataStructure.FindHalfPeakUVTestTool</t>
  </si>
  <si>
    <t>MeasurePara</t>
  </si>
  <si>
    <t>Validation.ViewModel.DataStructure.GetMaxDIstanceUVTestTool</t>
  </si>
  <si>
    <t>使用物质</t>
  </si>
  <si>
    <t>ToolStr</t>
  </si>
  <si>
    <t>求漂移</t>
  </si>
  <si>
    <t>Validation.ViewModel.DataStructure.GetDriftUVTestTool</t>
  </si>
  <si>
    <t>Name</t>
  </si>
  <si>
    <t>PhotoMode</t>
  </si>
  <si>
    <t>ScanSpeed</t>
  </si>
  <si>
    <t>ScanWlInterval</t>
  </si>
  <si>
    <t>Gain</t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</si>
  <si>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</si>
  <si>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</si>
  <si>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</si>
  <si>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</si>
  <si>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</si>
  <si>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</si>
  <si>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</si>
  <si>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</si>
  <si>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</si>
  <si>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</si>
  <si>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timeinterval</t>
  </si>
  <si>
    <t>totalcount</t>
  </si>
  <si>
    <t>LampPos</t>
  </si>
  <si>
    <t>ResponseTime</t>
  </si>
  <si>
    <t>特征值（nm）</t>
  </si>
  <si>
    <t>平均值（nm）</t>
  </si>
  <si>
    <t>误差值（nm）</t>
  </si>
  <si>
    <t>重复性（nm）</t>
  </si>
  <si>
    <t>波长示值误差(nm)</t>
  </si>
  <si>
    <t>特征值(nm)</t>
  </si>
  <si>
    <t>平均值（%）</t>
  </si>
  <si>
    <t>误差值（%）</t>
  </si>
  <si>
    <t>重复性（%）</t>
  </si>
  <si>
    <t>透射比示值误差</t>
  </si>
  <si>
    <t>透射比重复性</t>
  </si>
  <si>
    <t>波长点</t>
  </si>
  <si>
    <t>指标要求</t>
  </si>
  <si>
    <t>垂直距离范围</t>
  </si>
  <si>
    <t>测量波长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</si>
</sst>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_);[Red]\(0.0\)"/>
    <numFmt numFmtId="178" formatCode="0.00_);[Red]\(0.00\)"/>
    <numFmt numFmtId="179" formatCode="0.0"/>
    <numFmt numFmtId="180" formatCode="0.000_);[Red]\(0.000\)"/>
    <numFmt numFmtId="181" formatCode="0.0000"/>
    <numFmt numFmtId="182" formatCode="0.00000"/>
    <numFmt numFmtId="183" formatCode="0.00_);[Red]\-0.00\ "/>
    <numFmt numFmtId="184" formatCode="0.0_);[Red]\-0.0\ "/>
    <numFmt numFmtId="185" formatCode="0.0000000_);[Red]\-0.0000000\ "/>
    <numFmt numFmtId="186" formatCode="[$-10804]yyyy&quot;年&quot;m&quot;月&quot;d&quot;日&quot;"/>
    <numFmt numFmtId="187" formatCode="[$-10804]yyyy/m/d\ h:mm"/>
    <numFmt numFmtId="188" formatCode="#,##0%;\-#,##0%"/>
  </numFmts>
  <fonts count="44">
    <font>
      <sz val="11"/>
      <name val="宋体"/>
      <charset val="134"/>
    </font>
    <font>
      <b/>
      <sz val="10.5"/>
      <color theme="1"/>
      <name val="宋体"/>
      <charset val="134"/>
    </font>
    <font>
      <b/>
      <sz val="10.5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0.5"/>
      <color rgb="FF000000"/>
      <name val="Times New Roman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.5"/>
      <color theme="1"/>
      <name val="Times New Roman"/>
      <charset val="134"/>
    </font>
    <font>
      <sz val="10.5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sz val="10.5"/>
      <color rgb="FF000000"/>
      <name val="Times New Roman"/>
      <charset val="134"/>
    </font>
    <font>
      <b/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8"/>
      <color theme="1"/>
      <name val="黑体"/>
      <charset val="134"/>
    </font>
    <font>
      <sz val="16"/>
      <color theme="1"/>
      <name val="黑体"/>
      <charset val="134"/>
    </font>
    <font>
      <sz val="11"/>
      <color rgb="FF000000"/>
      <name val="宋体"/>
      <charset val="134"/>
      <scheme val="minor"/>
    </font>
    <font>
      <sz val="12"/>
      <color theme="1"/>
      <name val="黑体"/>
      <charset val="134"/>
    </font>
    <font>
      <sz val="10.5"/>
      <color theme="1"/>
      <name val="黑体"/>
      <charset val="134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79949339274269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493392742698"/>
        <bgColor indexed="64"/>
      </patternFill>
    </fill>
    <fill>
      <patternFill patternType="solid">
        <fgColor theme="4" tint="0.7995239112521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top"/>
    </xf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9" borderId="19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0" borderId="22" applyNumberFormat="0" applyAlignment="0" applyProtection="0">
      <alignment vertical="center"/>
    </xf>
    <xf numFmtId="0" fontId="33" fillId="11" borderId="23" applyNumberFormat="0" applyAlignment="0" applyProtection="0">
      <alignment vertical="center"/>
    </xf>
    <xf numFmtId="0" fontId="34" fillId="11" borderId="22" applyNumberFormat="0" applyAlignment="0" applyProtection="0">
      <alignment vertical="center"/>
    </xf>
    <xf numFmtId="0" fontId="35" fillId="12" borderId="24" applyNumberFormat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37" fillId="0" borderId="26" applyNumberFormat="0" applyFill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" fillId="0" borderId="0"/>
    <xf numFmtId="0" fontId="43" fillId="0" borderId="0"/>
  </cellStyleXfs>
  <cellXfs count="290">
    <xf numFmtId="0" fontId="0" fillId="0" borderId="0" xfId="0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Alignment="1" applyProtection="1"/>
    <xf numFmtId="176" fontId="0" fillId="0" borderId="0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176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176" fontId="3" fillId="0" borderId="1" xfId="0" applyNumberFormat="1" applyFont="1" applyFill="1" applyBorder="1" applyAlignment="1" applyProtection="1">
      <alignment horizontal="center" vertical="center"/>
    </xf>
    <xf numFmtId="177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/>
    </xf>
    <xf numFmtId="2" fontId="3" fillId="0" borderId="1" xfId="0" applyNumberFormat="1" applyFont="1" applyFill="1" applyBorder="1" applyAlignment="1" applyProtection="1">
      <alignment horizontal="center" vertical="center"/>
    </xf>
    <xf numFmtId="2" fontId="4" fillId="0" borderId="2" xfId="0" applyNumberFormat="1" applyFont="1" applyFill="1" applyBorder="1" applyAlignment="1" applyProtection="1">
      <alignment horizontal="center" vertical="center" wrapText="1"/>
    </xf>
    <xf numFmtId="178" fontId="0" fillId="0" borderId="0" xfId="0" applyNumberFormat="1" applyFont="1" applyFill="1" applyBorder="1" applyAlignment="1" applyProtection="1"/>
    <xf numFmtId="2" fontId="1" fillId="2" borderId="1" xfId="0" applyNumberFormat="1" applyFont="1" applyFill="1" applyBorder="1" applyAlignment="1" applyProtection="1">
      <alignment horizontal="center" vertical="center" wrapText="1"/>
    </xf>
    <xf numFmtId="176" fontId="1" fillId="2" borderId="1" xfId="0" applyNumberFormat="1" applyFont="1" applyFill="1" applyBorder="1" applyAlignment="1" applyProtection="1">
      <alignment vertical="center" wrapText="1"/>
    </xf>
    <xf numFmtId="178" fontId="1" fillId="3" borderId="1" xfId="0" applyNumberFormat="1" applyFont="1" applyFill="1" applyBorder="1" applyAlignment="1" applyProtection="1">
      <alignment vertical="center" wrapText="1"/>
    </xf>
    <xf numFmtId="0" fontId="3" fillId="0" borderId="1" xfId="0" applyNumberFormat="1" applyFont="1" applyFill="1" applyBorder="1" applyAlignment="1" applyProtection="1"/>
    <xf numFmtId="179" fontId="5" fillId="0" borderId="1" xfId="0" applyNumberFormat="1" applyFont="1" applyFill="1" applyBorder="1" applyAlignment="1" applyProtection="1">
      <alignment horizontal="center" vertical="center" wrapText="1"/>
    </xf>
    <xf numFmtId="176" fontId="0" fillId="0" borderId="1" xfId="0" applyNumberFormat="1" applyFont="1" applyFill="1" applyBorder="1" applyAlignment="1" applyProtection="1">
      <alignment horizontal="center" vertical="center"/>
    </xf>
    <xf numFmtId="177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center"/>
    </xf>
    <xf numFmtId="180" fontId="0" fillId="0" borderId="0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vertical="center" wrapText="1"/>
    </xf>
    <xf numFmtId="180" fontId="1" fillId="3" borderId="1" xfId="0" applyNumberFormat="1" applyFont="1" applyFill="1" applyBorder="1" applyAlignment="1" applyProtection="1">
      <alignment vertical="center" wrapText="1"/>
    </xf>
    <xf numFmtId="181" fontId="0" fillId="0" borderId="1" xfId="0" applyNumberFormat="1" applyFont="1" applyFill="1" applyBorder="1" applyAlignment="1" applyProtection="1">
      <alignment horizontal="center" vertical="center"/>
    </xf>
    <xf numFmtId="178" fontId="1" fillId="0" borderId="1" xfId="0" applyNumberFormat="1" applyFont="1" applyFill="1" applyBorder="1" applyAlignment="1" applyProtection="1">
      <alignment horizontal="center" vertical="center" wrapText="1"/>
    </xf>
    <xf numFmtId="2" fontId="0" fillId="0" borderId="0" xfId="0" applyNumberFormat="1" applyFont="1" applyFill="1" applyBorder="1" applyAlignment="1" applyProtection="1"/>
    <xf numFmtId="177" fontId="0" fillId="0" borderId="0" xfId="0" applyNumberFormat="1" applyFont="1" applyFill="1" applyBorder="1" applyAlignment="1" applyProtection="1"/>
    <xf numFmtId="177" fontId="1" fillId="3" borderId="1" xfId="0" applyNumberFormat="1" applyFont="1" applyFill="1" applyBorder="1" applyAlignment="1" applyProtection="1">
      <alignment horizontal="center" vertical="center" wrapText="1"/>
    </xf>
    <xf numFmtId="177" fontId="3" fillId="0" borderId="1" xfId="0" applyNumberFormat="1" applyFont="1" applyFill="1" applyBorder="1" applyAlignment="1" applyProtection="1"/>
    <xf numFmtId="2" fontId="6" fillId="0" borderId="0" xfId="0" applyNumberFormat="1" applyFont="1" applyFill="1" applyBorder="1" applyAlignment="1" applyProtection="1"/>
    <xf numFmtId="182" fontId="0" fillId="0" borderId="0" xfId="0" applyNumberFormat="1" applyFont="1" applyFill="1" applyBorder="1" applyAlignment="1" applyProtection="1"/>
    <xf numFmtId="182" fontId="1" fillId="2" borderId="1" xfId="0" applyNumberFormat="1" applyFont="1" applyFill="1" applyBorder="1" applyAlignment="1" applyProtection="1">
      <alignment horizontal="center" vertical="center" wrapText="1"/>
    </xf>
    <xf numFmtId="182" fontId="3" fillId="0" borderId="1" xfId="0" applyNumberFormat="1" applyFont="1" applyFill="1" applyBorder="1" applyAlignment="1" applyProtection="1">
      <alignment horizontal="center" vertical="center"/>
    </xf>
    <xf numFmtId="180" fontId="3" fillId="0" borderId="1" xfId="0" applyNumberFormat="1" applyFont="1" applyFill="1" applyBorder="1" applyAlignment="1" applyProtection="1"/>
    <xf numFmtId="182" fontId="6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180" fontId="3" fillId="0" borderId="0" xfId="0" applyNumberFormat="1" applyFont="1" applyFill="1" applyBorder="1" applyAlignment="1" applyProtection="1"/>
    <xf numFmtId="178" fontId="3" fillId="0" borderId="0" xfId="0" applyNumberFormat="1" applyFont="1" applyFill="1" applyBorder="1" applyAlignment="1" applyProtection="1"/>
    <xf numFmtId="180" fontId="1" fillId="2" borderId="3" xfId="0" applyNumberFormat="1" applyFont="1" applyFill="1" applyBorder="1" applyAlignment="1" applyProtection="1">
      <alignment horizontal="center" vertical="center" wrapText="1"/>
    </xf>
    <xf numFmtId="180" fontId="1" fillId="2" borderId="4" xfId="0" applyNumberFormat="1" applyFont="1" applyFill="1" applyBorder="1" applyAlignment="1" applyProtection="1">
      <alignment horizontal="center" vertical="center" wrapText="1"/>
    </xf>
    <xf numFmtId="180" fontId="1" fillId="2" borderId="5" xfId="0" applyNumberFormat="1" applyFont="1" applyFill="1" applyBorder="1" applyAlignment="1" applyProtection="1">
      <alignment horizontal="center" vertical="center" wrapText="1"/>
    </xf>
    <xf numFmtId="178" fontId="1" fillId="3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181" fontId="3" fillId="0" borderId="1" xfId="0" applyNumberFormat="1" applyFont="1" applyFill="1" applyBorder="1" applyAlignment="1" applyProtection="1">
      <alignment horizontal="center" vertical="center"/>
    </xf>
    <xf numFmtId="178" fontId="5" fillId="0" borderId="1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2" fontId="3" fillId="0" borderId="0" xfId="0" applyNumberFormat="1" applyFont="1" applyFill="1" applyBorder="1" applyAlignment="1" applyProtection="1"/>
    <xf numFmtId="178" fontId="3" fillId="0" borderId="0" xfId="0" applyNumberFormat="1" applyFont="1" applyFill="1" applyBorder="1" applyAlignment="1" applyProtection="1">
      <alignment horizontal="center" vertical="center"/>
    </xf>
    <xf numFmtId="183" fontId="3" fillId="0" borderId="0" xfId="0" applyNumberFormat="1" applyFont="1" applyFill="1" applyBorder="1" applyAlignment="1" applyProtection="1">
      <alignment horizontal="center" vertical="center"/>
    </xf>
    <xf numFmtId="178" fontId="1" fillId="2" borderId="1" xfId="0" applyNumberFormat="1" applyFont="1" applyFill="1" applyBorder="1" applyAlignment="1" applyProtection="1">
      <alignment horizontal="center" vertical="center" wrapText="1"/>
    </xf>
    <xf numFmtId="2" fontId="1" fillId="2" borderId="3" xfId="0" applyNumberFormat="1" applyFont="1" applyFill="1" applyBorder="1" applyAlignment="1" applyProtection="1">
      <alignment horizontal="center" vertical="center" wrapText="1"/>
    </xf>
    <xf numFmtId="2" fontId="1" fillId="2" borderId="4" xfId="0" applyNumberFormat="1" applyFont="1" applyFill="1" applyBorder="1" applyAlignment="1" applyProtection="1">
      <alignment horizontal="center" vertical="center" wrapText="1"/>
    </xf>
    <xf numFmtId="2" fontId="1" fillId="2" borderId="5" xfId="0" applyNumberFormat="1" applyFont="1" applyFill="1" applyBorder="1" applyAlignment="1" applyProtection="1">
      <alignment horizontal="center" vertical="center" wrapText="1"/>
    </xf>
    <xf numFmtId="183" fontId="1" fillId="2" borderId="1" xfId="0" applyNumberFormat="1" applyFont="1" applyFill="1" applyBorder="1" applyAlignment="1" applyProtection="1">
      <alignment horizontal="center" vertical="center" wrapText="1"/>
    </xf>
    <xf numFmtId="0" fontId="8" fillId="0" borderId="3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176" fontId="8" fillId="0" borderId="1" xfId="0" applyNumberFormat="1" applyFont="1" applyFill="1" applyBorder="1" applyAlignment="1" applyProtection="1">
      <alignment horizontal="center" vertical="center" wrapText="1"/>
    </xf>
    <xf numFmtId="178" fontId="3" fillId="0" borderId="1" xfId="0" applyNumberFormat="1" applyFont="1" applyFill="1" applyBorder="1" applyAlignment="1" applyProtection="1">
      <alignment horizontal="center" vertical="center"/>
    </xf>
    <xf numFmtId="183" fontId="1" fillId="0" borderId="1" xfId="0" applyNumberFormat="1" applyFont="1" applyFill="1" applyBorder="1" applyAlignment="1" applyProtection="1">
      <alignment horizontal="center" vertical="center" wrapText="1"/>
    </xf>
    <xf numFmtId="0" fontId="8" fillId="0" borderId="6" xfId="0" applyNumberFormat="1" applyFont="1" applyFill="1" applyBorder="1" applyAlignment="1" applyProtection="1">
      <alignment horizontal="center" vertical="center" wrapText="1"/>
    </xf>
    <xf numFmtId="0" fontId="8" fillId="0" borderId="7" xfId="0" applyNumberFormat="1" applyFont="1" applyFill="1" applyBorder="1" applyAlignment="1" applyProtection="1">
      <alignment horizontal="center" vertical="center" wrapText="1"/>
    </xf>
    <xf numFmtId="178" fontId="3" fillId="0" borderId="1" xfId="0" applyNumberFormat="1" applyFont="1" applyFill="1" applyBorder="1" applyAlignment="1" applyProtection="1"/>
    <xf numFmtId="183" fontId="3" fillId="0" borderId="0" xfId="0" applyNumberFormat="1" applyFont="1" applyFill="1" applyBorder="1" applyAlignment="1" applyProtection="1"/>
    <xf numFmtId="177" fontId="3" fillId="0" borderId="0" xfId="0" applyNumberFormat="1" applyFont="1" applyFill="1" applyBorder="1" applyAlignment="1" applyProtection="1"/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4" xfId="0" applyNumberFormat="1" applyFont="1" applyFill="1" applyBorder="1" applyAlignment="1" applyProtection="1">
      <alignment horizontal="center" vertical="center" wrapText="1"/>
    </xf>
    <xf numFmtId="0" fontId="1" fillId="2" borderId="5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49" fontId="8" fillId="0" borderId="1" xfId="0" applyNumberFormat="1" applyFont="1" applyFill="1" applyBorder="1" applyAlignment="1" applyProtection="1">
      <alignment horizontal="center" vertical="center" wrapText="1"/>
    </xf>
    <xf numFmtId="177" fontId="3" fillId="0" borderId="1" xfId="0" applyNumberFormat="1" applyFont="1" applyFill="1" applyBorder="1" applyAlignment="1" applyProtection="1">
      <alignment horizontal="center"/>
    </xf>
    <xf numFmtId="184" fontId="3" fillId="0" borderId="1" xfId="0" applyNumberFormat="1" applyFont="1" applyFill="1" applyBorder="1" applyAlignment="1" applyProtection="1">
      <alignment horizontal="center"/>
    </xf>
    <xf numFmtId="179" fontId="3" fillId="0" borderId="1" xfId="0" applyNumberFormat="1" applyFont="1" applyFill="1" applyBorder="1" applyAlignment="1" applyProtection="1">
      <alignment horizontal="center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 wrapText="1"/>
    </xf>
    <xf numFmtId="178" fontId="8" fillId="0" borderId="0" xfId="0" applyNumberFormat="1" applyFont="1" applyFill="1" applyBorder="1" applyAlignment="1" applyProtection="1">
      <alignment horizontal="center" vertical="center" wrapText="1"/>
    </xf>
    <xf numFmtId="178" fontId="3" fillId="0" borderId="0" xfId="0" applyNumberFormat="1" applyFont="1" applyFill="1" applyBorder="1" applyAlignment="1" applyProtection="1">
      <alignment horizontal="center"/>
    </xf>
    <xf numFmtId="183" fontId="3" fillId="0" borderId="0" xfId="0" applyNumberFormat="1" applyFont="1" applyFill="1" applyBorder="1" applyAlignment="1" applyProtection="1">
      <alignment horizontal="center"/>
    </xf>
    <xf numFmtId="0" fontId="1" fillId="3" borderId="8" xfId="0" applyNumberFormat="1" applyFont="1" applyFill="1" applyBorder="1" applyAlignment="1" applyProtection="1">
      <alignment horizontal="center" vertical="center" wrapText="1"/>
    </xf>
    <xf numFmtId="0" fontId="1" fillId="2" borderId="8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/>
    <xf numFmtId="11" fontId="3" fillId="0" borderId="0" xfId="0" applyNumberFormat="1" applyFont="1" applyFill="1" applyBorder="1" applyAlignment="1" applyProtection="1"/>
    <xf numFmtId="185" fontId="3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center"/>
    </xf>
    <xf numFmtId="0" fontId="0" fillId="0" borderId="1" xfId="0" applyNumberFormat="1" applyFont="1" applyFill="1" applyBorder="1" applyAlignment="1" applyProtection="1">
      <alignment horizont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8" fillId="0" borderId="11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left" vertical="top"/>
    </xf>
    <xf numFmtId="0" fontId="4" fillId="4" borderId="1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/>
    <xf numFmtId="0" fontId="4" fillId="5" borderId="1" xfId="0" applyNumberFormat="1" applyFont="1" applyFill="1" applyBorder="1" applyAlignment="1" applyProtection="1"/>
    <xf numFmtId="0" fontId="4" fillId="0" borderId="1" xfId="0" applyNumberFormat="1" applyFont="1" applyFill="1" applyBorder="1" applyAlignment="1" applyProtection="1"/>
    <xf numFmtId="0" fontId="0" fillId="5" borderId="1" xfId="0" applyNumberFormat="1" applyFont="1" applyFill="1" applyBorder="1" applyAlignment="1" applyProtection="1"/>
    <xf numFmtId="0" fontId="9" fillId="5" borderId="1" xfId="0" applyNumberFormat="1" applyFont="1" applyFill="1" applyBorder="1" applyAlignment="1" applyProtection="1">
      <alignment horizontal="left" vertical="center" wrapText="1"/>
    </xf>
    <xf numFmtId="0" fontId="10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Fill="1" applyBorder="1" applyAlignment="1" applyProtection="1">
      <alignment wrapText="1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11" fillId="6" borderId="1" xfId="0" applyNumberFormat="1" applyFont="1" applyFill="1" applyBorder="1" applyAlignment="1" applyProtection="1">
      <alignment horizontal="center" vertical="center" wrapText="1"/>
    </xf>
    <xf numFmtId="0" fontId="0" fillId="6" borderId="1" xfId="0" applyNumberFormat="1" applyFont="1" applyFill="1" applyBorder="1" applyAlignment="1" applyProtection="1">
      <alignment horizontal="center" vertical="center" wrapText="1"/>
    </xf>
    <xf numFmtId="0" fontId="4" fillId="6" borderId="1" xfId="0" applyNumberFormat="1" applyFont="1" applyFill="1" applyBorder="1" applyAlignment="1" applyProtection="1">
      <alignment horizontal="center" vertical="center" wrapText="1"/>
    </xf>
    <xf numFmtId="49" fontId="11" fillId="0" borderId="1" xfId="0" applyNumberFormat="1" applyFont="1" applyFill="1" applyBorder="1" applyAlignment="1" applyProtection="1">
      <alignment horizontal="center" vertical="center" wrapText="1"/>
    </xf>
    <xf numFmtId="49" fontId="0" fillId="0" borderId="1" xfId="0" applyNumberFormat="1" applyFont="1" applyFill="1" applyBorder="1" applyAlignment="1" applyProtection="1">
      <alignment wrapText="1"/>
    </xf>
    <xf numFmtId="49" fontId="4" fillId="0" borderId="1" xfId="0" applyNumberFormat="1" applyFont="1" applyFill="1" applyBorder="1" applyAlignment="1" applyProtection="1">
      <alignment wrapText="1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49" fontId="3" fillId="0" borderId="1" xfId="0" applyNumberFormat="1" applyFont="1" applyFill="1" applyBorder="1" applyAlignment="1" applyProtection="1">
      <alignment horizontal="center" vertical="center" wrapText="1"/>
    </xf>
    <xf numFmtId="49" fontId="4" fillId="0" borderId="1" xfId="0" applyNumberFormat="1" applyFont="1" applyFill="1" applyBorder="1" applyAlignment="1" applyProtection="1">
      <alignment horizontal="center" vertical="center"/>
    </xf>
    <xf numFmtId="0" fontId="0" fillId="7" borderId="1" xfId="0" applyNumberFormat="1" applyFont="1" applyFill="1" applyBorder="1" applyAlignment="1" applyProtection="1">
      <alignment horizontal="center"/>
    </xf>
    <xf numFmtId="0" fontId="0" fillId="7" borderId="1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/>
    <xf numFmtId="186" fontId="4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center"/>
    </xf>
    <xf numFmtId="0" fontId="3" fillId="7" borderId="3" xfId="0" applyNumberFormat="1" applyFont="1" applyFill="1" applyBorder="1" applyAlignment="1" applyProtection="1">
      <alignment horizontal="center" vertical="center"/>
    </xf>
    <xf numFmtId="0" fontId="3" fillId="7" borderId="4" xfId="0" applyNumberFormat="1" applyFont="1" applyFill="1" applyBorder="1" applyAlignment="1" applyProtection="1">
      <alignment horizontal="center" vertical="center"/>
    </xf>
    <xf numFmtId="0" fontId="3" fillId="7" borderId="5" xfId="0" applyNumberFormat="1" applyFont="1" applyFill="1" applyBorder="1" applyAlignment="1" applyProtection="1">
      <alignment horizontal="center" vertical="center"/>
    </xf>
    <xf numFmtId="0" fontId="3" fillId="7" borderId="1" xfId="0" applyNumberFormat="1" applyFont="1" applyFill="1" applyBorder="1" applyAlignment="1" applyProtection="1">
      <alignment horizontal="center"/>
    </xf>
    <xf numFmtId="0" fontId="12" fillId="7" borderId="1" xfId="0" applyNumberFormat="1" applyFont="1" applyFill="1" applyBorder="1" applyAlignment="1" applyProtection="1">
      <alignment horizontal="center" vertical="center" wrapText="1"/>
    </xf>
    <xf numFmtId="0" fontId="13" fillId="7" borderId="1" xfId="0" applyNumberFormat="1" applyFont="1" applyFill="1" applyBorder="1" applyAlignment="1" applyProtection="1">
      <alignment horizontal="center" vertical="center" wrapText="1"/>
    </xf>
    <xf numFmtId="178" fontId="0" fillId="7" borderId="1" xfId="0" applyNumberFormat="1" applyFont="1" applyFill="1" applyBorder="1" applyAlignment="1" applyProtection="1">
      <alignment horizontal="center"/>
    </xf>
    <xf numFmtId="0" fontId="4" fillId="7" borderId="1" xfId="0" applyNumberFormat="1" applyFont="1" applyFill="1" applyBorder="1" applyAlignment="1" applyProtection="1">
      <alignment horizontal="center"/>
    </xf>
    <xf numFmtId="0" fontId="9" fillId="7" borderId="1" xfId="0" applyNumberFormat="1" applyFont="1" applyFill="1" applyBorder="1" applyAlignment="1" applyProtection="1">
      <alignment horizontal="center" vertical="center" wrapText="1"/>
    </xf>
    <xf numFmtId="0" fontId="14" fillId="7" borderId="1" xfId="0" applyNumberFormat="1" applyFont="1" applyFill="1" applyBorder="1" applyAlignment="1" applyProtection="1">
      <alignment horizontal="center" vertical="center" wrapText="1"/>
    </xf>
    <xf numFmtId="178" fontId="14" fillId="7" borderId="1" xfId="0" applyNumberFormat="1" applyFont="1" applyFill="1" applyBorder="1" applyAlignment="1" applyProtection="1">
      <alignment horizontal="center" vertical="center" wrapText="1"/>
    </xf>
    <xf numFmtId="177" fontId="0" fillId="7" borderId="1" xfId="0" applyNumberFormat="1" applyFont="1" applyFill="1" applyBorder="1" applyAlignment="1" applyProtection="1">
      <alignment horizontal="center"/>
    </xf>
    <xf numFmtId="179" fontId="14" fillId="7" borderId="1" xfId="0" applyNumberFormat="1" applyFont="1" applyFill="1" applyBorder="1" applyAlignment="1" applyProtection="1">
      <alignment horizontal="center" vertical="center" wrapText="1"/>
    </xf>
    <xf numFmtId="178" fontId="12" fillId="7" borderId="1" xfId="0" applyNumberFormat="1" applyFont="1" applyFill="1" applyBorder="1" applyAlignment="1" applyProtection="1">
      <alignment horizontal="center" vertical="center" wrapText="1"/>
    </xf>
    <xf numFmtId="180" fontId="12" fillId="7" borderId="1" xfId="0" applyNumberFormat="1" applyFont="1" applyFill="1" applyBorder="1" applyAlignment="1" applyProtection="1">
      <alignment horizontal="center" vertical="center" wrapText="1"/>
    </xf>
    <xf numFmtId="177" fontId="12" fillId="7" borderId="1" xfId="0" applyNumberFormat="1" applyFont="1" applyFill="1" applyBorder="1" applyAlignment="1" applyProtection="1">
      <alignment horizontal="center" vertical="center" wrapText="1"/>
    </xf>
    <xf numFmtId="0" fontId="4" fillId="7" borderId="1" xfId="0" applyNumberFormat="1" applyFont="1" applyFill="1" applyBorder="1" applyAlignment="1" applyProtection="1">
      <alignment horizontal="center" vertical="center"/>
    </xf>
    <xf numFmtId="177" fontId="0" fillId="7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/>
    </xf>
    <xf numFmtId="0" fontId="0" fillId="5" borderId="0" xfId="0" applyNumberFormat="1" applyFont="1" applyFill="1" applyBorder="1" applyAlignment="1" applyProtection="1">
      <alignment horizontal="left"/>
    </xf>
    <xf numFmtId="0" fontId="0" fillId="5" borderId="0" xfId="0" applyNumberFormat="1" applyFont="1" applyFill="1" applyBorder="1" applyAlignment="1" applyProtection="1">
      <alignment horizontal="left" vertical="center"/>
    </xf>
    <xf numFmtId="186" fontId="0" fillId="0" borderId="0" xfId="0" applyNumberFormat="1" applyFont="1" applyFill="1" applyBorder="1" applyAlignment="1" applyProtection="1">
      <alignment horizontal="left"/>
    </xf>
    <xf numFmtId="0" fontId="3" fillId="8" borderId="1" xfId="0" applyNumberFormat="1" applyFont="1" applyFill="1" applyBorder="1" applyAlignment="1" applyProtection="1">
      <alignment horizontal="center" vertical="center"/>
    </xf>
    <xf numFmtId="0" fontId="3" fillId="8" borderId="1" xfId="0" applyNumberFormat="1" applyFont="1" applyFill="1" applyBorder="1" applyAlignment="1" applyProtection="1">
      <alignment horizontal="left" vertical="center"/>
    </xf>
    <xf numFmtId="0" fontId="3" fillId="8" borderId="1" xfId="0" applyNumberFormat="1" applyFont="1" applyFill="1" applyBorder="1" applyAlignment="1" applyProtection="1">
      <alignment horizontal="left"/>
    </xf>
    <xf numFmtId="0" fontId="13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left"/>
    </xf>
    <xf numFmtId="0" fontId="4" fillId="0" borderId="1" xfId="0" applyNumberFormat="1" applyFont="1" applyFill="1" applyBorder="1" applyAlignment="1" applyProtection="1">
      <alignment horizontal="left"/>
    </xf>
    <xf numFmtId="186" fontId="3" fillId="8" borderId="1" xfId="0" applyNumberFormat="1" applyFont="1" applyFill="1" applyBorder="1" applyAlignment="1" applyProtection="1">
      <alignment horizontal="left"/>
    </xf>
    <xf numFmtId="187" fontId="0" fillId="0" borderId="1" xfId="0" applyNumberFormat="1" applyFont="1" applyFill="1" applyBorder="1" applyAlignment="1" applyProtection="1">
      <alignment horizontal="left"/>
    </xf>
    <xf numFmtId="0" fontId="15" fillId="0" borderId="1" xfId="0" applyNumberFormat="1" applyFont="1" applyFill="1" applyBorder="1" applyAlignment="1" applyProtection="1">
      <alignment horizontal="center" vertical="center" wrapText="1"/>
    </xf>
    <xf numFmtId="0" fontId="16" fillId="0" borderId="1" xfId="0" applyNumberFormat="1" applyFont="1" applyFill="1" applyBorder="1" applyAlignment="1" applyProtection="1">
      <alignment horizontal="center" vertical="center"/>
    </xf>
    <xf numFmtId="3" fontId="0" fillId="0" borderId="1" xfId="0" applyNumberFormat="1" applyFont="1" applyFill="1" applyBorder="1" applyAlignment="1" applyProtection="1">
      <alignment horizontal="center" vertical="center"/>
    </xf>
    <xf numFmtId="49" fontId="15" fillId="0" borderId="1" xfId="0" applyNumberFormat="1" applyFont="1" applyFill="1" applyBorder="1" applyAlignment="1" applyProtection="1">
      <alignment horizontal="center" vertical="center" wrapText="1"/>
    </xf>
    <xf numFmtId="49" fontId="0" fillId="0" borderId="1" xfId="0" applyNumberFormat="1" applyFont="1" applyFill="1" applyBorder="1" applyAlignment="1" applyProtection="1">
      <alignment horizontal="center" vertical="center"/>
    </xf>
    <xf numFmtId="0" fontId="4" fillId="5" borderId="0" xfId="0" applyNumberFormat="1" applyFont="1" applyFill="1" applyBorder="1" applyAlignment="1" applyProtection="1"/>
    <xf numFmtId="0" fontId="13" fillId="0" borderId="3" xfId="0" applyNumberFormat="1" applyFont="1" applyFill="1" applyBorder="1" applyAlignment="1" applyProtection="1">
      <alignment vertical="center" wrapText="1"/>
    </xf>
    <xf numFmtId="0" fontId="13" fillId="0" borderId="12" xfId="0" applyNumberFormat="1" applyFont="1" applyFill="1" applyBorder="1" applyAlignment="1" applyProtection="1">
      <alignment vertical="center" wrapText="1"/>
    </xf>
    <xf numFmtId="0" fontId="17" fillId="0" borderId="3" xfId="0" applyNumberFormat="1" applyFont="1" applyFill="1" applyBorder="1" applyAlignment="1" applyProtection="1">
      <alignment horizontal="center" vertical="center" wrapText="1"/>
    </xf>
    <xf numFmtId="0" fontId="17" fillId="0" borderId="4" xfId="0" applyNumberFormat="1" applyFont="1" applyFill="1" applyBorder="1" applyAlignment="1" applyProtection="1">
      <alignment horizontal="center" vertical="center" wrapText="1"/>
    </xf>
    <xf numFmtId="0" fontId="13" fillId="0" borderId="10" xfId="0" applyNumberFormat="1" applyFont="1" applyFill="1" applyBorder="1" applyAlignment="1" applyProtection="1">
      <alignment vertical="center" wrapText="1"/>
    </xf>
    <xf numFmtId="0" fontId="13" fillId="0" borderId="13" xfId="0" applyNumberFormat="1" applyFont="1" applyFill="1" applyBorder="1" applyAlignment="1" applyProtection="1">
      <alignment vertical="center" wrapText="1"/>
    </xf>
    <xf numFmtId="0" fontId="18" fillId="0" borderId="3" xfId="0" applyNumberFormat="1" applyFont="1" applyFill="1" applyBorder="1" applyAlignment="1" applyProtection="1">
      <alignment horizontal="center" vertical="center" wrapText="1"/>
    </xf>
    <xf numFmtId="0" fontId="18" fillId="0" borderId="14" xfId="0" applyNumberFormat="1" applyFont="1" applyFill="1" applyBorder="1" applyAlignment="1" applyProtection="1">
      <alignment horizontal="center" vertical="center" wrapText="1"/>
    </xf>
    <xf numFmtId="0" fontId="13" fillId="0" borderId="15" xfId="0" applyNumberFormat="1" applyFont="1" applyFill="1" applyBorder="1" applyAlignment="1" applyProtection="1">
      <alignment vertical="center" wrapText="1"/>
    </xf>
    <xf numFmtId="0" fontId="13" fillId="0" borderId="16" xfId="0" applyNumberFormat="1" applyFont="1" applyFill="1" applyBorder="1" applyAlignment="1" applyProtection="1">
      <alignment vertical="center" wrapText="1"/>
    </xf>
    <xf numFmtId="0" fontId="18" fillId="0" borderId="15" xfId="0" applyNumberFormat="1" applyFont="1" applyFill="1" applyBorder="1" applyAlignment="1" applyProtection="1">
      <alignment horizontal="center" vertical="center" wrapText="1"/>
    </xf>
    <xf numFmtId="0" fontId="18" fillId="0" borderId="17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/>
    </xf>
    <xf numFmtId="0" fontId="4" fillId="0" borderId="12" xfId="0" applyNumberFormat="1" applyFont="1" applyFill="1" applyBorder="1" applyAlignment="1" applyProtection="1">
      <alignment horizontal="center" vertical="center" wrapText="1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178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Alignment="1" applyProtection="1">
      <alignment horizontal="center" vertical="center" wrapText="1"/>
    </xf>
    <xf numFmtId="2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183" fontId="4" fillId="0" borderId="3" xfId="0" applyNumberFormat="1" applyFont="1" applyFill="1" applyBorder="1" applyAlignment="1" applyProtection="1">
      <alignment horizontal="center" vertical="center" wrapText="1"/>
    </xf>
    <xf numFmtId="183" fontId="4" fillId="0" borderId="1" xfId="0" applyNumberFormat="1" applyFont="1" applyFill="1" applyBorder="1" applyAlignment="1" applyProtection="1">
      <alignment horizontal="center" vertical="center" wrapText="1"/>
    </xf>
    <xf numFmtId="0" fontId="19" fillId="0" borderId="3" xfId="0" applyNumberFormat="1" applyFont="1" applyFill="1" applyBorder="1" applyAlignment="1" applyProtection="1">
      <alignment horizontal="center" vertical="center" wrapText="1"/>
    </xf>
    <xf numFmtId="0" fontId="19" fillId="0" borderId="14" xfId="0" applyNumberFormat="1" applyFont="1" applyFill="1" applyBorder="1" applyAlignment="1" applyProtection="1">
      <alignment horizontal="center" vertical="center" wrapText="1"/>
    </xf>
    <xf numFmtId="0" fontId="19" fillId="0" borderId="12" xfId="0" applyNumberFormat="1" applyFont="1" applyFill="1" applyBorder="1" applyAlignment="1" applyProtection="1">
      <alignment horizontal="center" vertical="center" wrapText="1"/>
    </xf>
    <xf numFmtId="0" fontId="19" fillId="0" borderId="6" xfId="0" applyNumberFormat="1" applyFont="1" applyFill="1" applyBorder="1" applyAlignment="1" applyProtection="1">
      <alignment horizontal="center" vertical="center" wrapText="1"/>
    </xf>
    <xf numFmtId="0" fontId="19" fillId="0" borderId="15" xfId="0" applyNumberFormat="1" applyFont="1" applyFill="1" applyBorder="1" applyAlignment="1" applyProtection="1">
      <alignment horizontal="center" vertical="center" wrapText="1"/>
    </xf>
    <xf numFmtId="0" fontId="19" fillId="0" borderId="17" xfId="0" applyNumberFormat="1" applyFont="1" applyFill="1" applyBorder="1" applyAlignment="1" applyProtection="1">
      <alignment horizontal="center" vertical="center" wrapText="1"/>
    </xf>
    <xf numFmtId="0" fontId="19" fillId="0" borderId="16" xfId="0" applyNumberFormat="1" applyFont="1" applyFill="1" applyBorder="1" applyAlignment="1" applyProtection="1">
      <alignment horizontal="center" vertical="center" wrapText="1"/>
    </xf>
    <xf numFmtId="0" fontId="19" fillId="0" borderId="3" xfId="0" applyNumberFormat="1" applyFont="1" applyFill="1" applyBorder="1" applyAlignment="1" applyProtection="1">
      <alignment horizontal="center" vertical="center"/>
    </xf>
    <xf numFmtId="0" fontId="19" fillId="0" borderId="7" xfId="0" applyNumberFormat="1" applyFont="1" applyFill="1" applyBorder="1" applyAlignment="1" applyProtection="1">
      <alignment horizontal="center" vertical="center" wrapText="1"/>
    </xf>
    <xf numFmtId="0" fontId="19" fillId="0" borderId="7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vertical="center" wrapText="1"/>
    </xf>
    <xf numFmtId="188" fontId="4" fillId="0" borderId="3" xfId="0" applyNumberFormat="1" applyFont="1" applyFill="1" applyBorder="1" applyAlignment="1" applyProtection="1">
      <alignment horizontal="center" vertical="center" wrapText="1"/>
    </xf>
    <xf numFmtId="176" fontId="4" fillId="0" borderId="3" xfId="0" applyNumberFormat="1" applyFont="1" applyFill="1" applyBorder="1" applyAlignment="1" applyProtection="1">
      <alignment horizontal="center" vertical="center" wrapText="1"/>
    </xf>
    <xf numFmtId="188" fontId="4" fillId="0" borderId="7" xfId="0" applyNumberFormat="1" applyFont="1" applyFill="1" applyBorder="1" applyAlignment="1" applyProtection="1">
      <alignment horizontal="center" vertical="center" wrapText="1"/>
    </xf>
    <xf numFmtId="176" fontId="4" fillId="0" borderId="15" xfId="0" applyNumberFormat="1" applyFont="1" applyFill="1" applyBorder="1" applyAlignment="1" applyProtection="1">
      <alignment horizontal="center" vertical="center" wrapText="1"/>
    </xf>
    <xf numFmtId="2" fontId="4" fillId="0" borderId="15" xfId="0" applyNumberFormat="1" applyFont="1" applyFill="1" applyBorder="1" applyAlignment="1" applyProtection="1">
      <alignment horizontal="center" vertical="center" wrapText="1"/>
    </xf>
    <xf numFmtId="0" fontId="19" fillId="0" borderId="15" xfId="0" applyNumberFormat="1" applyFont="1" applyFill="1" applyBorder="1" applyAlignment="1" applyProtection="1">
      <alignment horizontal="center" vertical="center"/>
    </xf>
    <xf numFmtId="0" fontId="17" fillId="0" borderId="5" xfId="0" applyNumberFormat="1" applyFont="1" applyFill="1" applyBorder="1" applyAlignment="1" applyProtection="1">
      <alignment horizontal="center" vertical="center" wrapText="1"/>
    </xf>
    <xf numFmtId="0" fontId="20" fillId="0" borderId="3" xfId="0" applyNumberFormat="1" applyFont="1" applyFill="1" applyBorder="1" applyAlignment="1" applyProtection="1">
      <alignment horizontal="center" vertical="center" wrapText="1"/>
    </xf>
    <xf numFmtId="0" fontId="20" fillId="0" borderId="5" xfId="0" applyNumberFormat="1" applyFont="1" applyFill="1" applyBorder="1" applyAlignment="1" applyProtection="1">
      <alignment horizontal="center" vertical="center" wrapText="1"/>
    </xf>
    <xf numFmtId="0" fontId="21" fillId="0" borderId="3" xfId="0" applyNumberFormat="1" applyFont="1" applyFill="1" applyBorder="1" applyAlignment="1" applyProtection="1">
      <alignment horizontal="center" vertical="center" wrapText="1"/>
    </xf>
    <xf numFmtId="0" fontId="21" fillId="0" borderId="5" xfId="0" applyNumberFormat="1" applyFont="1" applyFill="1" applyBorder="1" applyAlignment="1" applyProtection="1">
      <alignment horizontal="center" vertical="center" wrapText="1"/>
    </xf>
    <xf numFmtId="0" fontId="18" fillId="0" borderId="12" xfId="0" applyNumberFormat="1" applyFont="1" applyFill="1" applyBorder="1" applyAlignment="1" applyProtection="1">
      <alignment horizontal="center" vertical="center" wrapText="1"/>
    </xf>
    <xf numFmtId="0" fontId="18" fillId="0" borderId="16" xfId="0" applyNumberFormat="1" applyFont="1" applyFill="1" applyBorder="1" applyAlignment="1" applyProtection="1">
      <alignment horizontal="center" vertical="center" wrapText="1"/>
    </xf>
    <xf numFmtId="0" fontId="20" fillId="0" borderId="3" xfId="0" applyNumberFormat="1" applyFont="1" applyFill="1" applyBorder="1" applyAlignment="1" applyProtection="1">
      <alignment horizontal="center" vertical="center"/>
    </xf>
    <xf numFmtId="0" fontId="20" fillId="0" borderId="5" xfId="0" applyNumberFormat="1" applyFont="1" applyFill="1" applyBorder="1" applyAlignment="1" applyProtection="1">
      <alignment horizontal="center" vertical="center"/>
    </xf>
    <xf numFmtId="0" fontId="12" fillId="0" borderId="3" xfId="0" applyNumberFormat="1" applyFont="1" applyFill="1" applyBorder="1" applyAlignment="1" applyProtection="1">
      <alignment horizontal="center" vertical="center" wrapText="1"/>
    </xf>
    <xf numFmtId="0" fontId="12" fillId="0" borderId="5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/>
    </xf>
    <xf numFmtId="0" fontId="4" fillId="0" borderId="5" xfId="0" applyNumberFormat="1" applyFont="1" applyFill="1" applyBorder="1" applyAlignment="1" applyProtection="1">
      <alignment horizontal="center"/>
    </xf>
    <xf numFmtId="178" fontId="4" fillId="0" borderId="4" xfId="0" applyNumberFormat="1" applyFont="1" applyFill="1" applyBorder="1" applyAlignment="1" applyProtection="1">
      <alignment horizontal="center" vertical="center" wrapText="1"/>
    </xf>
    <xf numFmtId="178" fontId="4" fillId="0" borderId="5" xfId="0" applyNumberFormat="1" applyFont="1" applyFill="1" applyBorder="1" applyAlignment="1" applyProtection="1">
      <alignment horizontal="center" vertical="center" wrapText="1"/>
    </xf>
    <xf numFmtId="178" fontId="4" fillId="0" borderId="16" xfId="0" applyNumberFormat="1" applyFont="1" applyFill="1" applyBorder="1" applyAlignment="1" applyProtection="1">
      <alignment horizontal="center" vertical="center" wrapText="1"/>
    </xf>
    <xf numFmtId="178" fontId="4" fillId="0" borderId="18" xfId="0" applyNumberFormat="1" applyFont="1" applyFill="1" applyBorder="1" applyAlignment="1" applyProtection="1">
      <alignment horizontal="center" vertical="center" wrapText="1"/>
    </xf>
    <xf numFmtId="178" fontId="4" fillId="0" borderId="7" xfId="0" applyNumberFormat="1" applyFont="1" applyFill="1" applyBorder="1" applyAlignment="1" applyProtection="1">
      <alignment horizontal="center" vertical="center" wrapText="1"/>
    </xf>
    <xf numFmtId="2" fontId="4" fillId="0" borderId="4" xfId="0" applyNumberFormat="1" applyFont="1" applyFill="1" applyBorder="1" applyAlignment="1" applyProtection="1">
      <alignment horizontal="center" vertical="center" wrapText="1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183" fontId="4" fillId="0" borderId="4" xfId="0" applyNumberFormat="1" applyFont="1" applyFill="1" applyBorder="1" applyAlignment="1" applyProtection="1">
      <alignment horizontal="center" vertical="center" wrapText="1"/>
    </xf>
    <xf numFmtId="183" fontId="4" fillId="0" borderId="5" xfId="0" applyNumberFormat="1" applyFont="1" applyFill="1" applyBorder="1" applyAlignment="1" applyProtection="1">
      <alignment horizontal="center" vertical="center" wrapText="1"/>
    </xf>
    <xf numFmtId="0" fontId="4" fillId="5" borderId="3" xfId="0" applyNumberFormat="1" applyFont="1" applyFill="1" applyBorder="1" applyAlignment="1" applyProtection="1">
      <alignment horizontal="center" vertical="center" wrapText="1"/>
    </xf>
    <xf numFmtId="0" fontId="4" fillId="5" borderId="14" xfId="0" applyNumberFormat="1" applyFont="1" applyFill="1" applyBorder="1" applyAlignment="1" applyProtection="1">
      <alignment horizontal="center" vertical="center" wrapText="1"/>
    </xf>
    <xf numFmtId="0" fontId="4" fillId="5" borderId="12" xfId="0" applyNumberFormat="1" applyFont="1" applyFill="1" applyBorder="1" applyAlignment="1" applyProtection="1">
      <alignment horizontal="center" vertical="center" wrapText="1"/>
    </xf>
    <xf numFmtId="0" fontId="4" fillId="5" borderId="15" xfId="0" applyNumberFormat="1" applyFont="1" applyFill="1" applyBorder="1" applyAlignment="1" applyProtection="1">
      <alignment horizontal="center" vertical="center" wrapText="1"/>
    </xf>
    <xf numFmtId="0" fontId="4" fillId="5" borderId="17" xfId="0" applyNumberFormat="1" applyFont="1" applyFill="1" applyBorder="1" applyAlignment="1" applyProtection="1">
      <alignment horizontal="center" vertical="center" wrapText="1"/>
    </xf>
    <xf numFmtId="0" fontId="4" fillId="5" borderId="16" xfId="0" applyNumberFormat="1" applyFont="1" applyFill="1" applyBorder="1" applyAlignment="1" applyProtection="1">
      <alignment horizontal="center" vertical="center" wrapText="1"/>
    </xf>
    <xf numFmtId="176" fontId="16" fillId="0" borderId="3" xfId="0" applyNumberFormat="1" applyFont="1" applyFill="1" applyBorder="1" applyAlignment="1" applyProtection="1">
      <alignment horizontal="center" vertical="center" wrapText="1"/>
    </xf>
    <xf numFmtId="176" fontId="16" fillId="0" borderId="7" xfId="0" applyNumberFormat="1" applyFont="1" applyFill="1" applyBorder="1" applyAlignment="1" applyProtection="1">
      <alignment horizontal="center" vertical="center" wrapText="1"/>
    </xf>
    <xf numFmtId="176" fontId="4" fillId="0" borderId="7" xfId="0" applyNumberFormat="1" applyFont="1" applyFill="1" applyBorder="1" applyAlignment="1" applyProtection="1">
      <alignment horizontal="center" vertical="center" wrapText="1"/>
    </xf>
    <xf numFmtId="182" fontId="19" fillId="0" borderId="3" xfId="0" applyNumberFormat="1" applyFont="1" applyFill="1" applyBorder="1" applyAlignment="1" applyProtection="1">
      <alignment horizontal="center" vertical="center" wrapText="1"/>
    </xf>
    <xf numFmtId="182" fontId="19" fillId="0" borderId="14" xfId="0" applyNumberFormat="1" applyFont="1" applyFill="1" applyBorder="1" applyAlignment="1" applyProtection="1">
      <alignment horizontal="center" vertical="center" wrapText="1"/>
    </xf>
    <xf numFmtId="182" fontId="19" fillId="0" borderId="12" xfId="0" applyNumberFormat="1" applyFont="1" applyFill="1" applyBorder="1" applyAlignment="1" applyProtection="1">
      <alignment horizontal="center" vertical="center" wrapText="1"/>
    </xf>
    <xf numFmtId="182" fontId="19" fillId="0" borderId="15" xfId="0" applyNumberFormat="1" applyFont="1" applyFill="1" applyBorder="1" applyAlignment="1" applyProtection="1">
      <alignment horizontal="center" vertical="center" wrapText="1"/>
    </xf>
    <xf numFmtId="182" fontId="19" fillId="0" borderId="17" xfId="0" applyNumberFormat="1" applyFont="1" applyFill="1" applyBorder="1" applyAlignment="1" applyProtection="1">
      <alignment horizontal="center" vertical="center" wrapText="1"/>
    </xf>
    <xf numFmtId="182" fontId="19" fillId="0" borderId="16" xfId="0" applyNumberFormat="1" applyFont="1" applyFill="1" applyBorder="1" applyAlignment="1" applyProtection="1">
      <alignment horizontal="center" vertical="center" wrapText="1"/>
    </xf>
    <xf numFmtId="2" fontId="19" fillId="0" borderId="3" xfId="0" applyNumberFormat="1" applyFont="1" applyFill="1" applyBorder="1" applyAlignment="1" applyProtection="1">
      <alignment horizontal="center" vertical="center" wrapText="1"/>
    </xf>
    <xf numFmtId="2" fontId="19" fillId="0" borderId="14" xfId="0" applyNumberFormat="1" applyFont="1" applyFill="1" applyBorder="1" applyAlignment="1" applyProtection="1">
      <alignment horizontal="center" vertical="center" wrapText="1"/>
    </xf>
    <xf numFmtId="2" fontId="19" fillId="0" borderId="12" xfId="0" applyNumberFormat="1" applyFont="1" applyFill="1" applyBorder="1" applyAlignment="1" applyProtection="1">
      <alignment horizontal="center" vertical="center" wrapText="1"/>
    </xf>
    <xf numFmtId="2" fontId="19" fillId="0" borderId="15" xfId="0" applyNumberFormat="1" applyFont="1" applyFill="1" applyBorder="1" applyAlignment="1" applyProtection="1">
      <alignment horizontal="center" vertical="center" wrapText="1"/>
    </xf>
    <xf numFmtId="2" fontId="19" fillId="0" borderId="17" xfId="0" applyNumberFormat="1" applyFont="1" applyFill="1" applyBorder="1" applyAlignment="1" applyProtection="1">
      <alignment horizontal="center" vertical="center" wrapText="1"/>
    </xf>
    <xf numFmtId="2" fontId="19" fillId="0" borderId="16" xfId="0" applyNumberFormat="1" applyFont="1" applyFill="1" applyBorder="1" applyAlignment="1" applyProtection="1">
      <alignment horizontal="center" vertical="center" wrapText="1"/>
    </xf>
    <xf numFmtId="176" fontId="4" fillId="0" borderId="12" xfId="0" applyNumberFormat="1" applyFont="1" applyFill="1" applyBorder="1" applyAlignment="1" applyProtection="1">
      <alignment horizontal="center" vertical="center" wrapText="1"/>
    </xf>
    <xf numFmtId="188" fontId="19" fillId="0" borderId="3" xfId="0" applyNumberFormat="1" applyFont="1" applyFill="1" applyBorder="1" applyAlignment="1" applyProtection="1">
      <alignment horizontal="center" vertical="center" wrapText="1"/>
    </xf>
    <xf numFmtId="181" fontId="4" fillId="5" borderId="3" xfId="0" applyNumberFormat="1" applyFont="1" applyFill="1" applyBorder="1" applyAlignment="1" applyProtection="1">
      <alignment horizontal="center" vertical="center" wrapText="1"/>
    </xf>
    <xf numFmtId="181" fontId="4" fillId="5" borderId="12" xfId="0" applyNumberFormat="1" applyFont="1" applyFill="1" applyBorder="1" applyAlignment="1" applyProtection="1">
      <alignment horizontal="center" vertical="center" wrapText="1"/>
    </xf>
    <xf numFmtId="176" fontId="4" fillId="0" borderId="16" xfId="0" applyNumberFormat="1" applyFont="1" applyFill="1" applyBorder="1" applyAlignment="1" applyProtection="1">
      <alignment horizontal="center" vertical="center" wrapText="1"/>
    </xf>
    <xf numFmtId="188" fontId="19" fillId="0" borderId="7" xfId="0" applyNumberFormat="1" applyFont="1" applyFill="1" applyBorder="1" applyAlignment="1" applyProtection="1">
      <alignment horizontal="center" vertical="center" wrapText="1"/>
    </xf>
    <xf numFmtId="181" fontId="4" fillId="5" borderId="15" xfId="0" applyNumberFormat="1" applyFont="1" applyFill="1" applyBorder="1" applyAlignment="1" applyProtection="1">
      <alignment horizontal="center" vertical="center" wrapText="1"/>
    </xf>
    <xf numFmtId="181" fontId="4" fillId="5" borderId="16" xfId="0" applyNumberFormat="1" applyFont="1" applyFill="1" applyBorder="1" applyAlignment="1" applyProtection="1">
      <alignment horizontal="center" vertical="center" wrapText="1"/>
    </xf>
    <xf numFmtId="2" fontId="4" fillId="0" borderId="12" xfId="0" applyNumberFormat="1" applyFont="1" applyFill="1" applyBorder="1" applyAlignment="1" applyProtection="1">
      <alignment horizontal="center" vertical="center" wrapText="1"/>
    </xf>
    <xf numFmtId="2" fontId="4" fillId="0" borderId="16" xfId="0" applyNumberFormat="1" applyFont="1" applyFill="1" applyBorder="1" applyAlignment="1" applyProtection="1">
      <alignment horizontal="center" vertical="center" wrapText="1"/>
    </xf>
    <xf numFmtId="0" fontId="19" fillId="0" borderId="14" xfId="0" applyNumberFormat="1" applyFont="1" applyFill="1" applyBorder="1" applyAlignment="1" applyProtection="1">
      <alignment horizontal="center" vertical="center"/>
    </xf>
    <xf numFmtId="0" fontId="19" fillId="0" borderId="12" xfId="0" applyNumberFormat="1" applyFont="1" applyFill="1" applyBorder="1" applyAlignment="1" applyProtection="1">
      <alignment horizontal="center" vertical="center"/>
    </xf>
    <xf numFmtId="0" fontId="19" fillId="0" borderId="17" xfId="0" applyNumberFormat="1" applyFont="1" applyFill="1" applyBorder="1" applyAlignment="1" applyProtection="1">
      <alignment horizontal="center" vertical="center"/>
    </xf>
    <xf numFmtId="0" fontId="19" fillId="0" borderId="16" xfId="0" applyNumberFormat="1" applyFont="1" applyFill="1" applyBorder="1" applyAlignment="1" applyProtection="1">
      <alignment horizontal="center" vertical="center"/>
    </xf>
    <xf numFmtId="0" fontId="4" fillId="0" borderId="12" xfId="0" applyNumberFormat="1" applyFont="1" applyFill="1" applyBorder="1" applyAlignment="1" applyProtection="1">
      <alignment horizontal="center"/>
    </xf>
    <xf numFmtId="0" fontId="4" fillId="0" borderId="7" xfId="0" applyNumberFormat="1" applyFont="1" applyFill="1" applyBorder="1" applyAlignment="1" applyProtection="1">
      <alignment horizontal="center"/>
    </xf>
    <xf numFmtId="0" fontId="4" fillId="0" borderId="15" xfId="0" applyNumberFormat="1" applyFont="1" applyFill="1" applyBorder="1" applyAlignment="1" applyProtection="1">
      <alignment horizontal="center"/>
    </xf>
    <xf numFmtId="0" fontId="4" fillId="0" borderId="16" xfId="0" applyNumberFormat="1" applyFont="1" applyFill="1" applyBorder="1" applyAlignment="1" applyProtection="1">
      <alignment horizontal="center"/>
    </xf>
    <xf numFmtId="0" fontId="19" fillId="0" borderId="4" xfId="0" applyNumberFormat="1" applyFont="1" applyFill="1" applyBorder="1" applyAlignment="1" applyProtection="1">
      <alignment horizontal="center" vertical="center" wrapText="1"/>
    </xf>
    <xf numFmtId="0" fontId="19" fillId="0" borderId="5" xfId="0" applyNumberFormat="1" applyFont="1" applyFill="1" applyBorder="1" applyAlignment="1" applyProtection="1">
      <alignment horizontal="center" vertical="center" wrapText="1"/>
    </xf>
    <xf numFmtId="0" fontId="22" fillId="0" borderId="3" xfId="0" applyNumberFormat="1" applyFont="1" applyFill="1" applyBorder="1" applyAlignment="1" applyProtection="1">
      <alignment horizontal="left" vertical="center" wrapText="1"/>
    </xf>
    <xf numFmtId="0" fontId="22" fillId="0" borderId="14" xfId="0" applyNumberFormat="1" applyFont="1" applyFill="1" applyBorder="1" applyAlignment="1" applyProtection="1">
      <alignment horizontal="left" vertical="center" wrapText="1"/>
    </xf>
    <xf numFmtId="0" fontId="22" fillId="0" borderId="10" xfId="0" applyNumberFormat="1" applyFont="1" applyFill="1" applyBorder="1" applyAlignment="1" applyProtection="1">
      <alignment horizontal="left" vertical="center" wrapText="1"/>
    </xf>
    <xf numFmtId="0" fontId="22" fillId="0" borderId="0" xfId="0" applyNumberFormat="1" applyFont="1" applyFill="1" applyBorder="1" applyAlignment="1" applyProtection="1">
      <alignment horizontal="left" vertical="center" wrapText="1"/>
    </xf>
    <xf numFmtId="0" fontId="22" fillId="0" borderId="15" xfId="0" applyNumberFormat="1" applyFont="1" applyFill="1" applyBorder="1" applyAlignment="1" applyProtection="1">
      <alignment horizontal="left" vertical="center" wrapText="1"/>
    </xf>
    <xf numFmtId="0" fontId="22" fillId="0" borderId="17" xfId="0" applyNumberFormat="1" applyFont="1" applyFill="1" applyBorder="1" applyAlignment="1" applyProtection="1">
      <alignment horizontal="left" vertical="center" wrapText="1"/>
    </xf>
    <xf numFmtId="0" fontId="19" fillId="0" borderId="3" xfId="0" applyNumberFormat="1" applyFont="1" applyFill="1" applyBorder="1" applyAlignment="1" applyProtection="1">
      <alignment horizontal="left" vertical="center" wrapText="1"/>
    </xf>
    <xf numFmtId="0" fontId="19" fillId="0" borderId="12" xfId="0" applyNumberFormat="1" applyFont="1" applyFill="1" applyBorder="1" applyAlignment="1" applyProtection="1">
      <alignment horizontal="left" vertical="center" wrapText="1"/>
    </xf>
    <xf numFmtId="0" fontId="19" fillId="0" borderId="15" xfId="0" applyNumberFormat="1" applyFont="1" applyFill="1" applyBorder="1" applyAlignment="1" applyProtection="1">
      <alignment horizontal="left" vertical="center" wrapText="1"/>
    </xf>
    <xf numFmtId="0" fontId="19" fillId="0" borderId="16" xfId="0" applyNumberFormat="1" applyFont="1" applyFill="1" applyBorder="1" applyAlignment="1" applyProtection="1">
      <alignment horizontal="left" vertical="center" wrapText="1"/>
    </xf>
    <xf numFmtId="0" fontId="22" fillId="0" borderId="12" xfId="0" applyNumberFormat="1" applyFont="1" applyFill="1" applyBorder="1" applyAlignment="1" applyProtection="1">
      <alignment horizontal="left" vertical="center" wrapText="1"/>
    </xf>
    <xf numFmtId="0" fontId="22" fillId="0" borderId="13" xfId="0" applyNumberFormat="1" applyFont="1" applyFill="1" applyBorder="1" applyAlignment="1" applyProtection="1">
      <alignment horizontal="left" vertical="center" wrapText="1"/>
    </xf>
    <xf numFmtId="0" fontId="22" fillId="0" borderId="16" xfId="0" applyNumberFormat="1" applyFont="1" applyFill="1" applyBorder="1" applyAlignment="1" applyProtection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57150</xdr:rowOff>
    </xdr:from>
    <xdr:to>
      <xdr:col>1</xdr:col>
      <xdr:colOff>571500</xdr:colOff>
      <xdr:row>2</xdr:row>
      <xdr:rowOff>180975</xdr:rowOff>
    </xdr:to>
    <xdr:sp>
      <xdr:nvSpPr>
        <xdr:cNvPr id="2" name="图片 1"/>
        <xdr:cNvSpPr/>
      </xdr:nvSpPr>
      <xdr:spPr>
        <a:xfrm>
          <a:off x="38100" y="57150"/>
          <a:ext cx="943610" cy="638175"/>
        </a:xfrm>
        <a:prstGeom prst="rect">
          <a:avLst/>
        </a:prstGeom>
        <a:blipFill>
          <a:blip r:embed="rId1"/>
          <a:stretch>
            <a:fillRect/>
          </a:stretch>
        </a:blipFill>
      </xdr:spPr>
      <xdr:txBody>
        <a:bodyPr vertOverflow="clip" horzOverflow="clip" vert="horz" wrap="square" rtlCol="0" anchor="ctr" upright="1"/>
        <a:lstStyle/>
        <a:p>
          <a:pPr algn="ctr"/>
          <a:endParaRPr lang="en-US" sz="825">
            <a:solidFill>
              <a:srgbClr val="000000"/>
            </a:solidFill>
            <a:latin typeface="Microsoft Sans Serif" panose="020B0604020202020204"/>
          </a:endParaRP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1"/>
  <sheetViews>
    <sheetView showGridLines="0" tabSelected="1" zoomScale="70" zoomScaleNormal="70" zoomScalePageLayoutView="80" workbookViewId="0">
      <pane topLeftCell="A1" activePane="bottomLeft"/>
      <selection activeCell="W10" sqref="W10"/>
    </sheetView>
  </sheetViews>
  <sheetFormatPr defaultColWidth="9" defaultRowHeight="14.25" customHeight="1"/>
  <cols>
    <col min="1" max="1" width="5.38333333333333" style="126" customWidth="1"/>
    <col min="2" max="2" width="8.75" style="126" customWidth="1"/>
    <col min="3" max="3" width="8.13333333333333" style="126" customWidth="1"/>
    <col min="4" max="5" width="8.5" style="126" customWidth="1"/>
    <col min="6" max="6" width="3.38333333333333" style="126" customWidth="1"/>
    <col min="7" max="7" width="3.5" style="126" customWidth="1"/>
    <col min="8" max="8" width="7.13333333333333" style="126" customWidth="1"/>
    <col min="9" max="9" width="1.75" style="126" customWidth="1"/>
    <col min="10" max="10" width="6.75" style="126" customWidth="1"/>
    <col min="11" max="11" width="7.5" style="126" customWidth="1"/>
    <col min="12" max="12" width="7.88333333333333" style="126" customWidth="1"/>
    <col min="13" max="13" width="8.5" style="126" customWidth="1"/>
    <col min="14" max="14" width="4.75" style="126" customWidth="1"/>
    <col min="15" max="15" width="5.63333333333333" style="164" customWidth="1"/>
    <col min="16" max="16384" width="9" style="126"/>
  </cols>
  <sheetData>
    <row r="1" ht="20.25" customHeight="1" spans="1:15">
      <c r="A1" s="165"/>
      <c r="B1" s="166"/>
      <c r="C1" s="167" t="s">
        <v>0</v>
      </c>
      <c r="D1" s="168"/>
      <c r="E1" s="168"/>
      <c r="F1" s="168"/>
      <c r="G1" s="168"/>
      <c r="H1" s="168"/>
      <c r="I1" s="168"/>
      <c r="J1" s="168"/>
      <c r="K1" s="213"/>
      <c r="L1" s="214" t="s">
        <v>1</v>
      </c>
      <c r="M1" s="215"/>
      <c r="N1" s="216"/>
      <c r="O1" s="217"/>
    </row>
    <row r="2" ht="20.25" customHeight="1" spans="1:15">
      <c r="A2" s="169"/>
      <c r="B2" s="170"/>
      <c r="C2" s="171" t="s">
        <v>2</v>
      </c>
      <c r="D2" s="172"/>
      <c r="E2" s="172"/>
      <c r="F2" s="172"/>
      <c r="G2" s="172"/>
      <c r="H2" s="172"/>
      <c r="I2" s="172"/>
      <c r="J2" s="172"/>
      <c r="K2" s="218"/>
      <c r="L2" s="214" t="s">
        <v>3</v>
      </c>
      <c r="M2" s="215"/>
      <c r="N2" s="216"/>
      <c r="O2" s="217"/>
    </row>
    <row r="3" ht="20.25" customHeight="1" spans="1:15">
      <c r="A3" s="173"/>
      <c r="B3" s="174"/>
      <c r="C3" s="175"/>
      <c r="D3" s="176"/>
      <c r="E3" s="176"/>
      <c r="F3" s="176"/>
      <c r="G3" s="176"/>
      <c r="H3" s="176"/>
      <c r="I3" s="176"/>
      <c r="J3" s="176"/>
      <c r="K3" s="219"/>
      <c r="L3" s="220" t="s">
        <v>4</v>
      </c>
      <c r="M3" s="221"/>
      <c r="N3" s="222"/>
      <c r="O3" s="223"/>
    </row>
    <row r="4" ht="18" customHeight="1" spans="1:15">
      <c r="A4" s="177" t="s">
        <v>5</v>
      </c>
      <c r="B4" s="178"/>
      <c r="C4" s="179"/>
      <c r="D4" s="177" t="s">
        <v>6</v>
      </c>
      <c r="E4" s="178"/>
      <c r="F4" s="178"/>
      <c r="G4" s="179"/>
      <c r="H4" s="177" t="s">
        <v>7</v>
      </c>
      <c r="I4" s="178"/>
      <c r="J4" s="178"/>
      <c r="K4" s="179"/>
      <c r="L4" s="177" t="s">
        <v>8</v>
      </c>
      <c r="M4" s="179"/>
      <c r="N4" s="177" t="s">
        <v>9</v>
      </c>
      <c r="O4" s="179"/>
    </row>
    <row r="5" ht="18" customHeight="1" spans="1:15">
      <c r="A5" s="177" t="str">
        <f>IFERROR(VLOOKUP(MID(D5,4,4),对应信息!A:B,2,0),"")</f>
        <v>T400</v>
      </c>
      <c r="B5" s="178"/>
      <c r="C5" s="179"/>
      <c r="D5" s="177" t="s">
        <v>10</v>
      </c>
      <c r="E5" s="178"/>
      <c r="F5" s="178"/>
      <c r="G5" s="179"/>
      <c r="H5" s="180" t="s">
        <v>11</v>
      </c>
      <c r="I5" s="190"/>
      <c r="J5" s="190"/>
      <c r="K5" s="185"/>
      <c r="L5" s="177"/>
      <c r="M5" s="179"/>
      <c r="N5" s="177"/>
      <c r="O5" s="179"/>
    </row>
    <row r="6" ht="18" customHeight="1" spans="1:15">
      <c r="A6" s="177" t="s">
        <v>12</v>
      </c>
      <c r="B6" s="179"/>
      <c r="C6" s="177"/>
      <c r="D6" s="179"/>
      <c r="E6" s="181" t="s">
        <v>13</v>
      </c>
      <c r="F6" s="182"/>
      <c r="G6" s="183"/>
      <c r="H6" s="184"/>
      <c r="I6" s="224"/>
      <c r="J6" s="224"/>
      <c r="K6" s="225"/>
      <c r="L6" s="177" t="s">
        <v>14</v>
      </c>
      <c r="M6" s="179"/>
      <c r="N6" s="177"/>
      <c r="O6" s="179"/>
    </row>
    <row r="7" ht="19.5" customHeight="1" spans="1:15">
      <c r="A7" s="111" t="s">
        <v>15</v>
      </c>
      <c r="B7" s="177" t="s">
        <v>16</v>
      </c>
      <c r="C7" s="178"/>
      <c r="D7" s="179"/>
      <c r="E7" s="177" t="s">
        <v>17</v>
      </c>
      <c r="F7" s="178"/>
      <c r="G7" s="178"/>
      <c r="H7" s="178"/>
      <c r="I7" s="178"/>
      <c r="J7" s="178"/>
      <c r="K7" s="178"/>
      <c r="L7" s="178"/>
      <c r="M7" s="178"/>
      <c r="N7" s="178"/>
      <c r="O7" s="179"/>
    </row>
    <row r="8" ht="19.5" customHeight="1" spans="1:15">
      <c r="A8" s="177">
        <v>1</v>
      </c>
      <c r="B8" s="177" t="s">
        <v>18</v>
      </c>
      <c r="C8" s="177" t="s">
        <v>19</v>
      </c>
      <c r="D8" s="185"/>
      <c r="E8" s="177" t="s">
        <v>20</v>
      </c>
      <c r="F8" s="178"/>
      <c r="G8" s="179"/>
      <c r="H8" s="180" t="s">
        <v>21</v>
      </c>
      <c r="I8" s="190"/>
      <c r="J8" s="190"/>
      <c r="K8" s="190"/>
      <c r="L8" s="190"/>
      <c r="M8" s="190"/>
      <c r="N8" s="190"/>
      <c r="O8" s="185"/>
    </row>
    <row r="9" ht="19.5" customHeight="1" spans="1:15">
      <c r="A9" s="186"/>
      <c r="B9" s="186"/>
      <c r="C9" s="187"/>
      <c r="D9" s="188"/>
      <c r="E9" s="177" t="s">
        <v>22</v>
      </c>
      <c r="F9" s="178"/>
      <c r="G9" s="179"/>
      <c r="H9" s="177" t="s">
        <v>23</v>
      </c>
      <c r="I9" s="178"/>
      <c r="J9" s="179"/>
      <c r="K9" s="189" t="s">
        <v>24</v>
      </c>
      <c r="L9" s="226"/>
      <c r="M9" s="226"/>
      <c r="N9" s="226"/>
      <c r="O9" s="227"/>
    </row>
    <row r="10" ht="19.5" customHeight="1" spans="1:15">
      <c r="A10" s="186"/>
      <c r="B10" s="186"/>
      <c r="C10" s="187"/>
      <c r="D10" s="188"/>
      <c r="E10" s="177" t="s">
        <v>25</v>
      </c>
      <c r="F10" s="178"/>
      <c r="G10" s="179"/>
      <c r="H10" s="189" t="s">
        <v>26</v>
      </c>
      <c r="I10" s="226"/>
      <c r="J10" s="227"/>
      <c r="K10" s="228" t="s">
        <v>27</v>
      </c>
      <c r="L10" s="229" t="s">
        <v>28</v>
      </c>
      <c r="M10" s="230" t="s">
        <v>29</v>
      </c>
      <c r="N10" s="189" t="s">
        <v>30</v>
      </c>
      <c r="O10" s="227"/>
    </row>
    <row r="11" ht="19.5" customHeight="1" spans="1:15">
      <c r="A11" s="186"/>
      <c r="B11" s="186"/>
      <c r="C11" s="187"/>
      <c r="D11" s="188"/>
      <c r="E11" s="177" t="s">
        <v>31</v>
      </c>
      <c r="F11" s="190"/>
      <c r="G11" s="185"/>
      <c r="H11" s="191" t="s">
        <v>32</v>
      </c>
      <c r="I11" s="231"/>
      <c r="J11" s="232"/>
      <c r="K11" s="232" t="s">
        <v>33</v>
      </c>
      <c r="L11" s="233" t="s">
        <v>34</v>
      </c>
      <c r="M11" s="191" t="s">
        <v>35</v>
      </c>
      <c r="N11" s="191" t="s">
        <v>36</v>
      </c>
      <c r="O11" s="232"/>
    </row>
    <row r="12" ht="19.5" customHeight="1" spans="1:15">
      <c r="A12" s="186"/>
      <c r="B12" s="186"/>
      <c r="C12" s="187"/>
      <c r="D12" s="188"/>
      <c r="E12" s="187"/>
      <c r="F12" s="192"/>
      <c r="G12" s="188"/>
      <c r="H12" s="191" t="s">
        <v>32</v>
      </c>
      <c r="I12" s="231"/>
      <c r="J12" s="232"/>
      <c r="K12" s="232" t="s">
        <v>33</v>
      </c>
      <c r="L12" s="233" t="s">
        <v>34</v>
      </c>
      <c r="M12" s="191" t="s">
        <v>35</v>
      </c>
      <c r="N12" s="191" t="s">
        <v>36</v>
      </c>
      <c r="O12" s="232"/>
    </row>
    <row r="13" ht="19.5" customHeight="1" spans="1:15">
      <c r="A13" s="186"/>
      <c r="B13" s="186"/>
      <c r="C13" s="187"/>
      <c r="D13" s="188"/>
      <c r="E13" s="193"/>
      <c r="F13" s="182"/>
      <c r="G13" s="183"/>
      <c r="H13" s="191" t="s">
        <v>32</v>
      </c>
      <c r="I13" s="231"/>
      <c r="J13" s="232"/>
      <c r="K13" s="232" t="s">
        <v>33</v>
      </c>
      <c r="L13" s="233" t="s">
        <v>34</v>
      </c>
      <c r="M13" s="191" t="s">
        <v>35</v>
      </c>
      <c r="N13" s="191" t="s">
        <v>36</v>
      </c>
      <c r="O13" s="232"/>
    </row>
    <row r="14" ht="19.5" customHeight="1" spans="1:15">
      <c r="A14" s="186"/>
      <c r="B14" s="186"/>
      <c r="C14" s="187"/>
      <c r="D14" s="188"/>
      <c r="E14" s="177" t="s">
        <v>37</v>
      </c>
      <c r="F14" s="178"/>
      <c r="G14" s="179"/>
      <c r="H14" s="191" t="s">
        <v>32</v>
      </c>
      <c r="I14" s="231"/>
      <c r="J14" s="232"/>
      <c r="K14" s="232" t="s">
        <v>33</v>
      </c>
      <c r="L14" s="233" t="s">
        <v>34</v>
      </c>
      <c r="M14" s="191" t="s">
        <v>35</v>
      </c>
      <c r="N14" s="191" t="s">
        <v>36</v>
      </c>
      <c r="O14" s="232"/>
    </row>
    <row r="15" ht="19.5" customHeight="1" spans="1:15">
      <c r="A15" s="186"/>
      <c r="B15" s="186"/>
      <c r="C15" s="187"/>
      <c r="D15" s="188"/>
      <c r="E15" s="177" t="s">
        <v>38</v>
      </c>
      <c r="F15" s="178"/>
      <c r="G15" s="179"/>
      <c r="H15" s="191" t="s">
        <v>39</v>
      </c>
      <c r="I15" s="231"/>
      <c r="J15" s="232"/>
      <c r="K15" s="232" t="s">
        <v>40</v>
      </c>
      <c r="L15" s="233" t="s">
        <v>41</v>
      </c>
      <c r="M15" s="191" t="s">
        <v>42</v>
      </c>
      <c r="N15" s="191" t="s">
        <v>43</v>
      </c>
      <c r="O15" s="232"/>
    </row>
    <row r="16" ht="19.5" customHeight="1" spans="1:15">
      <c r="A16" s="186"/>
      <c r="B16" s="181"/>
      <c r="C16" s="193"/>
      <c r="D16" s="183"/>
      <c r="E16" s="177" t="s">
        <v>44</v>
      </c>
      <c r="F16" s="178"/>
      <c r="G16" s="179"/>
      <c r="H16" s="194" t="s">
        <v>45</v>
      </c>
      <c r="I16" s="234"/>
      <c r="J16" s="235"/>
      <c r="K16" s="232" t="s">
        <v>45</v>
      </c>
      <c r="L16" s="233" t="s">
        <v>45</v>
      </c>
      <c r="M16" s="194" t="s">
        <v>45</v>
      </c>
      <c r="N16" s="194" t="s">
        <v>45</v>
      </c>
      <c r="O16" s="235"/>
    </row>
    <row r="17" ht="19.5" hidden="1" customHeight="1" spans="1:15">
      <c r="A17" s="181"/>
      <c r="B17" s="111"/>
      <c r="C17" s="177"/>
      <c r="D17" s="179"/>
      <c r="E17" s="177"/>
      <c r="F17" s="178"/>
      <c r="G17" s="179"/>
      <c r="H17" s="195"/>
      <c r="I17" s="195"/>
      <c r="J17" s="195"/>
      <c r="K17" s="195"/>
      <c r="L17" s="195"/>
      <c r="M17" s="195"/>
      <c r="N17" s="194"/>
      <c r="O17" s="235"/>
    </row>
    <row r="18" ht="19.5" customHeight="1" spans="1:15">
      <c r="A18" s="177">
        <v>2</v>
      </c>
      <c r="B18" s="177" t="s">
        <v>46</v>
      </c>
      <c r="C18" s="177" t="s">
        <v>47</v>
      </c>
      <c r="D18" s="185"/>
      <c r="E18" s="177" t="s">
        <v>22</v>
      </c>
      <c r="F18" s="190"/>
      <c r="G18" s="185"/>
      <c r="H18" s="177" t="s">
        <v>48</v>
      </c>
      <c r="I18" s="190"/>
      <c r="J18" s="190"/>
      <c r="K18" s="190"/>
      <c r="L18" s="190"/>
      <c r="M18" s="190"/>
      <c r="N18" s="190"/>
      <c r="O18" s="185"/>
    </row>
    <row r="19" ht="19.5" customHeight="1" spans="1:15">
      <c r="A19" s="186"/>
      <c r="B19" s="186"/>
      <c r="C19" s="187"/>
      <c r="D19" s="188"/>
      <c r="E19" s="193"/>
      <c r="F19" s="182"/>
      <c r="G19" s="183"/>
      <c r="H19" s="193"/>
      <c r="I19" s="182"/>
      <c r="J19" s="182"/>
      <c r="K19" s="182"/>
      <c r="L19" s="182"/>
      <c r="M19" s="182"/>
      <c r="N19" s="182"/>
      <c r="O19" s="183"/>
    </row>
    <row r="20" ht="19.5" customHeight="1" spans="1:15">
      <c r="A20" s="186"/>
      <c r="B20" s="186"/>
      <c r="C20" s="187"/>
      <c r="D20" s="188"/>
      <c r="E20" s="177" t="s">
        <v>49</v>
      </c>
      <c r="F20" s="179"/>
      <c r="G20" s="177" t="s">
        <v>50</v>
      </c>
      <c r="H20" s="179"/>
      <c r="I20" s="177">
        <f>透射比示值误差与重复性校验!B2</f>
        <v>635</v>
      </c>
      <c r="J20" s="178"/>
      <c r="K20" s="179"/>
      <c r="L20" s="177">
        <f>透射比示值误差与重复性校验!B3</f>
        <v>546</v>
      </c>
      <c r="M20" s="179"/>
      <c r="N20" s="177">
        <f>透射比示值误差与重复性校验!B4</f>
        <v>440</v>
      </c>
      <c r="O20" s="179"/>
    </row>
    <row r="21" ht="19.5" customHeight="1" spans="1:15">
      <c r="A21" s="186"/>
      <c r="B21" s="186"/>
      <c r="C21" s="187"/>
      <c r="D21" s="188"/>
      <c r="E21" s="177" t="s">
        <v>51</v>
      </c>
      <c r="F21" s="185"/>
      <c r="G21" s="177" t="s">
        <v>52</v>
      </c>
      <c r="H21" s="179"/>
      <c r="I21" s="189" t="s">
        <v>53</v>
      </c>
      <c r="J21" s="226"/>
      <c r="K21" s="227"/>
      <c r="L21" s="189" t="s">
        <v>54</v>
      </c>
      <c r="M21" s="227"/>
      <c r="N21" s="189" t="s">
        <v>55</v>
      </c>
      <c r="O21" s="227"/>
    </row>
    <row r="22" ht="19.5" customHeight="1" spans="1:15">
      <c r="A22" s="186"/>
      <c r="B22" s="186"/>
      <c r="C22" s="187"/>
      <c r="D22" s="188"/>
      <c r="E22" s="187"/>
      <c r="F22" s="188"/>
      <c r="G22" s="177" t="s">
        <v>56</v>
      </c>
      <c r="H22" s="185"/>
      <c r="I22" s="191" t="s">
        <v>57</v>
      </c>
      <c r="J22" s="231"/>
      <c r="K22" s="232"/>
      <c r="L22" s="191" t="s">
        <v>58</v>
      </c>
      <c r="M22" s="232"/>
      <c r="N22" s="191" t="s">
        <v>59</v>
      </c>
      <c r="O22" s="232"/>
    </row>
    <row r="23" ht="19.5" customHeight="1" spans="1:15">
      <c r="A23" s="186"/>
      <c r="B23" s="186"/>
      <c r="C23" s="187"/>
      <c r="D23" s="188"/>
      <c r="E23" s="187"/>
      <c r="F23" s="188"/>
      <c r="G23" s="187"/>
      <c r="H23" s="188"/>
      <c r="I23" s="191" t="s">
        <v>57</v>
      </c>
      <c r="J23" s="231"/>
      <c r="K23" s="232"/>
      <c r="L23" s="191" t="s">
        <v>58</v>
      </c>
      <c r="M23" s="232"/>
      <c r="N23" s="191" t="s">
        <v>59</v>
      </c>
      <c r="O23" s="232"/>
    </row>
    <row r="24" ht="19.5" customHeight="1" spans="1:15">
      <c r="A24" s="186"/>
      <c r="B24" s="186"/>
      <c r="C24" s="187"/>
      <c r="D24" s="188"/>
      <c r="E24" s="187"/>
      <c r="F24" s="188"/>
      <c r="G24" s="193"/>
      <c r="H24" s="183"/>
      <c r="I24" s="191" t="s">
        <v>60</v>
      </c>
      <c r="J24" s="231"/>
      <c r="K24" s="232"/>
      <c r="L24" s="191" t="s">
        <v>58</v>
      </c>
      <c r="M24" s="232"/>
      <c r="N24" s="191" t="s">
        <v>59</v>
      </c>
      <c r="O24" s="232"/>
    </row>
    <row r="25" ht="19.5" customHeight="1" spans="1:15">
      <c r="A25" s="186"/>
      <c r="B25" s="186"/>
      <c r="C25" s="187"/>
      <c r="D25" s="188"/>
      <c r="E25" s="187"/>
      <c r="F25" s="188"/>
      <c r="G25" s="177" t="s">
        <v>61</v>
      </c>
      <c r="H25" s="179"/>
      <c r="I25" s="191" t="s">
        <v>60</v>
      </c>
      <c r="J25" s="231"/>
      <c r="K25" s="232"/>
      <c r="L25" s="191" t="s">
        <v>58</v>
      </c>
      <c r="M25" s="232"/>
      <c r="N25" s="191" t="s">
        <v>62</v>
      </c>
      <c r="O25" s="232"/>
    </row>
    <row r="26" ht="19.5" customHeight="1" spans="1:15">
      <c r="A26" s="186"/>
      <c r="B26" s="186"/>
      <c r="C26" s="187"/>
      <c r="D26" s="188"/>
      <c r="E26" s="187"/>
      <c r="F26" s="188"/>
      <c r="G26" s="177" t="s">
        <v>63</v>
      </c>
      <c r="H26" s="179"/>
      <c r="I26" s="191" t="s">
        <v>64</v>
      </c>
      <c r="J26" s="231"/>
      <c r="K26" s="232"/>
      <c r="L26" s="191" t="s">
        <v>64</v>
      </c>
      <c r="M26" s="232"/>
      <c r="N26" s="191" t="s">
        <v>65</v>
      </c>
      <c r="O26" s="232"/>
    </row>
    <row r="27" ht="19.5" customHeight="1" spans="1:15">
      <c r="A27" s="186"/>
      <c r="B27" s="186"/>
      <c r="C27" s="187"/>
      <c r="D27" s="188"/>
      <c r="E27" s="193"/>
      <c r="F27" s="183"/>
      <c r="G27" s="177" t="s">
        <v>66</v>
      </c>
      <c r="H27" s="179"/>
      <c r="I27" s="191" t="s">
        <v>45</v>
      </c>
      <c r="J27" s="231"/>
      <c r="K27" s="232"/>
      <c r="L27" s="191" t="s">
        <v>45</v>
      </c>
      <c r="M27" s="232"/>
      <c r="N27" s="191" t="s">
        <v>45</v>
      </c>
      <c r="O27" s="232"/>
    </row>
    <row r="28" ht="19.5" customHeight="1" spans="1:15">
      <c r="A28" s="186"/>
      <c r="B28" s="186"/>
      <c r="C28" s="187"/>
      <c r="D28" s="188"/>
      <c r="E28" s="177" t="s">
        <v>67</v>
      </c>
      <c r="F28" s="185"/>
      <c r="G28" s="177" t="s">
        <v>52</v>
      </c>
      <c r="H28" s="179"/>
      <c r="I28" s="189" t="s">
        <v>68</v>
      </c>
      <c r="J28" s="226"/>
      <c r="K28" s="227"/>
      <c r="L28" s="189" t="s">
        <v>69</v>
      </c>
      <c r="M28" s="227"/>
      <c r="N28" s="189" t="s">
        <v>70</v>
      </c>
      <c r="O28" s="227"/>
    </row>
    <row r="29" ht="19.5" customHeight="1" spans="1:15">
      <c r="A29" s="186"/>
      <c r="B29" s="186"/>
      <c r="C29" s="187"/>
      <c r="D29" s="188"/>
      <c r="E29" s="187"/>
      <c r="F29" s="188"/>
      <c r="G29" s="177" t="s">
        <v>56</v>
      </c>
      <c r="H29" s="185"/>
      <c r="I29" s="191" t="s">
        <v>71</v>
      </c>
      <c r="J29" s="231"/>
      <c r="K29" s="232"/>
      <c r="L29" s="191" t="s">
        <v>72</v>
      </c>
      <c r="M29" s="232"/>
      <c r="N29" s="191" t="s">
        <v>73</v>
      </c>
      <c r="O29" s="232"/>
    </row>
    <row r="30" ht="19.5" customHeight="1" spans="1:15">
      <c r="A30" s="186"/>
      <c r="B30" s="186"/>
      <c r="C30" s="187"/>
      <c r="D30" s="188"/>
      <c r="E30" s="187"/>
      <c r="F30" s="188"/>
      <c r="G30" s="187"/>
      <c r="H30" s="188"/>
      <c r="I30" s="191" t="s">
        <v>71</v>
      </c>
      <c r="J30" s="231"/>
      <c r="K30" s="232"/>
      <c r="L30" s="191" t="s">
        <v>72</v>
      </c>
      <c r="M30" s="232"/>
      <c r="N30" s="191" t="s">
        <v>73</v>
      </c>
      <c r="O30" s="232"/>
    </row>
    <row r="31" ht="19.5" customHeight="1" spans="1:15">
      <c r="A31" s="186"/>
      <c r="B31" s="186"/>
      <c r="C31" s="187"/>
      <c r="D31" s="188"/>
      <c r="E31" s="187"/>
      <c r="F31" s="188"/>
      <c r="G31" s="193"/>
      <c r="H31" s="183"/>
      <c r="I31" s="191" t="s">
        <v>74</v>
      </c>
      <c r="J31" s="231"/>
      <c r="K31" s="232"/>
      <c r="L31" s="191" t="s">
        <v>72</v>
      </c>
      <c r="M31" s="232"/>
      <c r="N31" s="191" t="s">
        <v>75</v>
      </c>
      <c r="O31" s="232"/>
    </row>
    <row r="32" ht="19.5" customHeight="1" spans="1:15">
      <c r="A32" s="186"/>
      <c r="B32" s="186"/>
      <c r="C32" s="187"/>
      <c r="D32" s="188"/>
      <c r="E32" s="187"/>
      <c r="F32" s="188"/>
      <c r="G32" s="177" t="s">
        <v>61</v>
      </c>
      <c r="H32" s="179"/>
      <c r="I32" s="191" t="s">
        <v>74</v>
      </c>
      <c r="J32" s="231"/>
      <c r="K32" s="232"/>
      <c r="L32" s="191" t="s">
        <v>72</v>
      </c>
      <c r="M32" s="232"/>
      <c r="N32" s="191" t="s">
        <v>75</v>
      </c>
      <c r="O32" s="232"/>
    </row>
    <row r="33" ht="19.5" customHeight="1" spans="1:15">
      <c r="A33" s="186"/>
      <c r="B33" s="186"/>
      <c r="C33" s="187"/>
      <c r="D33" s="188"/>
      <c r="E33" s="187"/>
      <c r="F33" s="188"/>
      <c r="G33" s="177" t="s">
        <v>63</v>
      </c>
      <c r="H33" s="179"/>
      <c r="I33" s="191" t="s">
        <v>76</v>
      </c>
      <c r="J33" s="231"/>
      <c r="K33" s="232"/>
      <c r="L33" s="191" t="s">
        <v>77</v>
      </c>
      <c r="M33" s="232"/>
      <c r="N33" s="191" t="s">
        <v>78</v>
      </c>
      <c r="O33" s="232"/>
    </row>
    <row r="34" ht="19.5" customHeight="1" spans="1:15">
      <c r="A34" s="181"/>
      <c r="B34" s="181"/>
      <c r="C34" s="193"/>
      <c r="D34" s="183"/>
      <c r="E34" s="193"/>
      <c r="F34" s="183"/>
      <c r="G34" s="177" t="s">
        <v>66</v>
      </c>
      <c r="H34" s="179"/>
      <c r="I34" s="189" t="s">
        <v>45</v>
      </c>
      <c r="J34" s="226"/>
      <c r="K34" s="227"/>
      <c r="L34" s="191" t="s">
        <v>79</v>
      </c>
      <c r="M34" s="232"/>
      <c r="N34" s="189" t="s">
        <v>45</v>
      </c>
      <c r="O34" s="227"/>
    </row>
    <row r="35" ht="19.5" customHeight="1" spans="1:15">
      <c r="A35" s="177">
        <v>2</v>
      </c>
      <c r="B35" s="177" t="s">
        <v>46</v>
      </c>
      <c r="C35" s="177" t="s">
        <v>80</v>
      </c>
      <c r="D35" s="185"/>
      <c r="E35" s="177" t="s">
        <v>81</v>
      </c>
      <c r="F35" s="185"/>
      <c r="G35" s="177" t="s">
        <v>52</v>
      </c>
      <c r="H35" s="179"/>
      <c r="I35" s="189" t="s">
        <v>82</v>
      </c>
      <c r="J35" s="226"/>
      <c r="K35" s="227"/>
      <c r="L35" s="189" t="s">
        <v>83</v>
      </c>
      <c r="M35" s="227"/>
      <c r="N35" s="189" t="s">
        <v>84</v>
      </c>
      <c r="O35" s="227"/>
    </row>
    <row r="36" ht="19.5" customHeight="1" spans="1:15">
      <c r="A36" s="186"/>
      <c r="B36" s="186"/>
      <c r="C36" s="187"/>
      <c r="D36" s="188"/>
      <c r="E36" s="187"/>
      <c r="F36" s="188"/>
      <c r="G36" s="177" t="s">
        <v>56</v>
      </c>
      <c r="H36" s="185"/>
      <c r="I36" s="191" t="s">
        <v>85</v>
      </c>
      <c r="J36" s="231"/>
      <c r="K36" s="232"/>
      <c r="L36" s="191" t="s">
        <v>86</v>
      </c>
      <c r="M36" s="232"/>
      <c r="N36" s="191" t="s">
        <v>87</v>
      </c>
      <c r="O36" s="232"/>
    </row>
    <row r="37" ht="19.5" customHeight="1" spans="1:15">
      <c r="A37" s="186"/>
      <c r="B37" s="186"/>
      <c r="C37" s="187"/>
      <c r="D37" s="188"/>
      <c r="E37" s="187"/>
      <c r="F37" s="188"/>
      <c r="G37" s="187"/>
      <c r="H37" s="188"/>
      <c r="I37" s="191" t="s">
        <v>88</v>
      </c>
      <c r="J37" s="231"/>
      <c r="K37" s="232"/>
      <c r="L37" s="191" t="s">
        <v>89</v>
      </c>
      <c r="M37" s="232"/>
      <c r="N37" s="191" t="s">
        <v>87</v>
      </c>
      <c r="O37" s="232"/>
    </row>
    <row r="38" ht="19.5" customHeight="1" spans="1:15">
      <c r="A38" s="186"/>
      <c r="B38" s="186"/>
      <c r="C38" s="187"/>
      <c r="D38" s="188"/>
      <c r="E38" s="187"/>
      <c r="F38" s="188"/>
      <c r="G38" s="193"/>
      <c r="H38" s="183"/>
      <c r="I38" s="191" t="s">
        <v>88</v>
      </c>
      <c r="J38" s="231"/>
      <c r="K38" s="232"/>
      <c r="L38" s="191" t="s">
        <v>89</v>
      </c>
      <c r="M38" s="232"/>
      <c r="N38" s="191" t="s">
        <v>90</v>
      </c>
      <c r="O38" s="232"/>
    </row>
    <row r="39" ht="19.5" customHeight="1" spans="1:15">
      <c r="A39" s="186"/>
      <c r="B39" s="186"/>
      <c r="C39" s="187"/>
      <c r="D39" s="188"/>
      <c r="E39" s="187"/>
      <c r="F39" s="188"/>
      <c r="G39" s="177" t="s">
        <v>61</v>
      </c>
      <c r="H39" s="179"/>
      <c r="I39" s="191" t="s">
        <v>88</v>
      </c>
      <c r="J39" s="231"/>
      <c r="K39" s="232"/>
      <c r="L39" s="191" t="s">
        <v>89</v>
      </c>
      <c r="M39" s="232"/>
      <c r="N39" s="191" t="s">
        <v>90</v>
      </c>
      <c r="O39" s="232"/>
    </row>
    <row r="40" ht="19.5" customHeight="1" spans="1:15">
      <c r="A40" s="186"/>
      <c r="B40" s="186"/>
      <c r="C40" s="187"/>
      <c r="D40" s="188"/>
      <c r="E40" s="187"/>
      <c r="F40" s="188"/>
      <c r="G40" s="177" t="s">
        <v>63</v>
      </c>
      <c r="H40" s="179"/>
      <c r="I40" s="191" t="s">
        <v>91</v>
      </c>
      <c r="J40" s="231"/>
      <c r="K40" s="232"/>
      <c r="L40" s="191" t="s">
        <v>92</v>
      </c>
      <c r="M40" s="232"/>
      <c r="N40" s="191" t="s">
        <v>93</v>
      </c>
      <c r="O40" s="232"/>
    </row>
    <row r="41" ht="19.5" customHeight="1" spans="1:15">
      <c r="A41" s="181"/>
      <c r="B41" s="181"/>
      <c r="C41" s="193"/>
      <c r="D41" s="183"/>
      <c r="E41" s="193"/>
      <c r="F41" s="183"/>
      <c r="G41" s="177" t="s">
        <v>66</v>
      </c>
      <c r="H41" s="179"/>
      <c r="I41" s="191" t="s">
        <v>79</v>
      </c>
      <c r="J41" s="231"/>
      <c r="K41" s="232"/>
      <c r="L41" s="191" t="s">
        <v>45</v>
      </c>
      <c r="M41" s="232"/>
      <c r="N41" s="191" t="s">
        <v>79</v>
      </c>
      <c r="O41" s="232"/>
    </row>
    <row r="42" ht="30" customHeight="1" spans="1:15">
      <c r="A42" s="177">
        <v>3</v>
      </c>
      <c r="B42" s="196" t="s">
        <v>94</v>
      </c>
      <c r="C42" s="177"/>
      <c r="D42" s="185"/>
      <c r="E42" s="196" t="s">
        <v>95</v>
      </c>
      <c r="F42" s="197"/>
      <c r="G42" s="198"/>
      <c r="H42" s="196"/>
      <c r="I42" s="198"/>
      <c r="J42" s="177">
        <v>1</v>
      </c>
      <c r="K42" s="177">
        <v>2</v>
      </c>
      <c r="L42" s="177">
        <v>3</v>
      </c>
      <c r="M42" s="236" t="s">
        <v>17</v>
      </c>
      <c r="N42" s="237"/>
      <c r="O42" s="238"/>
    </row>
    <row r="43" ht="30" hidden="1" customHeight="1" spans="1:15">
      <c r="A43" s="186"/>
      <c r="B43" s="199"/>
      <c r="C43" s="193"/>
      <c r="D43" s="183"/>
      <c r="E43" s="200"/>
      <c r="F43" s="201"/>
      <c r="G43" s="202"/>
      <c r="H43" s="200"/>
      <c r="I43" s="202"/>
      <c r="J43" s="181"/>
      <c r="K43" s="181"/>
      <c r="L43" s="181"/>
      <c r="M43" s="239"/>
      <c r="N43" s="240"/>
      <c r="O43" s="241"/>
    </row>
    <row r="44" ht="30" customHeight="1" spans="1:15">
      <c r="A44" s="186"/>
      <c r="B44" s="199"/>
      <c r="C44" s="203" t="s">
        <v>96</v>
      </c>
      <c r="D44" s="177" t="s">
        <v>97</v>
      </c>
      <c r="E44" s="196" t="s">
        <v>98</v>
      </c>
      <c r="F44" s="197"/>
      <c r="G44" s="198"/>
      <c r="H44" s="177" t="s">
        <v>99</v>
      </c>
      <c r="I44" s="179"/>
      <c r="J44" s="242" t="s">
        <v>100</v>
      </c>
      <c r="K44" s="208" t="s">
        <v>101</v>
      </c>
      <c r="L44" s="242" t="s">
        <v>102</v>
      </c>
      <c r="M44" s="236" t="s">
        <v>103</v>
      </c>
      <c r="N44" s="237"/>
      <c r="O44" s="238"/>
    </row>
    <row r="45" ht="30" hidden="1" customHeight="1" spans="1:15">
      <c r="A45" s="181"/>
      <c r="B45" s="204"/>
      <c r="C45" s="205"/>
      <c r="D45" s="181"/>
      <c r="E45" s="200"/>
      <c r="F45" s="201"/>
      <c r="G45" s="202"/>
      <c r="H45" s="206"/>
      <c r="I45" s="206"/>
      <c r="J45" s="243"/>
      <c r="K45" s="244"/>
      <c r="L45" s="243"/>
      <c r="M45" s="239"/>
      <c r="N45" s="240"/>
      <c r="O45" s="241"/>
    </row>
    <row r="46" ht="30" customHeight="1" spans="1:15">
      <c r="A46" s="177">
        <v>4</v>
      </c>
      <c r="B46" s="196" t="s">
        <v>104</v>
      </c>
      <c r="C46" s="177" t="s">
        <v>105</v>
      </c>
      <c r="D46" s="190"/>
      <c r="E46" s="190"/>
      <c r="F46" s="190"/>
      <c r="G46" s="185"/>
      <c r="H46" s="177" t="s">
        <v>106</v>
      </c>
      <c r="I46" s="190"/>
      <c r="J46" s="190"/>
      <c r="K46" s="190"/>
      <c r="L46" s="185"/>
      <c r="M46" s="245" t="s">
        <v>107</v>
      </c>
      <c r="N46" s="246"/>
      <c r="O46" s="247"/>
    </row>
    <row r="47" ht="30" hidden="1" customHeight="1" spans="1:15">
      <c r="A47" s="181"/>
      <c r="B47" s="204"/>
      <c r="C47" s="193"/>
      <c r="D47" s="182"/>
      <c r="E47" s="182"/>
      <c r="F47" s="182"/>
      <c r="G47" s="183"/>
      <c r="H47" s="193"/>
      <c r="I47" s="182"/>
      <c r="J47" s="182"/>
      <c r="K47" s="182"/>
      <c r="L47" s="183"/>
      <c r="M47" s="248"/>
      <c r="N47" s="249"/>
      <c r="O47" s="250"/>
    </row>
    <row r="48" ht="30" customHeight="1" spans="1:15">
      <c r="A48" s="196">
        <v>5</v>
      </c>
      <c r="B48" s="196" t="s">
        <v>108</v>
      </c>
      <c r="C48" s="177" t="s">
        <v>109</v>
      </c>
      <c r="D48" s="190"/>
      <c r="E48" s="190"/>
      <c r="F48" s="190"/>
      <c r="G48" s="185"/>
      <c r="H48" s="177" t="s">
        <v>110</v>
      </c>
      <c r="I48" s="190"/>
      <c r="J48" s="190"/>
      <c r="K48" s="190"/>
      <c r="L48" s="185"/>
      <c r="M48" s="251" t="s">
        <v>111</v>
      </c>
      <c r="N48" s="252"/>
      <c r="O48" s="253"/>
    </row>
    <row r="49" ht="30" hidden="1" customHeight="1" spans="1:15">
      <c r="A49" s="204"/>
      <c r="B49" s="204"/>
      <c r="C49" s="193"/>
      <c r="D49" s="182"/>
      <c r="E49" s="182"/>
      <c r="F49" s="182"/>
      <c r="G49" s="183"/>
      <c r="H49" s="193"/>
      <c r="I49" s="182"/>
      <c r="J49" s="182"/>
      <c r="K49" s="182"/>
      <c r="L49" s="183"/>
      <c r="M49" s="254"/>
      <c r="N49" s="255"/>
      <c r="O49" s="256"/>
    </row>
    <row r="50" ht="30" customHeight="1" spans="1:15">
      <c r="A50" s="196">
        <v>6</v>
      </c>
      <c r="B50" s="196" t="s">
        <v>112</v>
      </c>
      <c r="C50" s="207">
        <v>1</v>
      </c>
      <c r="D50" s="177" t="s">
        <v>113</v>
      </c>
      <c r="E50" s="196" t="s">
        <v>110</v>
      </c>
      <c r="F50" s="197"/>
      <c r="G50" s="198"/>
      <c r="H50" s="208" t="s">
        <v>114</v>
      </c>
      <c r="I50" s="257"/>
      <c r="J50" s="258">
        <v>0</v>
      </c>
      <c r="K50" s="177" t="s">
        <v>97</v>
      </c>
      <c r="L50" s="185"/>
      <c r="M50" s="177" t="s">
        <v>99</v>
      </c>
      <c r="N50" s="259" t="s">
        <v>115</v>
      </c>
      <c r="O50" s="260"/>
    </row>
    <row r="51" ht="30" hidden="1" customHeight="1" spans="1:15">
      <c r="A51" s="199"/>
      <c r="B51" s="204"/>
      <c r="C51" s="209"/>
      <c r="D51" s="181"/>
      <c r="E51" s="200"/>
      <c r="F51" s="201"/>
      <c r="G51" s="202"/>
      <c r="H51" s="210"/>
      <c r="I51" s="261"/>
      <c r="J51" s="262"/>
      <c r="K51" s="193"/>
      <c r="L51" s="183"/>
      <c r="M51" s="181"/>
      <c r="N51" s="263"/>
      <c r="O51" s="264"/>
    </row>
    <row r="52" ht="45" customHeight="1" spans="1:15">
      <c r="A52" s="199"/>
      <c r="B52" s="196" t="s">
        <v>116</v>
      </c>
      <c r="C52" s="207">
        <v>1</v>
      </c>
      <c r="D52" s="177" t="s">
        <v>117</v>
      </c>
      <c r="E52" s="196" t="s">
        <v>110</v>
      </c>
      <c r="F52" s="197"/>
      <c r="G52" s="198"/>
      <c r="H52" s="191" t="s">
        <v>118</v>
      </c>
      <c r="I52" s="265"/>
      <c r="J52" s="258">
        <v>0</v>
      </c>
      <c r="K52" s="177" t="s">
        <v>119</v>
      </c>
      <c r="L52" s="185"/>
      <c r="M52" s="177" t="s">
        <v>99</v>
      </c>
      <c r="N52" s="259" t="s">
        <v>45</v>
      </c>
      <c r="O52" s="260"/>
    </row>
    <row r="53" ht="45" hidden="1" customHeight="1" spans="1:15">
      <c r="A53" s="199"/>
      <c r="B53" s="204"/>
      <c r="C53" s="209"/>
      <c r="D53" s="181"/>
      <c r="E53" s="200"/>
      <c r="F53" s="201"/>
      <c r="G53" s="202"/>
      <c r="H53" s="211"/>
      <c r="I53" s="266"/>
      <c r="J53" s="262"/>
      <c r="K53" s="193"/>
      <c r="L53" s="183"/>
      <c r="M53" s="181"/>
      <c r="N53" s="263"/>
      <c r="O53" s="264"/>
    </row>
    <row r="54" ht="30" customHeight="1" spans="1:15">
      <c r="A54" s="199"/>
      <c r="B54" s="196" t="s">
        <v>120</v>
      </c>
      <c r="C54" s="207">
        <v>1</v>
      </c>
      <c r="D54" s="177" t="s">
        <v>117</v>
      </c>
      <c r="E54" s="196" t="s">
        <v>110</v>
      </c>
      <c r="F54" s="197"/>
      <c r="G54" s="198"/>
      <c r="H54" s="191" t="s">
        <v>118</v>
      </c>
      <c r="I54" s="265"/>
      <c r="J54" s="258">
        <v>0</v>
      </c>
      <c r="K54" s="177" t="s">
        <v>119</v>
      </c>
      <c r="L54" s="185"/>
      <c r="M54" s="177" t="s">
        <v>99</v>
      </c>
      <c r="N54" s="259" t="s">
        <v>45</v>
      </c>
      <c r="O54" s="260"/>
    </row>
    <row r="55" ht="30" hidden="1" customHeight="1" spans="1:15">
      <c r="A55" s="204"/>
      <c r="B55" s="204"/>
      <c r="C55" s="209"/>
      <c r="D55" s="181"/>
      <c r="E55" s="200"/>
      <c r="F55" s="201"/>
      <c r="G55" s="202"/>
      <c r="H55" s="211"/>
      <c r="I55" s="266"/>
      <c r="J55" s="262"/>
      <c r="K55" s="193"/>
      <c r="L55" s="183"/>
      <c r="M55" s="181"/>
      <c r="N55" s="263"/>
      <c r="O55" s="264"/>
    </row>
    <row r="56" ht="24.75" customHeight="1" spans="1:15">
      <c r="A56" s="196">
        <v>7</v>
      </c>
      <c r="B56" s="196" t="s">
        <v>121</v>
      </c>
      <c r="C56" s="196" t="s">
        <v>122</v>
      </c>
      <c r="D56" s="197"/>
      <c r="E56" s="197"/>
      <c r="F56" s="197"/>
      <c r="G56" s="198"/>
      <c r="H56" s="203" t="s">
        <v>110</v>
      </c>
      <c r="I56" s="267"/>
      <c r="J56" s="267"/>
      <c r="K56" s="267"/>
      <c r="L56" s="268"/>
      <c r="M56" s="251" t="s">
        <v>123</v>
      </c>
      <c r="N56" s="252"/>
      <c r="O56" s="253"/>
    </row>
    <row r="57" ht="24.75" hidden="1" customHeight="1" spans="1:15">
      <c r="A57" s="204"/>
      <c r="B57" s="204"/>
      <c r="C57" s="200"/>
      <c r="D57" s="201"/>
      <c r="E57" s="201"/>
      <c r="F57" s="201"/>
      <c r="G57" s="202"/>
      <c r="H57" s="212"/>
      <c r="I57" s="269"/>
      <c r="J57" s="269"/>
      <c r="K57" s="269"/>
      <c r="L57" s="270"/>
      <c r="M57" s="254"/>
      <c r="N57" s="255"/>
      <c r="O57" s="256"/>
    </row>
    <row r="58" ht="21.75" customHeight="1" spans="1:15">
      <c r="A58" s="196">
        <v>8</v>
      </c>
      <c r="B58" s="196" t="s">
        <v>124</v>
      </c>
      <c r="C58" s="196" t="s">
        <v>125</v>
      </c>
      <c r="D58" s="177" t="s">
        <v>95</v>
      </c>
      <c r="E58" s="185"/>
      <c r="F58" s="196" t="s">
        <v>126</v>
      </c>
      <c r="G58" s="197"/>
      <c r="H58" s="197"/>
      <c r="I58" s="197"/>
      <c r="J58" s="197"/>
      <c r="K58" s="198"/>
      <c r="L58" s="177" t="s">
        <v>127</v>
      </c>
      <c r="M58" s="177" t="s">
        <v>128</v>
      </c>
      <c r="N58" s="236" t="s">
        <v>129</v>
      </c>
      <c r="O58" s="238"/>
    </row>
    <row r="59" ht="21.75" customHeight="1" spans="1:15">
      <c r="A59" s="199"/>
      <c r="B59" s="199"/>
      <c r="C59" s="199"/>
      <c r="D59" s="193"/>
      <c r="E59" s="183"/>
      <c r="F59" s="200"/>
      <c r="G59" s="201"/>
      <c r="H59" s="201"/>
      <c r="I59" s="201"/>
      <c r="J59" s="201"/>
      <c r="K59" s="202"/>
      <c r="L59" s="181"/>
      <c r="M59" s="181"/>
      <c r="N59" s="239"/>
      <c r="O59" s="241"/>
    </row>
    <row r="60" ht="21.75" customHeight="1" spans="1:15">
      <c r="A60" s="199"/>
      <c r="B60" s="199"/>
      <c r="C60" s="199"/>
      <c r="D60" s="177" t="s">
        <v>130</v>
      </c>
      <c r="E60" s="185"/>
      <c r="F60" s="196" t="s">
        <v>131</v>
      </c>
      <c r="G60" s="197"/>
      <c r="H60" s="197"/>
      <c r="I60" s="197"/>
      <c r="J60" s="197"/>
      <c r="K60" s="198"/>
      <c r="L60" s="196"/>
      <c r="M60" s="196"/>
      <c r="N60" s="196"/>
      <c r="O60" s="198"/>
    </row>
    <row r="61" ht="21.75" hidden="1" customHeight="1" spans="1:15">
      <c r="A61" s="199"/>
      <c r="B61" s="199"/>
      <c r="C61" s="199"/>
      <c r="D61" s="187"/>
      <c r="E61" s="188"/>
      <c r="F61" s="200"/>
      <c r="G61" s="201"/>
      <c r="H61" s="201"/>
      <c r="I61" s="201"/>
      <c r="J61" s="201"/>
      <c r="K61" s="202"/>
      <c r="L61" s="204"/>
      <c r="M61" s="204"/>
      <c r="N61" s="200"/>
      <c r="O61" s="202"/>
    </row>
    <row r="62" ht="21.75" customHeight="1" spans="1:15">
      <c r="A62" s="199"/>
      <c r="B62" s="199"/>
      <c r="C62" s="199"/>
      <c r="D62" s="187"/>
      <c r="E62" s="188"/>
      <c r="F62" s="196" t="s">
        <v>132</v>
      </c>
      <c r="G62" s="197"/>
      <c r="H62" s="197"/>
      <c r="I62" s="197"/>
      <c r="J62" s="197"/>
      <c r="K62" s="198"/>
      <c r="L62" s="184"/>
      <c r="M62" s="184"/>
      <c r="N62" s="184"/>
      <c r="O62" s="271"/>
    </row>
    <row r="63" ht="21.75" hidden="1" customHeight="1" spans="1:15">
      <c r="A63" s="199"/>
      <c r="B63" s="199"/>
      <c r="C63" s="199"/>
      <c r="D63" s="187"/>
      <c r="E63" s="188"/>
      <c r="F63" s="200"/>
      <c r="G63" s="201"/>
      <c r="H63" s="201"/>
      <c r="I63" s="201"/>
      <c r="J63" s="201"/>
      <c r="K63" s="202"/>
      <c r="L63" s="272"/>
      <c r="M63" s="272"/>
      <c r="N63" s="273"/>
      <c r="O63" s="274"/>
    </row>
    <row r="64" ht="21.75" customHeight="1" spans="1:15">
      <c r="A64" s="199"/>
      <c r="B64" s="199"/>
      <c r="C64" s="199"/>
      <c r="D64" s="187"/>
      <c r="E64" s="188"/>
      <c r="F64" s="196" t="s">
        <v>133</v>
      </c>
      <c r="G64" s="197"/>
      <c r="H64" s="197"/>
      <c r="I64" s="197"/>
      <c r="J64" s="197"/>
      <c r="K64" s="198"/>
      <c r="L64" s="196"/>
      <c r="M64" s="196"/>
      <c r="N64" s="196"/>
      <c r="O64" s="198"/>
    </row>
    <row r="65" ht="21.75" hidden="1" customHeight="1" spans="1:15">
      <c r="A65" s="199"/>
      <c r="B65" s="199"/>
      <c r="C65" s="199"/>
      <c r="D65" s="187"/>
      <c r="E65" s="188"/>
      <c r="F65" s="200"/>
      <c r="G65" s="201"/>
      <c r="H65" s="201"/>
      <c r="I65" s="201"/>
      <c r="J65" s="201"/>
      <c r="K65" s="202"/>
      <c r="L65" s="204"/>
      <c r="M65" s="204"/>
      <c r="N65" s="200"/>
      <c r="O65" s="202"/>
    </row>
    <row r="66" ht="21.75" customHeight="1" spans="1:15">
      <c r="A66" s="199"/>
      <c r="B66" s="199"/>
      <c r="C66" s="199"/>
      <c r="D66" s="187"/>
      <c r="E66" s="188"/>
      <c r="F66" s="196" t="s">
        <v>134</v>
      </c>
      <c r="G66" s="197"/>
      <c r="H66" s="197"/>
      <c r="I66" s="197"/>
      <c r="J66" s="197"/>
      <c r="K66" s="198"/>
      <c r="L66" s="196"/>
      <c r="M66" s="196"/>
      <c r="N66" s="196"/>
      <c r="O66" s="198"/>
    </row>
    <row r="67" ht="21.75" hidden="1" customHeight="1" spans="1:15">
      <c r="A67" s="204"/>
      <c r="B67" s="204"/>
      <c r="C67" s="204"/>
      <c r="D67" s="193"/>
      <c r="E67" s="183"/>
      <c r="F67" s="200"/>
      <c r="G67" s="201"/>
      <c r="H67" s="201"/>
      <c r="I67" s="201"/>
      <c r="J67" s="201"/>
      <c r="K67" s="202"/>
      <c r="L67" s="204"/>
      <c r="M67" s="204"/>
      <c r="N67" s="200"/>
      <c r="O67" s="202"/>
    </row>
    <row r="68" ht="30" customHeight="1" spans="1:15">
      <c r="A68" s="196">
        <v>9</v>
      </c>
      <c r="B68" s="196" t="s">
        <v>135</v>
      </c>
      <c r="C68" s="196" t="s">
        <v>136</v>
      </c>
      <c r="D68" s="197"/>
      <c r="E68" s="198"/>
      <c r="F68" s="196" t="s">
        <v>137</v>
      </c>
      <c r="G68" s="197"/>
      <c r="H68" s="197"/>
      <c r="I68" s="197"/>
      <c r="J68" s="197"/>
      <c r="K68" s="198"/>
      <c r="L68" s="196" t="s">
        <v>138</v>
      </c>
      <c r="M68" s="197"/>
      <c r="N68" s="197"/>
      <c r="O68" s="198"/>
    </row>
    <row r="69" ht="30" hidden="1" customHeight="1" spans="1:15">
      <c r="A69" s="204"/>
      <c r="B69" s="204"/>
      <c r="C69" s="200"/>
      <c r="D69" s="201"/>
      <c r="E69" s="202"/>
      <c r="F69" s="200"/>
      <c r="G69" s="201"/>
      <c r="H69" s="201"/>
      <c r="I69" s="201"/>
      <c r="J69" s="201"/>
      <c r="K69" s="202"/>
      <c r="L69" s="200"/>
      <c r="M69" s="201"/>
      <c r="N69" s="201"/>
      <c r="O69" s="202"/>
    </row>
    <row r="70" ht="30" customHeight="1" spans="1:15">
      <c r="A70" s="196">
        <v>10</v>
      </c>
      <c r="B70" s="196" t="s">
        <v>139</v>
      </c>
      <c r="C70" s="196" t="s">
        <v>140</v>
      </c>
      <c r="D70" s="275"/>
      <c r="E70" s="276"/>
      <c r="F70" s="196" t="s">
        <v>141</v>
      </c>
      <c r="G70" s="197"/>
      <c r="H70" s="197"/>
      <c r="I70" s="197"/>
      <c r="J70" s="197"/>
      <c r="K70" s="198"/>
      <c r="L70" s="196" t="s">
        <v>142</v>
      </c>
      <c r="M70" s="276"/>
      <c r="N70" s="196"/>
      <c r="O70" s="276"/>
    </row>
    <row r="71" ht="30" customHeight="1" spans="1:15">
      <c r="A71" s="204"/>
      <c r="B71" s="204"/>
      <c r="C71" s="196" t="s">
        <v>143</v>
      </c>
      <c r="D71" s="275"/>
      <c r="E71" s="276"/>
      <c r="F71" s="200"/>
      <c r="G71" s="201"/>
      <c r="H71" s="201"/>
      <c r="I71" s="201"/>
      <c r="J71" s="201"/>
      <c r="K71" s="202"/>
      <c r="L71" s="196" t="s">
        <v>142</v>
      </c>
      <c r="M71" s="276"/>
      <c r="N71" s="196"/>
      <c r="O71" s="276"/>
    </row>
    <row r="72" ht="30" customHeight="1" spans="1:15">
      <c r="A72" s="196">
        <v>11</v>
      </c>
      <c r="B72" s="196" t="s">
        <v>144</v>
      </c>
      <c r="C72" s="196" t="s">
        <v>145</v>
      </c>
      <c r="D72" s="197"/>
      <c r="E72" s="198"/>
      <c r="F72" s="196" t="s">
        <v>146</v>
      </c>
      <c r="G72" s="197"/>
      <c r="H72" s="197"/>
      <c r="I72" s="197"/>
      <c r="J72" s="197"/>
      <c r="K72" s="198"/>
      <c r="L72" s="196" t="s">
        <v>147</v>
      </c>
      <c r="M72" s="198"/>
      <c r="N72" s="196"/>
      <c r="O72" s="198"/>
    </row>
    <row r="73" ht="30" hidden="1" customHeight="1" spans="1:15">
      <c r="A73" s="204"/>
      <c r="B73" s="204"/>
      <c r="C73" s="200"/>
      <c r="D73" s="201"/>
      <c r="E73" s="202"/>
      <c r="F73" s="200"/>
      <c r="G73" s="201"/>
      <c r="H73" s="201"/>
      <c r="I73" s="201"/>
      <c r="J73" s="201"/>
      <c r="K73" s="202"/>
      <c r="L73" s="200"/>
      <c r="M73" s="202"/>
      <c r="N73" s="200"/>
      <c r="O73" s="202"/>
    </row>
    <row r="74" ht="30" customHeight="1" spans="1:15">
      <c r="A74" s="196">
        <v>12</v>
      </c>
      <c r="B74" s="196" t="s">
        <v>148</v>
      </c>
      <c r="C74" s="196" t="s">
        <v>149</v>
      </c>
      <c r="D74" s="197"/>
      <c r="E74" s="198"/>
      <c r="F74" s="196" t="s">
        <v>150</v>
      </c>
      <c r="G74" s="197"/>
      <c r="H74" s="197"/>
      <c r="I74" s="197"/>
      <c r="J74" s="197"/>
      <c r="K74" s="198"/>
      <c r="L74" s="196" t="s">
        <v>151</v>
      </c>
      <c r="M74" s="198"/>
      <c r="N74" s="196"/>
      <c r="O74" s="198"/>
    </row>
    <row r="75" ht="30" hidden="1" customHeight="1" spans="1:15">
      <c r="A75" s="204"/>
      <c r="B75" s="204"/>
      <c r="C75" s="200"/>
      <c r="D75" s="201"/>
      <c r="E75" s="202"/>
      <c r="F75" s="200"/>
      <c r="G75" s="201"/>
      <c r="H75" s="201"/>
      <c r="I75" s="201"/>
      <c r="J75" s="201"/>
      <c r="K75" s="202"/>
      <c r="L75" s="200"/>
      <c r="M75" s="202"/>
      <c r="N75" s="200"/>
      <c r="O75" s="202"/>
    </row>
    <row r="76" ht="77.25" customHeight="1" spans="1:15">
      <c r="A76" s="196">
        <v>13</v>
      </c>
      <c r="B76" s="177" t="s">
        <v>152</v>
      </c>
      <c r="C76" s="196" t="s">
        <v>153</v>
      </c>
      <c r="D76" s="197"/>
      <c r="E76" s="197"/>
      <c r="F76" s="197"/>
      <c r="G76" s="197"/>
      <c r="H76" s="197"/>
      <c r="I76" s="197"/>
      <c r="J76" s="197"/>
      <c r="K76" s="197"/>
      <c r="L76" s="197"/>
      <c r="M76" s="198"/>
      <c r="N76" s="283" t="s">
        <v>154</v>
      </c>
      <c r="O76" s="284"/>
    </row>
    <row r="77" ht="30" customHeight="1" spans="1:15">
      <c r="A77" s="204"/>
      <c r="B77" s="181"/>
      <c r="C77" s="200"/>
      <c r="D77" s="201"/>
      <c r="E77" s="201"/>
      <c r="F77" s="201"/>
      <c r="G77" s="201"/>
      <c r="H77" s="201"/>
      <c r="I77" s="201"/>
      <c r="J77" s="201"/>
      <c r="K77" s="201"/>
      <c r="L77" s="201"/>
      <c r="M77" s="202"/>
      <c r="N77" s="285"/>
      <c r="O77" s="286"/>
    </row>
    <row r="78" ht="27.75" customHeight="1" spans="1:15">
      <c r="A78" s="196" t="s">
        <v>155</v>
      </c>
      <c r="B78" s="276"/>
      <c r="C78" s="196" t="s">
        <v>156</v>
      </c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6"/>
    </row>
    <row r="79" customHeight="1" spans="1:15">
      <c r="A79" s="177" t="s">
        <v>157</v>
      </c>
      <c r="B79" s="185"/>
      <c r="C79" s="277" t="s">
        <v>158</v>
      </c>
      <c r="D79" s="278"/>
      <c r="E79" s="278"/>
      <c r="F79" s="278"/>
      <c r="G79" s="278"/>
      <c r="H79" s="278"/>
      <c r="I79" s="278"/>
      <c r="J79" s="278"/>
      <c r="K79" s="278"/>
      <c r="L79" s="278"/>
      <c r="M79" s="278"/>
      <c r="N79" s="278"/>
      <c r="O79" s="287"/>
    </row>
    <row r="80" customHeight="1" spans="1:15">
      <c r="A80" s="187"/>
      <c r="B80" s="188"/>
      <c r="C80" s="279"/>
      <c r="D80" s="280"/>
      <c r="E80" s="280"/>
      <c r="F80" s="280"/>
      <c r="G80" s="280"/>
      <c r="H80" s="280"/>
      <c r="I80" s="280"/>
      <c r="J80" s="280"/>
      <c r="K80" s="280"/>
      <c r="L80" s="280"/>
      <c r="M80" s="280"/>
      <c r="N80" s="280"/>
      <c r="O80" s="288"/>
    </row>
    <row r="81" ht="27" customHeight="1" spans="1:15">
      <c r="A81" s="193"/>
      <c r="B81" s="183"/>
      <c r="C81" s="281"/>
      <c r="D81" s="282"/>
      <c r="E81" s="282"/>
      <c r="F81" s="282"/>
      <c r="G81" s="282"/>
      <c r="H81" s="282"/>
      <c r="I81" s="282"/>
      <c r="J81" s="282"/>
      <c r="K81" s="282"/>
      <c r="L81" s="282"/>
      <c r="M81" s="282"/>
      <c r="N81" s="282"/>
      <c r="O81" s="289"/>
    </row>
  </sheetData>
  <mergeCells count="270">
    <mergeCell ref="C1:K1"/>
    <mergeCell ref="L1:M1"/>
    <mergeCell ref="N1:O1"/>
    <mergeCell ref="L2:M2"/>
    <mergeCell ref="N2:O2"/>
    <mergeCell ref="L3:M3"/>
    <mergeCell ref="N3:O3"/>
    <mergeCell ref="A4:C4"/>
    <mergeCell ref="D4:G4"/>
    <mergeCell ref="H4:K4"/>
    <mergeCell ref="L4:M4"/>
    <mergeCell ref="N4:O4"/>
    <mergeCell ref="A5:C5"/>
    <mergeCell ref="D5:G5"/>
    <mergeCell ref="H5:K5"/>
    <mergeCell ref="L5:M5"/>
    <mergeCell ref="N5:O5"/>
    <mergeCell ref="A6:B6"/>
    <mergeCell ref="C6:D6"/>
    <mergeCell ref="E6:G6"/>
    <mergeCell ref="H6:K6"/>
    <mergeCell ref="L6:M6"/>
    <mergeCell ref="N6:O6"/>
    <mergeCell ref="B7:D7"/>
    <mergeCell ref="E7:O7"/>
    <mergeCell ref="E8:G8"/>
    <mergeCell ref="H8:O8"/>
    <mergeCell ref="E9:G9"/>
    <mergeCell ref="H9:J9"/>
    <mergeCell ref="K9:O9"/>
    <mergeCell ref="E10:G10"/>
    <mergeCell ref="H10:J10"/>
    <mergeCell ref="N10:O10"/>
    <mergeCell ref="H11:J11"/>
    <mergeCell ref="N11:O11"/>
    <mergeCell ref="H12:J12"/>
    <mergeCell ref="N12:O12"/>
    <mergeCell ref="H13:J13"/>
    <mergeCell ref="N13:O13"/>
    <mergeCell ref="E14:G14"/>
    <mergeCell ref="H14:J14"/>
    <mergeCell ref="N14:O14"/>
    <mergeCell ref="E15:G15"/>
    <mergeCell ref="H15:J15"/>
    <mergeCell ref="N15:O15"/>
    <mergeCell ref="E16:G16"/>
    <mergeCell ref="H16:J16"/>
    <mergeCell ref="N16:O16"/>
    <mergeCell ref="C17:D17"/>
    <mergeCell ref="E17:G17"/>
    <mergeCell ref="N17:O17"/>
    <mergeCell ref="E20:F20"/>
    <mergeCell ref="G20:H20"/>
    <mergeCell ref="I20:K20"/>
    <mergeCell ref="L20:M20"/>
    <mergeCell ref="N20:O20"/>
    <mergeCell ref="G21:H21"/>
    <mergeCell ref="I21:K21"/>
    <mergeCell ref="L21:M21"/>
    <mergeCell ref="N21:O21"/>
    <mergeCell ref="I22:K22"/>
    <mergeCell ref="L22:M22"/>
    <mergeCell ref="N22:O22"/>
    <mergeCell ref="I23:K23"/>
    <mergeCell ref="L23:M23"/>
    <mergeCell ref="N23:O23"/>
    <mergeCell ref="I24:K24"/>
    <mergeCell ref="L24:M24"/>
    <mergeCell ref="N24:O24"/>
    <mergeCell ref="G25:H25"/>
    <mergeCell ref="I25:K25"/>
    <mergeCell ref="L25:M25"/>
    <mergeCell ref="N25:O25"/>
    <mergeCell ref="G26:H26"/>
    <mergeCell ref="I26:K26"/>
    <mergeCell ref="L26:M26"/>
    <mergeCell ref="N26:O26"/>
    <mergeCell ref="G27:H27"/>
    <mergeCell ref="I27:K27"/>
    <mergeCell ref="L27:M27"/>
    <mergeCell ref="N27:O27"/>
    <mergeCell ref="G28:H28"/>
    <mergeCell ref="I28:K28"/>
    <mergeCell ref="L28:M28"/>
    <mergeCell ref="N28:O28"/>
    <mergeCell ref="I29:K29"/>
    <mergeCell ref="L29:M29"/>
    <mergeCell ref="N29:O29"/>
    <mergeCell ref="I30:K30"/>
    <mergeCell ref="L30:M30"/>
    <mergeCell ref="N30:O30"/>
    <mergeCell ref="I31:K31"/>
    <mergeCell ref="L31:M31"/>
    <mergeCell ref="N31:O31"/>
    <mergeCell ref="G32:H32"/>
    <mergeCell ref="I32:K32"/>
    <mergeCell ref="L32:M32"/>
    <mergeCell ref="N32:O32"/>
    <mergeCell ref="G33:H33"/>
    <mergeCell ref="I33:K33"/>
    <mergeCell ref="L33:M33"/>
    <mergeCell ref="N33:O33"/>
    <mergeCell ref="G34:H34"/>
    <mergeCell ref="I34:K34"/>
    <mergeCell ref="L34:M34"/>
    <mergeCell ref="N34:O34"/>
    <mergeCell ref="G35:H35"/>
    <mergeCell ref="I35:K35"/>
    <mergeCell ref="L35:M35"/>
    <mergeCell ref="N35:O35"/>
    <mergeCell ref="I36:K36"/>
    <mergeCell ref="L36:M36"/>
    <mergeCell ref="N36:O36"/>
    <mergeCell ref="I37:K37"/>
    <mergeCell ref="L37:M37"/>
    <mergeCell ref="N37:O37"/>
    <mergeCell ref="I38:K38"/>
    <mergeCell ref="L38:M38"/>
    <mergeCell ref="N38:O38"/>
    <mergeCell ref="G39:H39"/>
    <mergeCell ref="I39:K39"/>
    <mergeCell ref="L39:M39"/>
    <mergeCell ref="N39:O39"/>
    <mergeCell ref="G40:H40"/>
    <mergeCell ref="I40:K40"/>
    <mergeCell ref="L40:M40"/>
    <mergeCell ref="N40:O40"/>
    <mergeCell ref="G41:H41"/>
    <mergeCell ref="I41:K41"/>
    <mergeCell ref="L41:M41"/>
    <mergeCell ref="N41:O41"/>
    <mergeCell ref="H44:I44"/>
    <mergeCell ref="C70:E70"/>
    <mergeCell ref="L70:M70"/>
    <mergeCell ref="N70:O70"/>
    <mergeCell ref="C71:E71"/>
    <mergeCell ref="L71:M71"/>
    <mergeCell ref="N71:O71"/>
    <mergeCell ref="A78:B78"/>
    <mergeCell ref="C78:O78"/>
    <mergeCell ref="A8:A17"/>
    <mergeCell ref="A18:A34"/>
    <mergeCell ref="A35:A41"/>
    <mergeCell ref="A42:A45"/>
    <mergeCell ref="A46:A47"/>
    <mergeCell ref="A48:A49"/>
    <mergeCell ref="A50:A55"/>
    <mergeCell ref="A56:A57"/>
    <mergeCell ref="A58:A67"/>
    <mergeCell ref="A68:A69"/>
    <mergeCell ref="A70:A71"/>
    <mergeCell ref="A72:A73"/>
    <mergeCell ref="A74:A75"/>
    <mergeCell ref="A76:A77"/>
    <mergeCell ref="B8:B16"/>
    <mergeCell ref="B18:B34"/>
    <mergeCell ref="B35:B41"/>
    <mergeCell ref="B42:B45"/>
    <mergeCell ref="B46:B47"/>
    <mergeCell ref="B48:B49"/>
    <mergeCell ref="B50:B51"/>
    <mergeCell ref="B52:B53"/>
    <mergeCell ref="B54:B55"/>
    <mergeCell ref="B56:B57"/>
    <mergeCell ref="B58:B67"/>
    <mergeCell ref="B68:B69"/>
    <mergeCell ref="B70:B71"/>
    <mergeCell ref="B72:B73"/>
    <mergeCell ref="B74:B75"/>
    <mergeCell ref="B76:B77"/>
    <mergeCell ref="C44:C45"/>
    <mergeCell ref="C50:C51"/>
    <mergeCell ref="C52:C53"/>
    <mergeCell ref="C54:C55"/>
    <mergeCell ref="C58:C67"/>
    <mergeCell ref="D44:D45"/>
    <mergeCell ref="D50:D51"/>
    <mergeCell ref="D52:D53"/>
    <mergeCell ref="D54:D55"/>
    <mergeCell ref="J42:J43"/>
    <mergeCell ref="J44:J45"/>
    <mergeCell ref="J50:J51"/>
    <mergeCell ref="J52:J53"/>
    <mergeCell ref="J54:J55"/>
    <mergeCell ref="K42:K43"/>
    <mergeCell ref="K44:K45"/>
    <mergeCell ref="L42:L43"/>
    <mergeCell ref="L44:L45"/>
    <mergeCell ref="L58:L59"/>
    <mergeCell ref="L60:L61"/>
    <mergeCell ref="L62:L63"/>
    <mergeCell ref="L64:L65"/>
    <mergeCell ref="L66:L67"/>
    <mergeCell ref="M50:M51"/>
    <mergeCell ref="M52:M53"/>
    <mergeCell ref="M54:M55"/>
    <mergeCell ref="M58:M59"/>
    <mergeCell ref="M60:M61"/>
    <mergeCell ref="M62:M63"/>
    <mergeCell ref="M64:M65"/>
    <mergeCell ref="M66:M67"/>
    <mergeCell ref="E44:G45"/>
    <mergeCell ref="C48:G49"/>
    <mergeCell ref="H48:L49"/>
    <mergeCell ref="C46:G47"/>
    <mergeCell ref="H46:L47"/>
    <mergeCell ref="E42:G43"/>
    <mergeCell ref="C42:D43"/>
    <mergeCell ref="C35:D41"/>
    <mergeCell ref="E35:F41"/>
    <mergeCell ref="G36:H38"/>
    <mergeCell ref="E18:G19"/>
    <mergeCell ref="C18:D34"/>
    <mergeCell ref="E21:F27"/>
    <mergeCell ref="E28:F34"/>
    <mergeCell ref="G29:H31"/>
    <mergeCell ref="G22:H24"/>
    <mergeCell ref="M48:O49"/>
    <mergeCell ref="M46:O47"/>
    <mergeCell ref="M44:O45"/>
    <mergeCell ref="M42:O43"/>
    <mergeCell ref="E11:G13"/>
    <mergeCell ref="C8:D16"/>
    <mergeCell ref="A1:B3"/>
    <mergeCell ref="C2:K3"/>
    <mergeCell ref="H42:I43"/>
    <mergeCell ref="H50:I51"/>
    <mergeCell ref="N50:O51"/>
    <mergeCell ref="H52:I53"/>
    <mergeCell ref="N52:O53"/>
    <mergeCell ref="H54:I55"/>
    <mergeCell ref="N54:O55"/>
    <mergeCell ref="H18:O19"/>
    <mergeCell ref="D58:E59"/>
    <mergeCell ref="N58:O59"/>
    <mergeCell ref="M56:O57"/>
    <mergeCell ref="K54:L55"/>
    <mergeCell ref="K52:L53"/>
    <mergeCell ref="K50:L51"/>
    <mergeCell ref="N76:O77"/>
    <mergeCell ref="C79:O81"/>
    <mergeCell ref="C76:M77"/>
    <mergeCell ref="L74:M75"/>
    <mergeCell ref="N74:O75"/>
    <mergeCell ref="L72:M73"/>
    <mergeCell ref="N72:O73"/>
    <mergeCell ref="F66:K67"/>
    <mergeCell ref="F64:K65"/>
    <mergeCell ref="F62:K63"/>
    <mergeCell ref="L68:O69"/>
    <mergeCell ref="F68:K69"/>
    <mergeCell ref="F70:K71"/>
    <mergeCell ref="F72:K73"/>
    <mergeCell ref="F74:K75"/>
    <mergeCell ref="C56:G57"/>
    <mergeCell ref="H56:L57"/>
    <mergeCell ref="F58:K59"/>
    <mergeCell ref="N60:O61"/>
    <mergeCell ref="F60:K61"/>
    <mergeCell ref="N66:O67"/>
    <mergeCell ref="N64:O65"/>
    <mergeCell ref="N62:O63"/>
    <mergeCell ref="E50:G51"/>
    <mergeCell ref="E54:G55"/>
    <mergeCell ref="E52:G53"/>
    <mergeCell ref="C68:E69"/>
    <mergeCell ref="D60:E67"/>
    <mergeCell ref="C72:E73"/>
    <mergeCell ref="C74:E75"/>
    <mergeCell ref="A79:B81"/>
  </mergeCells>
  <printOptions horizontalCentered="1"/>
  <pageMargins left="0.511811023622047" right="0.511811023622047" top="0.748031496062992" bottom="0.748031496062992" header="0.196850393700787" footer="0.196850393700787"/>
  <pageSetup paperSize="9" scale="95" firstPageNumber="4294963191" orientation="portrait" useFirstPageNumber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showGridLines="0" showRowColHeaders="0" workbookViewId="0">
      <pane topLeftCell="A1" activePane="topLeft"/>
      <selection activeCell="A1" sqref="A1"/>
    </sheetView>
  </sheetViews>
  <sheetFormatPr defaultColWidth="8.88333333333333" defaultRowHeight="14.25" customHeight="1"/>
  <cols>
    <col min="1" max="1" width="18.3833333333333" style="121" customWidth="1"/>
    <col min="2" max="2" width="19.3833333333333" style="121" customWidth="1"/>
    <col min="3" max="3" width="21.5" style="121" customWidth="1"/>
    <col min="4" max="4" width="7.88333333333333" style="121" customWidth="1"/>
    <col min="5" max="7" width="14.1333333333333" style="121" customWidth="1"/>
    <col min="8" max="12" width="11" style="121" customWidth="1"/>
    <col min="13" max="13" width="16.3833333333333" style="121" customWidth="1"/>
    <col min="14" max="14" width="11" style="121" customWidth="1"/>
    <col min="15" max="15" width="20.1333333333333" style="121" customWidth="1"/>
    <col min="16" max="16" width="16.3833333333333" style="120" customWidth="1"/>
    <col min="17" max="16384" width="8.88333333333333" style="121"/>
  </cols>
  <sheetData>
    <row r="1" s="107" customFormat="1" ht="32.25" customHeight="1" spans="1:18">
      <c r="A1" s="113" t="s">
        <v>159</v>
      </c>
      <c r="B1" s="113" t="s">
        <v>160</v>
      </c>
      <c r="C1" s="113" t="s">
        <v>161</v>
      </c>
      <c r="D1" s="113"/>
      <c r="E1" s="159" t="s">
        <v>162</v>
      </c>
      <c r="F1" s="159" t="s">
        <v>163</v>
      </c>
      <c r="G1" s="159" t="s">
        <v>163</v>
      </c>
      <c r="H1" s="159" t="s">
        <v>164</v>
      </c>
      <c r="I1" s="159" t="s">
        <v>165</v>
      </c>
      <c r="J1" s="159" t="s">
        <v>165</v>
      </c>
      <c r="K1" s="159" t="s">
        <v>166</v>
      </c>
      <c r="L1" s="159" t="s">
        <v>166</v>
      </c>
      <c r="M1" s="159" t="s">
        <v>167</v>
      </c>
      <c r="N1" s="159" t="s">
        <v>168</v>
      </c>
      <c r="O1" s="159" t="s">
        <v>169</v>
      </c>
      <c r="P1" s="162" t="s">
        <v>170</v>
      </c>
      <c r="Q1" s="159" t="s">
        <v>171</v>
      </c>
      <c r="R1" s="159" t="s">
        <v>172</v>
      </c>
    </row>
    <row r="2" customHeight="1" spans="1:18">
      <c r="A2" s="91" t="s">
        <v>173</v>
      </c>
      <c r="B2" s="91">
        <v>656.1</v>
      </c>
      <c r="C2" s="91">
        <v>656.1</v>
      </c>
      <c r="D2" s="91"/>
      <c r="E2" s="91" t="s">
        <v>174</v>
      </c>
      <c r="F2" s="93" t="s">
        <v>175</v>
      </c>
      <c r="G2" s="93">
        <v>0</v>
      </c>
      <c r="H2" s="91"/>
      <c r="I2" s="91" t="s">
        <v>176</v>
      </c>
      <c r="J2" s="91">
        <v>0</v>
      </c>
      <c r="K2" s="91" t="s">
        <v>177</v>
      </c>
      <c r="L2" s="91">
        <v>0</v>
      </c>
      <c r="M2" s="91"/>
      <c r="N2" s="91">
        <v>1</v>
      </c>
      <c r="P2" s="163">
        <v>0.2</v>
      </c>
      <c r="Q2" s="163"/>
      <c r="R2" s="91"/>
    </row>
    <row r="3" customHeight="1" spans="1:18">
      <c r="A3" s="91" t="s">
        <v>178</v>
      </c>
      <c r="B3" s="91">
        <v>253.7</v>
      </c>
      <c r="C3" s="91">
        <v>253.7</v>
      </c>
      <c r="D3" s="91"/>
      <c r="E3" s="91" t="s">
        <v>179</v>
      </c>
      <c r="F3" s="93" t="s">
        <v>173</v>
      </c>
      <c r="G3" s="93">
        <v>1</v>
      </c>
      <c r="H3" s="91" t="s">
        <v>180</v>
      </c>
      <c r="I3" s="91" t="s">
        <v>181</v>
      </c>
      <c r="J3" s="91">
        <v>1</v>
      </c>
      <c r="K3" s="91" t="s">
        <v>182</v>
      </c>
      <c r="L3" s="91">
        <v>1</v>
      </c>
      <c r="M3" s="121">
        <v>0.02</v>
      </c>
      <c r="N3" s="91">
        <v>2</v>
      </c>
      <c r="O3" s="91">
        <v>1</v>
      </c>
      <c r="P3" s="163">
        <v>0.5</v>
      </c>
      <c r="Q3" s="91">
        <v>1</v>
      </c>
      <c r="R3" s="91">
        <v>0.5</v>
      </c>
    </row>
    <row r="4" customHeight="1" spans="1:18">
      <c r="A4" s="91" t="s">
        <v>183</v>
      </c>
      <c r="B4" s="91" t="s">
        <v>184</v>
      </c>
      <c r="C4" s="91" t="s">
        <v>184</v>
      </c>
      <c r="D4" s="91"/>
      <c r="E4" s="91"/>
      <c r="F4" s="93" t="s">
        <v>185</v>
      </c>
      <c r="G4" s="93">
        <v>2</v>
      </c>
      <c r="H4" s="91"/>
      <c r="I4" s="91" t="s">
        <v>186</v>
      </c>
      <c r="J4" s="91">
        <v>2</v>
      </c>
      <c r="K4" s="91" t="s">
        <v>187</v>
      </c>
      <c r="L4" s="91">
        <v>2</v>
      </c>
      <c r="M4" s="91">
        <v>0.1</v>
      </c>
      <c r="N4" s="91">
        <v>3</v>
      </c>
      <c r="O4" s="91">
        <v>2</v>
      </c>
      <c r="P4" s="123" t="s">
        <v>188</v>
      </c>
      <c r="Q4" s="91">
        <v>2</v>
      </c>
      <c r="R4" s="91">
        <v>1</v>
      </c>
    </row>
    <row r="5" customHeight="1" spans="1:18">
      <c r="A5" s="91" t="s">
        <v>23</v>
      </c>
      <c r="B5" s="91" t="s">
        <v>189</v>
      </c>
      <c r="C5" s="91" t="s">
        <v>189</v>
      </c>
      <c r="D5" s="91"/>
      <c r="E5" s="91"/>
      <c r="F5" s="91"/>
      <c r="G5" s="91"/>
      <c r="H5" s="91"/>
      <c r="I5" s="91" t="s">
        <v>190</v>
      </c>
      <c r="J5" s="91">
        <v>3</v>
      </c>
      <c r="K5" s="91" t="s">
        <v>191</v>
      </c>
      <c r="L5" s="91">
        <v>3</v>
      </c>
      <c r="M5" s="91">
        <v>0.2</v>
      </c>
      <c r="N5" s="91">
        <v>4</v>
      </c>
      <c r="O5" s="91"/>
      <c r="P5" s="123" t="s">
        <v>192</v>
      </c>
      <c r="Q5" s="91">
        <v>3</v>
      </c>
      <c r="R5" s="91">
        <v>2</v>
      </c>
    </row>
    <row r="6" customHeight="1" spans="1:18">
      <c r="A6" s="91" t="s">
        <v>51</v>
      </c>
      <c r="B6" s="91" t="s">
        <v>193</v>
      </c>
      <c r="C6" s="91"/>
      <c r="D6" s="91"/>
      <c r="E6" s="91"/>
      <c r="F6" s="91"/>
      <c r="G6" s="91"/>
      <c r="H6" s="91"/>
      <c r="I6" s="91" t="s">
        <v>194</v>
      </c>
      <c r="J6" s="91">
        <v>4</v>
      </c>
      <c r="K6" s="91" t="s">
        <v>195</v>
      </c>
      <c r="L6" s="91">
        <v>4</v>
      </c>
      <c r="M6" s="91">
        <v>0.5</v>
      </c>
      <c r="N6" s="91">
        <v>5</v>
      </c>
      <c r="O6" s="91"/>
      <c r="P6" s="123" t="s">
        <v>196</v>
      </c>
      <c r="Q6" s="91">
        <v>4</v>
      </c>
      <c r="R6" s="91"/>
    </row>
    <row r="7" customHeight="1" spans="1:18">
      <c r="A7" s="91" t="s">
        <v>67</v>
      </c>
      <c r="B7" s="91" t="s">
        <v>197</v>
      </c>
      <c r="C7" s="91"/>
      <c r="D7" s="91"/>
      <c r="E7" s="91"/>
      <c r="F7" s="91"/>
      <c r="G7" s="91"/>
      <c r="H7" s="91"/>
      <c r="I7" s="91"/>
      <c r="J7" s="91"/>
      <c r="K7" s="91" t="s">
        <v>11</v>
      </c>
      <c r="L7" s="91"/>
      <c r="M7" s="91">
        <v>1</v>
      </c>
      <c r="N7" s="91"/>
      <c r="O7" s="91"/>
      <c r="P7" s="163"/>
      <c r="Q7" s="91">
        <v>5</v>
      </c>
      <c r="R7" s="91"/>
    </row>
    <row r="8" customHeight="1" spans="1:18">
      <c r="A8" s="91" t="s">
        <v>81</v>
      </c>
      <c r="B8" s="91" t="s">
        <v>198</v>
      </c>
      <c r="C8" s="91"/>
      <c r="D8" s="91"/>
      <c r="E8" s="91"/>
      <c r="F8" s="91"/>
      <c r="G8" s="91"/>
      <c r="H8" s="91"/>
      <c r="I8" s="91"/>
      <c r="J8" s="91"/>
      <c r="K8" s="91"/>
      <c r="L8" s="91"/>
      <c r="M8" s="91">
        <v>2</v>
      </c>
      <c r="N8" s="91"/>
      <c r="O8" s="91"/>
      <c r="P8" s="163"/>
      <c r="Q8" s="91"/>
      <c r="R8" s="91"/>
    </row>
    <row r="9" customHeight="1" spans="1:18">
      <c r="A9" s="160" t="s">
        <v>199</v>
      </c>
      <c r="B9" s="161">
        <v>350313257235</v>
      </c>
      <c r="C9" s="91" t="s">
        <v>200</v>
      </c>
      <c r="D9" s="161"/>
      <c r="E9" s="91"/>
      <c r="F9" s="91"/>
      <c r="G9" s="91"/>
      <c r="H9" s="91"/>
      <c r="I9" s="91"/>
      <c r="J9" s="91"/>
      <c r="K9" s="91"/>
      <c r="L9" s="91"/>
      <c r="M9" s="91">
        <v>5</v>
      </c>
      <c r="N9" s="91"/>
      <c r="O9" s="91"/>
      <c r="P9" s="163"/>
      <c r="Q9" s="91"/>
      <c r="R9" s="91"/>
    </row>
    <row r="10" customHeight="1" spans="1:18">
      <c r="A10" s="91" t="s">
        <v>201</v>
      </c>
      <c r="B10" s="91">
        <v>220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163"/>
      <c r="Q10" s="91"/>
      <c r="R10" s="91"/>
    </row>
    <row r="11" customHeight="1" spans="1:18">
      <c r="A11" s="91" t="s">
        <v>202</v>
      </c>
      <c r="B11" s="161">
        <v>340360</v>
      </c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163"/>
      <c r="Q11" s="91"/>
      <c r="R11" s="91"/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showGridLines="0" showRowColHeaders="0" zoomScale="85" zoomScaleNormal="85" workbookViewId="0">
      <pane ySplit="1" topLeftCell="A2" activePane="bottomLeft" state="frozen"/>
      <selection/>
      <selection pane="bottomLeft" activeCell="F31" sqref="F31"/>
    </sheetView>
  </sheetViews>
  <sheetFormatPr defaultColWidth="9" defaultRowHeight="14.25" customHeight="1"/>
  <cols>
    <col min="1" max="1" width="10" style="22" customWidth="1"/>
    <col min="2" max="2" width="13.6333333333333" style="22" customWidth="1"/>
    <col min="3" max="3" width="7.88333333333333" style="22" customWidth="1"/>
    <col min="4" max="4" width="15.3833333333333" style="147" customWidth="1"/>
    <col min="5" max="8" width="9" style="1"/>
    <col min="9" max="9" width="17.25" style="1" customWidth="1"/>
    <col min="10" max="10" width="9" style="1"/>
    <col min="11" max="11" width="10" style="1" customWidth="1"/>
    <col min="12" max="13" width="9" style="1"/>
    <col min="14" max="14" width="10" style="22" customWidth="1"/>
    <col min="15" max="15" width="5.75" style="1" customWidth="1"/>
    <col min="16" max="16" width="36.6333333333333" style="22" customWidth="1"/>
    <col min="17" max="17" width="11.6333333333333" style="1" customWidth="1"/>
    <col min="18" max="16384" width="9" style="1"/>
  </cols>
  <sheetData>
    <row r="1" customHeight="1" spans="1:17">
      <c r="A1" s="151" t="s">
        <v>203</v>
      </c>
      <c r="B1" s="151" t="s">
        <v>204</v>
      </c>
      <c r="C1" s="151" t="s">
        <v>161</v>
      </c>
      <c r="D1" s="152" t="s">
        <v>31</v>
      </c>
      <c r="E1" s="152" t="s">
        <v>205</v>
      </c>
      <c r="F1" s="152" t="s">
        <v>206</v>
      </c>
      <c r="G1" s="152" t="s">
        <v>207</v>
      </c>
      <c r="H1" s="153" t="s">
        <v>7</v>
      </c>
      <c r="I1" s="157" t="s">
        <v>8</v>
      </c>
      <c r="J1" s="153" t="s">
        <v>9</v>
      </c>
      <c r="K1" s="153" t="s">
        <v>208</v>
      </c>
      <c r="L1" s="153" t="s">
        <v>209</v>
      </c>
      <c r="M1" s="153" t="s">
        <v>210</v>
      </c>
      <c r="N1" s="151" t="s">
        <v>211</v>
      </c>
      <c r="O1" s="152" t="s">
        <v>212</v>
      </c>
      <c r="P1" s="151" t="s">
        <v>213</v>
      </c>
      <c r="Q1" s="126"/>
    </row>
    <row r="2" customHeight="1" spans="1:16">
      <c r="A2" s="90">
        <v>1003</v>
      </c>
      <c r="B2" s="154" t="str">
        <f ca="1" t="shared" ref="B2:B25" si="0">MID(CELL("filename"),FIND("[",CELL("filename"),1)+1,FIND(".",CELL("filename"),1)-FIND("[",CELL("filename"),1)-1)</f>
        <v>T400Template</v>
      </c>
      <c r="C2" s="90"/>
      <c r="D2" s="155" t="str">
        <f>波长示值误差与重复性校验!$C2&amp;";"&amp;波长示值误差与重复性校验!$D2&amp;";"&amp;波长示值误差与重复性校验!$E2</f>
        <v>806.2;806.2;806.2</v>
      </c>
      <c r="E2" s="155">
        <f>波长示值误差与重复性校验!$F2</f>
        <v>806.2</v>
      </c>
      <c r="F2" s="155">
        <f>波长示值误差与重复性校验!$G2</f>
        <v>-1.19999999999982</v>
      </c>
      <c r="G2" s="155">
        <f>波长示值误差与重复性校验!$H2</f>
        <v>0</v>
      </c>
      <c r="H2" s="155">
        <f>Report!$F$5</f>
        <v>0</v>
      </c>
      <c r="I2" s="158">
        <f ca="1" t="shared" ref="I2:I25" si="1">NOW()</f>
        <v>45625.4561574074</v>
      </c>
      <c r="J2" s="155">
        <f>Report!$N$5</f>
        <v>0</v>
      </c>
      <c r="K2" s="155"/>
      <c r="L2" s="155">
        <f>Report!$C$6</f>
        <v>0</v>
      </c>
      <c r="M2" s="155">
        <f>Report!$H$6</f>
        <v>0</v>
      </c>
      <c r="N2" s="90" t="str">
        <f>波长示值误差与重复性校验!$K2</f>
        <v>合格</v>
      </c>
      <c r="O2" s="155"/>
      <c r="P2" s="93">
        <v>1003</v>
      </c>
    </row>
    <row r="3" customHeight="1" spans="1:16">
      <c r="A3" s="90">
        <v>1008</v>
      </c>
      <c r="B3" s="154" t="str">
        <f ca="1" t="shared" si="0"/>
        <v>T400Template</v>
      </c>
      <c r="C3" s="90"/>
      <c r="D3" s="155" t="str">
        <f>波长示值误差与重复性校验!$C3&amp;";"&amp;波长示值误差与重复性校验!$D3&amp;";"&amp;波长示值误差与重复性校验!$E3</f>
        <v>639.6;639.6;639.6</v>
      </c>
      <c r="E3" s="155">
        <f>波长示值误差与重复性校验!$F3</f>
        <v>639.6</v>
      </c>
      <c r="F3" s="155">
        <f>波长示值误差与重复性校验!$G3</f>
        <v>-1.10000000000002</v>
      </c>
      <c r="G3" s="155">
        <f>波长示值误差与重复性校验!$H3</f>
        <v>0</v>
      </c>
      <c r="H3" s="155">
        <f>Report!$F$5</f>
        <v>0</v>
      </c>
      <c r="I3" s="158">
        <f ca="1" t="shared" si="1"/>
        <v>45625.4561574074</v>
      </c>
      <c r="J3" s="155">
        <f>Report!$N$5</f>
        <v>0</v>
      </c>
      <c r="K3" s="155"/>
      <c r="L3" s="155">
        <f>Report!$C$6</f>
        <v>0</v>
      </c>
      <c r="M3" s="155">
        <f>Report!$H$6</f>
        <v>0</v>
      </c>
      <c r="N3" s="90" t="str">
        <f>波长示值误差与重复性校验!$K3</f>
        <v>合格</v>
      </c>
      <c r="O3" s="155"/>
      <c r="P3" s="93">
        <v>1004</v>
      </c>
    </row>
    <row r="4" customHeight="1" spans="1:16">
      <c r="A4" s="90">
        <v>1009</v>
      </c>
      <c r="B4" s="154" t="str">
        <f ca="1" t="shared" si="0"/>
        <v>T400Template</v>
      </c>
      <c r="C4" s="90"/>
      <c r="D4" s="155" t="str">
        <f>波长示值误差与重复性校验!$C4&amp;";"&amp;波长示值误差与重复性校验!$D4&amp;";"&amp;波长示值误差与重复性校验!$E4</f>
        <v>535.4;535.4;535.4</v>
      </c>
      <c r="E4" s="155">
        <f>波长示值误差与重复性校验!$F4</f>
        <v>535.4</v>
      </c>
      <c r="F4" s="155">
        <f>波长示值误差与重复性校验!$G4</f>
        <v>-1.39999999999998</v>
      </c>
      <c r="G4" s="155">
        <f>波长示值误差与重复性校验!$H4</f>
        <v>0</v>
      </c>
      <c r="H4" s="155">
        <f>Report!$F$5</f>
        <v>0</v>
      </c>
      <c r="I4" s="158">
        <f ca="1" t="shared" si="1"/>
        <v>45625.4561574074</v>
      </c>
      <c r="J4" s="155">
        <f>Report!$N$5</f>
        <v>0</v>
      </c>
      <c r="K4" s="155"/>
      <c r="L4" s="155">
        <f>Report!$C$6</f>
        <v>0</v>
      </c>
      <c r="M4" s="155">
        <f>Report!$H$6</f>
        <v>0</v>
      </c>
      <c r="N4" s="90" t="str">
        <f>波长示值误差与重复性校验!$K4</f>
        <v>合格</v>
      </c>
      <c r="O4" s="155"/>
      <c r="P4" s="93">
        <v>1004</v>
      </c>
    </row>
    <row r="5" customHeight="1" spans="1:16">
      <c r="A5" s="90">
        <v>1010</v>
      </c>
      <c r="B5" s="154" t="str">
        <f ca="1" t="shared" si="0"/>
        <v>T400Template</v>
      </c>
      <c r="C5" s="90"/>
      <c r="D5" s="155" t="str">
        <f>波长示值误差与重复性校验!$C5&amp;";"&amp;波长示值误差与重复性校验!$D5&amp;";"&amp;波长示值误差与重复性校验!$E5</f>
        <v>415.2;415.2;415.2</v>
      </c>
      <c r="E5" s="155">
        <f>波长示值误差与重复性校验!$F5</f>
        <v>415.2</v>
      </c>
      <c r="F5" s="155">
        <f>波长示值误差与重复性校验!$G5</f>
        <v>-1.30000000000001</v>
      </c>
      <c r="G5" s="155">
        <f>波长示值误差与重复性校验!$H5</f>
        <v>0</v>
      </c>
      <c r="H5" s="155">
        <f>Report!$F$5</f>
        <v>0</v>
      </c>
      <c r="I5" s="158">
        <f ca="1" t="shared" si="1"/>
        <v>45625.4561574074</v>
      </c>
      <c r="J5" s="155">
        <f>Report!$N$5</f>
        <v>0</v>
      </c>
      <c r="K5" s="155"/>
      <c r="L5" s="155">
        <f>Report!$C$6</f>
        <v>0</v>
      </c>
      <c r="M5" s="155">
        <f>Report!$H$6</f>
        <v>0</v>
      </c>
      <c r="N5" s="90" t="str">
        <f>波长示值误差与重复性校验!$K5</f>
        <v>合格</v>
      </c>
      <c r="O5" s="155"/>
      <c r="P5" s="93">
        <v>1004</v>
      </c>
    </row>
    <row r="6" customHeight="1" spans="1:16">
      <c r="A6" s="90">
        <v>1011</v>
      </c>
      <c r="B6" s="154" t="str">
        <f ca="1" t="shared" si="0"/>
        <v>T400Template</v>
      </c>
      <c r="C6" s="90"/>
      <c r="D6" s="155" t="str">
        <f>波长示值误差与重复性校验!$C6&amp;";"&amp;波长示值误差与重复性校验!$D6&amp;";"&amp;波长示值误差与重复性校验!$E6</f>
        <v>360;360;360</v>
      </c>
      <c r="E6" s="155">
        <f>波长示值误差与重复性校验!$F6</f>
        <v>360</v>
      </c>
      <c r="F6" s="155">
        <f>波长示值误差与重复性校验!$G6</f>
        <v>-1</v>
      </c>
      <c r="G6" s="155">
        <f>波长示值误差与重复性校验!$H6</f>
        <v>0</v>
      </c>
      <c r="H6" s="155">
        <f>Report!$F$5</f>
        <v>0</v>
      </c>
      <c r="I6" s="158">
        <f ca="1" t="shared" si="1"/>
        <v>45625.4561574074</v>
      </c>
      <c r="J6" s="155">
        <f>Report!$N$5</f>
        <v>0</v>
      </c>
      <c r="K6" s="155"/>
      <c r="L6" s="155">
        <f>Report!$C$6</f>
        <v>0</v>
      </c>
      <c r="M6" s="155">
        <f>Report!$H$6</f>
        <v>0</v>
      </c>
      <c r="N6" s="90" t="str">
        <f>波长示值误差与重复性校验!$K6</f>
        <v>合格</v>
      </c>
      <c r="O6" s="155"/>
      <c r="P6" s="93">
        <v>1004</v>
      </c>
    </row>
    <row r="7" customHeight="1" spans="1:16">
      <c r="A7" s="90">
        <v>2005</v>
      </c>
      <c r="B7" s="154" t="str">
        <f ca="1" t="shared" si="0"/>
        <v>T400Template</v>
      </c>
      <c r="C7" s="90">
        <f>透射比示值误差与重复性校验!$C2</f>
        <v>7.57</v>
      </c>
      <c r="D7" s="155" t="str">
        <f>透射比示值误差与重复性校验!$D2&amp;";"&amp;透射比示值误差与重复性校验!$E2&amp;";"&amp;透射比示值误差与重复性校验!$F2</f>
        <v>7.29742007588235;7.29925990755158;7.29982208214226</v>
      </c>
      <c r="E7" s="155">
        <f>透射比示值误差与重复性校验!$G2</f>
        <v>7.29883402185873</v>
      </c>
      <c r="F7" s="155">
        <f>透射比示值误差与重复性校验!$H2</f>
        <v>-0.27116597814127</v>
      </c>
      <c r="G7" s="155">
        <f>透射比示值误差与重复性校验!$I2</f>
        <v>0</v>
      </c>
      <c r="H7" s="155">
        <f>Report!$F$5</f>
        <v>0</v>
      </c>
      <c r="I7" s="158">
        <f ca="1" t="shared" si="1"/>
        <v>45625.4561574074</v>
      </c>
      <c r="J7" s="155">
        <f>Report!$N$5</f>
        <v>0</v>
      </c>
      <c r="K7" s="155"/>
      <c r="L7" s="155">
        <f>Report!$C$6</f>
        <v>0</v>
      </c>
      <c r="M7" s="155">
        <f>Report!$H$6</f>
        <v>0</v>
      </c>
      <c r="N7" s="90" t="str">
        <f>透射比示值误差与重复性校验!$L2</f>
        <v>合格</v>
      </c>
      <c r="O7" s="155"/>
      <c r="P7" s="90">
        <v>2002</v>
      </c>
    </row>
    <row r="8" customHeight="1" spans="1:16">
      <c r="A8" s="90">
        <v>2006</v>
      </c>
      <c r="B8" s="154" t="str">
        <f ca="1" t="shared" si="0"/>
        <v>T400Template</v>
      </c>
      <c r="C8" s="90">
        <f>透射比示值误差与重复性校验!$C3</f>
        <v>10.1</v>
      </c>
      <c r="D8" s="155" t="str">
        <f>透射比示值误差与重复性校验!$D3&amp;";"&amp;透射比示值误差与重复性校验!$E3&amp;";"&amp;透射比示值误差与重复性校验!$F3</f>
        <v>9.83221359541109;9.83398524394184;9.83463795259258</v>
      </c>
      <c r="E8" s="155">
        <f>透射比示值误差与重复性校验!$G3</f>
        <v>9.83361226398184</v>
      </c>
      <c r="F8" s="155">
        <f>透射比示值误差与重复性校验!$H3</f>
        <v>-0.266387736018164</v>
      </c>
      <c r="G8" s="155">
        <f>透射比示值误差与重复性校验!$I3</f>
        <v>0</v>
      </c>
      <c r="H8" s="155">
        <f>Report!$F$5</f>
        <v>0</v>
      </c>
      <c r="I8" s="158">
        <f ca="1" t="shared" si="1"/>
        <v>45625.4561574074</v>
      </c>
      <c r="J8" s="155">
        <f>Report!$N$5</f>
        <v>0</v>
      </c>
      <c r="K8" s="155"/>
      <c r="L8" s="155">
        <f>Report!$C$6</f>
        <v>0</v>
      </c>
      <c r="M8" s="155">
        <f>Report!$H$6</f>
        <v>0</v>
      </c>
      <c r="N8" s="90" t="str">
        <f>透射比示值误差与重复性校验!$L3</f>
        <v>合格</v>
      </c>
      <c r="O8" s="155"/>
      <c r="P8" s="90">
        <v>2002</v>
      </c>
    </row>
    <row r="9" customHeight="1" spans="1:16">
      <c r="A9" s="90">
        <v>2007</v>
      </c>
      <c r="B9" s="154" t="str">
        <f ca="1" t="shared" si="0"/>
        <v>T400Template</v>
      </c>
      <c r="C9" s="90">
        <f>透射比示值误差与重复性校验!$C4</f>
        <v>10.07</v>
      </c>
      <c r="D9" s="155" t="str">
        <f>透射比示值误差与重复性校验!$D4&amp;";"&amp;透射比示值误差与重复性校验!$E4&amp;";"&amp;透射比示值误差与重复性校验!$F4</f>
        <v>9.94682355011937;9.94796654430419;9.94740912012204</v>
      </c>
      <c r="E9" s="155">
        <f>透射比示值误差与重复性校验!$G4</f>
        <v>9.94739973818187</v>
      </c>
      <c r="F9" s="155">
        <f>透射比示值误差与重复性校验!$H4</f>
        <v>-0.122600261818134</v>
      </c>
      <c r="G9" s="155">
        <f>透射比示值误差与重复性校验!$I4</f>
        <v>0</v>
      </c>
      <c r="H9" s="155">
        <f>Report!$F$5</f>
        <v>0</v>
      </c>
      <c r="I9" s="158">
        <f ca="1" t="shared" si="1"/>
        <v>45625.4561574074</v>
      </c>
      <c r="J9" s="155">
        <f>Report!$N$5</f>
        <v>0</v>
      </c>
      <c r="K9" s="155"/>
      <c r="L9" s="155">
        <f>Report!$C$6</f>
        <v>0</v>
      </c>
      <c r="M9" s="155">
        <f>Report!$H$6</f>
        <v>0</v>
      </c>
      <c r="N9" s="90" t="str">
        <f>透射比示值误差与重复性校验!$L4</f>
        <v>合格</v>
      </c>
      <c r="O9" s="155"/>
      <c r="P9" s="90">
        <v>2002</v>
      </c>
    </row>
    <row r="10" customHeight="1" spans="1:16">
      <c r="A10" s="90">
        <v>2008</v>
      </c>
      <c r="B10" s="154" t="str">
        <f ca="1" t="shared" si="0"/>
        <v>T400Template</v>
      </c>
      <c r="C10" s="90">
        <f>透射比示值误差与重复性校验!$C5</f>
        <v>18.98</v>
      </c>
      <c r="D10" s="155" t="str">
        <f>透射比示值误差与重复性校验!$D5&amp;";"&amp;透射比示值误差与重复性校验!$E5&amp;";"&amp;透射比示值误差与重复性校验!$F5</f>
        <v>18.9461760076849;18.9489095945607;18.9511559364838</v>
      </c>
      <c r="E10" s="155">
        <f>透射比示值误差与重复性校验!$G5</f>
        <v>18.9487471795765</v>
      </c>
      <c r="F10" s="155">
        <f>透射比示值误差与重复性校验!$H5</f>
        <v>-0.0312528204235321</v>
      </c>
      <c r="G10" s="155">
        <f>透射比示值误差与重复性校验!$I5</f>
        <v>0</v>
      </c>
      <c r="H10" s="155">
        <f>Report!$F$5</f>
        <v>0</v>
      </c>
      <c r="I10" s="158">
        <f ca="1" t="shared" si="1"/>
        <v>45625.4561574074</v>
      </c>
      <c r="J10" s="155">
        <f>Report!$N$5</f>
        <v>0</v>
      </c>
      <c r="K10" s="155"/>
      <c r="L10" s="155">
        <f>Report!$C$6</f>
        <v>0</v>
      </c>
      <c r="M10" s="155">
        <f>Report!$H$6</f>
        <v>0</v>
      </c>
      <c r="N10" s="90" t="str">
        <f>透射比示值误差与重复性校验!$L5</f>
        <v>合格</v>
      </c>
      <c r="O10" s="155"/>
      <c r="P10" s="92">
        <v>2003</v>
      </c>
    </row>
    <row r="11" customHeight="1" spans="1:16">
      <c r="A11" s="90">
        <v>2009</v>
      </c>
      <c r="B11" s="154" t="str">
        <f ca="1" t="shared" si="0"/>
        <v>T400Template</v>
      </c>
      <c r="C11" s="90">
        <f>透射比示值误差与重复性校验!$C6</f>
        <v>20.09</v>
      </c>
      <c r="D11" s="155" t="str">
        <f>透射比示值误差与重复性校验!$D6&amp;";"&amp;透射比示值误差与重复性校验!$E6&amp;";"&amp;透射比示值误差与重复性校验!$F6</f>
        <v>20.0701593208945;20.0732339881917;20.0761278174421</v>
      </c>
      <c r="E11" s="155">
        <f>透射比示值误差与重复性校验!$G6</f>
        <v>20.0731737088428</v>
      </c>
      <c r="F11" s="155">
        <f>透射比示值误差与重复性校验!$H6</f>
        <v>-0.0168262911572334</v>
      </c>
      <c r="G11" s="155">
        <f>透射比示值误差与重复性校验!$I6</f>
        <v>0.00999999999999801</v>
      </c>
      <c r="H11" s="155">
        <f>Report!$F$5</f>
        <v>0</v>
      </c>
      <c r="I11" s="158">
        <f ca="1" t="shared" si="1"/>
        <v>45625.4561574074</v>
      </c>
      <c r="J11" s="155">
        <f>Report!$N$5</f>
        <v>0</v>
      </c>
      <c r="K11" s="155"/>
      <c r="L11" s="155">
        <f>Report!$C$6</f>
        <v>0</v>
      </c>
      <c r="M11" s="155">
        <f>Report!$H$6</f>
        <v>0</v>
      </c>
      <c r="N11" s="90" t="str">
        <f>透射比示值误差与重复性校验!$L6</f>
        <v>合格</v>
      </c>
      <c r="O11" s="155"/>
      <c r="P11" s="92">
        <v>2003</v>
      </c>
    </row>
    <row r="12" customHeight="1" spans="1:16">
      <c r="A12" s="90">
        <v>2010</v>
      </c>
      <c r="B12" s="154" t="str">
        <f ca="1" t="shared" si="0"/>
        <v>T400Template</v>
      </c>
      <c r="C12" s="90">
        <f>透射比示值误差与重复性校验!$C7</f>
        <v>20.91</v>
      </c>
      <c r="D12" s="155" t="str">
        <f>透射比示值误差与重复性校验!$D7&amp;";"&amp;透射比示值误差与重复性校验!$E7&amp;";"&amp;透射比示值误差与重复性校验!$F7</f>
        <v>20.945799070759;20.9485311361974;20.9533187203987</v>
      </c>
      <c r="E12" s="155">
        <f>透射比示值误差与重复性校验!$G7</f>
        <v>20.9492163091184</v>
      </c>
      <c r="F12" s="155">
        <f>透射比示值误差与重复性校验!$H7</f>
        <v>0.0392163091183662</v>
      </c>
      <c r="G12" s="155">
        <f>透射比示值误差与重复性校验!$I7</f>
        <v>0</v>
      </c>
      <c r="H12" s="155">
        <f>Report!$F$5</f>
        <v>0</v>
      </c>
      <c r="I12" s="158">
        <f ca="1" t="shared" si="1"/>
        <v>45625.4561574074</v>
      </c>
      <c r="J12" s="155">
        <f>Report!$N$5</f>
        <v>0</v>
      </c>
      <c r="K12" s="155"/>
      <c r="L12" s="155">
        <f>Report!$C$6</f>
        <v>0</v>
      </c>
      <c r="M12" s="155">
        <f>Report!$H$6</f>
        <v>0</v>
      </c>
      <c r="N12" s="90" t="str">
        <f>透射比示值误差与重复性校验!$L7</f>
        <v>合格</v>
      </c>
      <c r="O12" s="155"/>
      <c r="P12" s="92">
        <v>2003</v>
      </c>
    </row>
    <row r="13" customHeight="1" spans="1:16">
      <c r="A13" s="90">
        <v>2011</v>
      </c>
      <c r="B13" s="154" t="str">
        <f ca="1" t="shared" si="0"/>
        <v>T400Template</v>
      </c>
      <c r="C13" s="90">
        <f>透射比示值误差与重复性校验!$C8</f>
        <v>29.96</v>
      </c>
      <c r="D13" s="155" t="str">
        <f>透射比示值误差与重复性校验!$D8&amp;";"&amp;透射比示值误差与重复性校验!$E8&amp;";"&amp;透射比示值误差与重复性校验!$F8</f>
        <v>29.8586153809994;29.8613286565418;29.865978588204</v>
      </c>
      <c r="E13" s="155">
        <f>透射比示值误差与重复性校验!$G8</f>
        <v>29.8619742085817</v>
      </c>
      <c r="F13" s="155">
        <f>透射比示值误差与重复性校验!$H8</f>
        <v>-0.0980257914182694</v>
      </c>
      <c r="G13" s="155">
        <f>透射比示值误差与重复性校验!$I8</f>
        <v>0.0100000000000016</v>
      </c>
      <c r="H13" s="155">
        <f>Report!$F$5</f>
        <v>0</v>
      </c>
      <c r="I13" s="158">
        <f ca="1" t="shared" si="1"/>
        <v>45625.4561574074</v>
      </c>
      <c r="J13" s="155">
        <f>Report!$N$5</f>
        <v>0</v>
      </c>
      <c r="K13" s="155"/>
      <c r="L13" s="155">
        <f>Report!$C$6</f>
        <v>0</v>
      </c>
      <c r="M13" s="155">
        <f>Report!$H$6</f>
        <v>0</v>
      </c>
      <c r="N13" s="90" t="str">
        <f>透射比示值误差与重复性校验!$L8</f>
        <v>合格</v>
      </c>
      <c r="O13" s="155"/>
      <c r="P13" s="90">
        <v>2004</v>
      </c>
    </row>
    <row r="14" customHeight="1" spans="1:16">
      <c r="A14" s="90">
        <v>2012</v>
      </c>
      <c r="B14" s="154" t="str">
        <f ca="1" t="shared" si="0"/>
        <v>T400Template</v>
      </c>
      <c r="C14" s="90">
        <f>透射比示值误差与重复性校验!$C9</f>
        <v>30.43</v>
      </c>
      <c r="D14" s="155" t="str">
        <f>透射比示值误差与重复性校验!$D9&amp;";"&amp;透射比示值误差与重复性校验!$E9&amp;";"&amp;透射比示值误差与重复性校验!$F9</f>
        <v>30.3158819007534;30.319652780347;30.3242413794019</v>
      </c>
      <c r="E14" s="155">
        <f>透射比示值误差与重复性校验!$G9</f>
        <v>30.3199253535008</v>
      </c>
      <c r="F14" s="155">
        <f>透射比示值误差与重复性校验!$H9</f>
        <v>-0.110074646499235</v>
      </c>
      <c r="G14" s="155">
        <f>透射比示值误差与重复性校验!$I9</f>
        <v>0</v>
      </c>
      <c r="H14" s="155">
        <f>Report!$F$5</f>
        <v>0</v>
      </c>
      <c r="I14" s="158">
        <f ca="1" t="shared" si="1"/>
        <v>45625.4561574074</v>
      </c>
      <c r="J14" s="155">
        <f>Report!$N$5</f>
        <v>0</v>
      </c>
      <c r="K14" s="155"/>
      <c r="L14" s="155">
        <f>Report!$C$6</f>
        <v>0</v>
      </c>
      <c r="M14" s="155">
        <f>Report!$H$6</f>
        <v>0</v>
      </c>
      <c r="N14" s="90" t="str">
        <f>透射比示值误差与重复性校验!$L9</f>
        <v>合格</v>
      </c>
      <c r="O14" s="155"/>
      <c r="P14" s="90">
        <v>2004</v>
      </c>
    </row>
    <row r="15" customHeight="1" spans="1:16">
      <c r="A15" s="90">
        <v>2013</v>
      </c>
      <c r="B15" s="154" t="str">
        <f ca="1" t="shared" si="0"/>
        <v>T400Template</v>
      </c>
      <c r="C15" s="90">
        <f>透射比示值误差与重复性校验!$C10</f>
        <v>28.88</v>
      </c>
      <c r="D15" s="155" t="str">
        <f>透射比示值误差与重复性校验!$D10&amp;";"&amp;透射比示值误差与重复性校验!$E10&amp;";"&amp;透射比示值误差与重复性校验!$F10</f>
        <v>28.8917925070482;28.8974541668591;28.9018231532849</v>
      </c>
      <c r="E15" s="155">
        <f>透射比示值误差与重复性校验!$G10</f>
        <v>28.8970232757307</v>
      </c>
      <c r="F15" s="155">
        <f>透射比示值误差与重复性校验!$H10</f>
        <v>0.0170232757307325</v>
      </c>
      <c r="G15" s="155">
        <f>透射比示值误差与重复性校验!$I10</f>
        <v>0.00999999999999801</v>
      </c>
      <c r="H15" s="155">
        <f>Report!$F$5</f>
        <v>0</v>
      </c>
      <c r="I15" s="158">
        <f ca="1" t="shared" si="1"/>
        <v>45625.4561574074</v>
      </c>
      <c r="J15" s="155">
        <f>Report!$N$5</f>
        <v>0</v>
      </c>
      <c r="K15" s="155"/>
      <c r="L15" s="155">
        <f>Report!$C$6</f>
        <v>0</v>
      </c>
      <c r="M15" s="155">
        <f>Report!$H$6</f>
        <v>0</v>
      </c>
      <c r="N15" s="90" t="str">
        <f>透射比示值误差与重复性校验!$L10</f>
        <v>合格</v>
      </c>
      <c r="O15" s="155"/>
      <c r="P15" s="90">
        <v>2004</v>
      </c>
    </row>
    <row r="16" customHeight="1" spans="1:16">
      <c r="A16" s="90">
        <v>3002</v>
      </c>
      <c r="B16" s="154" t="str">
        <f ca="1" t="shared" si="0"/>
        <v>T400Template</v>
      </c>
      <c r="C16" s="90">
        <f>杂散光校验!$B2</f>
        <v>360</v>
      </c>
      <c r="D16" s="156" t="str">
        <f>杂散光校验!$C2&amp;";"&amp;杂散光校验!$D2&amp;";"&amp;杂散光校验!$E2</f>
        <v>0.0164660241101879;0.0219555016622204;0.023330706600842</v>
      </c>
      <c r="E16" s="155"/>
      <c r="F16" s="155"/>
      <c r="G16" s="155"/>
      <c r="H16" s="155">
        <f>Report!$F$5</f>
        <v>0</v>
      </c>
      <c r="I16" s="158">
        <f ca="1" t="shared" si="1"/>
        <v>45625.4561574074</v>
      </c>
      <c r="J16" s="155">
        <f>Report!$N$5</f>
        <v>0</v>
      </c>
      <c r="K16" s="155"/>
      <c r="L16" s="155">
        <f>Report!$C$6</f>
        <v>0</v>
      </c>
      <c r="M16" s="155">
        <f>Report!$H$6</f>
        <v>0</v>
      </c>
      <c r="N16" s="90" t="str">
        <f>杂散光校验!$G2</f>
        <v>合格</v>
      </c>
      <c r="O16" s="155"/>
      <c r="P16" s="90">
        <v>3002</v>
      </c>
    </row>
    <row r="17" customHeight="1" spans="1:16">
      <c r="A17" s="90">
        <v>4001</v>
      </c>
      <c r="B17" s="154" t="str">
        <f ca="1" t="shared" si="0"/>
        <v>T400Template</v>
      </c>
      <c r="C17" s="90"/>
      <c r="D17" s="155">
        <f>基线平直度检验!$B$2</f>
        <v>-0.000186274426337652</v>
      </c>
      <c r="E17" s="155"/>
      <c r="F17" s="155"/>
      <c r="G17" s="155"/>
      <c r="H17" s="155">
        <f>Report!$F$5</f>
        <v>0</v>
      </c>
      <c r="I17" s="158">
        <f ca="1" t="shared" si="1"/>
        <v>45625.4561574074</v>
      </c>
      <c r="J17" s="155">
        <f>Report!$N$5</f>
        <v>0</v>
      </c>
      <c r="K17" s="155"/>
      <c r="L17" s="155">
        <f>Report!$C$6</f>
        <v>0</v>
      </c>
      <c r="M17" s="155">
        <f>Report!$H$6</f>
        <v>0</v>
      </c>
      <c r="N17" s="90" t="str">
        <f>基线平直度检验!$D$2</f>
        <v>合格</v>
      </c>
      <c r="O17" s="155"/>
      <c r="P17" s="90">
        <v>4001</v>
      </c>
    </row>
    <row r="18" customHeight="1" spans="1:16">
      <c r="A18" s="90">
        <v>5001</v>
      </c>
      <c r="B18" s="154" t="str">
        <f ca="1" t="shared" si="0"/>
        <v>T400Template</v>
      </c>
      <c r="C18" s="90"/>
      <c r="D18" s="155">
        <f>基线暗噪声检验!$B$2</f>
        <v>-0.00302514922261274</v>
      </c>
      <c r="E18" s="155"/>
      <c r="F18" s="155"/>
      <c r="G18" s="155"/>
      <c r="H18" s="155">
        <f>Report!$F$5</f>
        <v>0</v>
      </c>
      <c r="I18" s="158">
        <f ca="1" t="shared" si="1"/>
        <v>45625.4561574074</v>
      </c>
      <c r="J18" s="155">
        <f>Report!$N$5</f>
        <v>0</v>
      </c>
      <c r="K18" s="155"/>
      <c r="L18" s="155">
        <f>Report!$C$6</f>
        <v>0</v>
      </c>
      <c r="M18" s="155">
        <f>Report!$H$6</f>
        <v>0</v>
      </c>
      <c r="N18" s="90" t="str">
        <f>基线暗噪声检验!$D$2</f>
        <v>合格</v>
      </c>
      <c r="O18" s="155"/>
      <c r="P18" s="90">
        <v>5001</v>
      </c>
    </row>
    <row r="19" customHeight="1" spans="1:16">
      <c r="A19" s="90">
        <v>7001</v>
      </c>
      <c r="B19" s="154" t="str">
        <f ca="1" t="shared" si="0"/>
        <v>T400Template</v>
      </c>
      <c r="C19" s="90">
        <f>噪声检验!$B2</f>
        <v>500</v>
      </c>
      <c r="D19" s="155">
        <f>噪声检验!$C2</f>
        <v>0.0278852278737389</v>
      </c>
      <c r="E19" s="155"/>
      <c r="F19" s="155"/>
      <c r="G19" s="155"/>
      <c r="H19" s="155">
        <f>Report!$F$5</f>
        <v>0</v>
      </c>
      <c r="I19" s="158">
        <f ca="1" t="shared" si="1"/>
        <v>45625.4561574074</v>
      </c>
      <c r="J19" s="155">
        <f>Report!$N$5</f>
        <v>0</v>
      </c>
      <c r="K19" s="155"/>
      <c r="L19" s="155">
        <f>Report!$C$6</f>
        <v>0</v>
      </c>
      <c r="M19" s="155">
        <f>Report!$H$6</f>
        <v>0</v>
      </c>
      <c r="N19" s="90" t="str">
        <f>噪声检验!$E2</f>
        <v>合格</v>
      </c>
      <c r="O19" s="155"/>
      <c r="P19" s="90">
        <v>7001</v>
      </c>
    </row>
    <row r="20" customHeight="1" spans="1:16">
      <c r="A20" s="90">
        <v>7002</v>
      </c>
      <c r="B20" s="154" t="str">
        <f ca="1" t="shared" si="0"/>
        <v>T400Template</v>
      </c>
      <c r="C20" s="90">
        <f>噪声检验!$B3</f>
        <v>500</v>
      </c>
      <c r="D20" s="155">
        <f>噪声检验!$C3</f>
        <v>0.00193167292057632</v>
      </c>
      <c r="E20" s="155"/>
      <c r="F20" s="155"/>
      <c r="G20" s="155"/>
      <c r="H20" s="155">
        <f>Report!$F$5</f>
        <v>0</v>
      </c>
      <c r="I20" s="158">
        <f ca="1" t="shared" si="1"/>
        <v>45625.4561574074</v>
      </c>
      <c r="J20" s="155">
        <f>Report!$N$5</f>
        <v>0</v>
      </c>
      <c r="K20" s="155"/>
      <c r="L20" s="155">
        <f>Report!$C$6</f>
        <v>0</v>
      </c>
      <c r="M20" s="155">
        <f>Report!$H$6</f>
        <v>0</v>
      </c>
      <c r="N20" s="90" t="str">
        <f>噪声检验!$E3</f>
        <v>合格</v>
      </c>
      <c r="O20" s="155"/>
      <c r="P20" s="90">
        <v>7002</v>
      </c>
    </row>
    <row r="21" customHeight="1" spans="1:16">
      <c r="A21" s="90">
        <v>8001</v>
      </c>
      <c r="B21" s="154" t="str">
        <f ca="1" t="shared" si="0"/>
        <v>T400Template</v>
      </c>
      <c r="C21" s="90">
        <f>波长边缘噪声!$B2</f>
        <v>1090</v>
      </c>
      <c r="D21" s="155">
        <f>波长边缘噪声!$C2</f>
        <v>0.0382436916038387</v>
      </c>
      <c r="E21" s="155"/>
      <c r="F21" s="155"/>
      <c r="G21" s="155"/>
      <c r="H21" s="155">
        <f>Report!$F$5</f>
        <v>0</v>
      </c>
      <c r="I21" s="158">
        <f ca="1" t="shared" si="1"/>
        <v>45625.4561574074</v>
      </c>
      <c r="J21" s="155">
        <f>Report!$N$5</f>
        <v>0</v>
      </c>
      <c r="K21" s="155"/>
      <c r="L21" s="155">
        <f>Report!$C$6</f>
        <v>0</v>
      </c>
      <c r="M21" s="155">
        <f>Report!$H$6</f>
        <v>0</v>
      </c>
      <c r="N21" s="90" t="str">
        <f>波长边缘噪声!$E2</f>
        <v>合格</v>
      </c>
      <c r="O21" s="155"/>
      <c r="P21" s="90">
        <v>8001</v>
      </c>
    </row>
    <row r="22" customHeight="1" spans="1:16">
      <c r="A22" s="90">
        <v>8002</v>
      </c>
      <c r="B22" s="154" t="str">
        <f ca="1" t="shared" si="0"/>
        <v>T400Template</v>
      </c>
      <c r="C22" s="90">
        <f>波长边缘噪声!$B3</f>
        <v>1090</v>
      </c>
      <c r="D22" s="155">
        <f>波长边缘噪声!$C3</f>
        <v>0.00393094656360982</v>
      </c>
      <c r="E22" s="155"/>
      <c r="F22" s="155"/>
      <c r="G22" s="155"/>
      <c r="H22" s="155">
        <f>Report!$F$5</f>
        <v>0</v>
      </c>
      <c r="I22" s="158">
        <f ca="1" t="shared" si="1"/>
        <v>45625.4561574074</v>
      </c>
      <c r="J22" s="155">
        <f>Report!$N$5</f>
        <v>0</v>
      </c>
      <c r="K22" s="155"/>
      <c r="L22" s="155">
        <f>Report!$C$6</f>
        <v>0</v>
      </c>
      <c r="M22" s="155">
        <f>Report!$H$6</f>
        <v>0</v>
      </c>
      <c r="N22" s="90" t="str">
        <f>波长边缘噪声!$E3</f>
        <v>合格</v>
      </c>
      <c r="O22" s="155"/>
      <c r="P22" s="90">
        <v>8002</v>
      </c>
    </row>
    <row r="23" customHeight="1" spans="1:16">
      <c r="A23" s="90">
        <v>8003</v>
      </c>
      <c r="B23" s="154" t="str">
        <f ca="1" t="shared" si="0"/>
        <v>T400Template</v>
      </c>
      <c r="C23" s="90">
        <f>波长边缘噪声!$B4</f>
        <v>335</v>
      </c>
      <c r="D23" s="155">
        <f>波长边缘噪声!$C4</f>
        <v>0.0325765106003928</v>
      </c>
      <c r="E23" s="155"/>
      <c r="F23" s="155"/>
      <c r="G23" s="155"/>
      <c r="H23" s="155">
        <f>Report!$F$5</f>
        <v>0</v>
      </c>
      <c r="I23" s="158">
        <f ca="1" t="shared" si="1"/>
        <v>45625.4561574074</v>
      </c>
      <c r="J23" s="155">
        <f>Report!$N$5</f>
        <v>0</v>
      </c>
      <c r="K23" s="155"/>
      <c r="L23" s="155">
        <f>Report!$C$6</f>
        <v>0</v>
      </c>
      <c r="M23" s="155">
        <f>Report!$H$6</f>
        <v>0</v>
      </c>
      <c r="N23" s="90" t="str">
        <f>波长边缘噪声!$E4</f>
        <v>合格</v>
      </c>
      <c r="O23" s="155"/>
      <c r="P23" s="90">
        <v>8003</v>
      </c>
    </row>
    <row r="24" customHeight="1" spans="1:16">
      <c r="A24" s="91">
        <v>8004</v>
      </c>
      <c r="B24" s="154" t="str">
        <f ca="1" t="shared" si="0"/>
        <v>T400Template</v>
      </c>
      <c r="C24" s="90">
        <f>波长边缘噪声!$B5</f>
        <v>335</v>
      </c>
      <c r="D24" s="155">
        <f>波长边缘噪声!$C5</f>
        <v>0.00329484652979293</v>
      </c>
      <c r="E24" s="155"/>
      <c r="F24" s="155"/>
      <c r="G24" s="155"/>
      <c r="H24" s="155">
        <f>Report!$F$5</f>
        <v>0</v>
      </c>
      <c r="I24" s="158">
        <f ca="1" t="shared" si="1"/>
        <v>45625.4561574074</v>
      </c>
      <c r="J24" s="155">
        <f>Report!$N$5</f>
        <v>0</v>
      </c>
      <c r="K24" s="155"/>
      <c r="L24" s="155">
        <f>Report!$C$6</f>
        <v>0</v>
      </c>
      <c r="M24" s="155">
        <f>Report!$H$6</f>
        <v>0</v>
      </c>
      <c r="N24" s="90" t="str">
        <f>波长边缘噪声!$E5</f>
        <v>合格</v>
      </c>
      <c r="O24" s="155"/>
      <c r="P24" s="90">
        <v>8004</v>
      </c>
    </row>
    <row r="25" customHeight="1" spans="1:16">
      <c r="A25" s="91">
        <v>9001</v>
      </c>
      <c r="B25" s="154" t="str">
        <f ca="1" t="shared" si="0"/>
        <v>T400Template</v>
      </c>
      <c r="C25" s="90">
        <f>漂移检验!$B$2</f>
        <v>500</v>
      </c>
      <c r="D25" s="155">
        <f>漂移检验!$C$2</f>
        <v>0.0337921180681207</v>
      </c>
      <c r="E25" s="155"/>
      <c r="F25" s="155"/>
      <c r="G25" s="155"/>
      <c r="H25" s="155">
        <f>Report!$F$5</f>
        <v>0</v>
      </c>
      <c r="I25" s="158">
        <f ca="1" t="shared" si="1"/>
        <v>45625.4561574074</v>
      </c>
      <c r="J25" s="155">
        <f>Report!$N$5</f>
        <v>0</v>
      </c>
      <c r="K25" s="155"/>
      <c r="L25" s="155">
        <f>Report!$C$6</f>
        <v>0</v>
      </c>
      <c r="M25" s="155">
        <f>Report!$H$6</f>
        <v>0</v>
      </c>
      <c r="N25" s="90" t="str">
        <f>漂移检验!$E$2</f>
        <v>合格</v>
      </c>
      <c r="O25" s="155"/>
      <c r="P25" s="90">
        <v>9001</v>
      </c>
    </row>
    <row r="26" customHeight="1" spans="8:8">
      <c r="H26" s="147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showGridLines="0" showRowColHeaders="0" workbookViewId="0">
      <pane topLeftCell="A1" activePane="topLeft"/>
      <selection activeCell="A1" sqref="A1:H1"/>
    </sheetView>
  </sheetViews>
  <sheetFormatPr defaultColWidth="9" defaultRowHeight="14.25" customHeight="1"/>
  <cols>
    <col min="1" max="1" width="9" style="126"/>
    <col min="2" max="2" width="17.25" style="126" customWidth="1"/>
    <col min="3" max="3" width="29.25" style="126" customWidth="1"/>
    <col min="4" max="4" width="12.3833333333333" style="126" customWidth="1"/>
    <col min="5" max="5" width="22.6333333333333" style="127" customWidth="1"/>
    <col min="6" max="6" width="9" style="126"/>
    <col min="7" max="7" width="16.8833333333333" style="126" customWidth="1"/>
    <col min="8" max="8" width="29.25" style="126" customWidth="1"/>
    <col min="9" max="9" width="12.3833333333333" style="126" customWidth="1"/>
    <col min="10" max="10" width="3.75" style="126" customWidth="1"/>
    <col min="11" max="11" width="17.25" style="126" customWidth="1"/>
    <col min="12" max="12" width="16.8833333333333" style="126" customWidth="1"/>
    <col min="13" max="13" width="12.3833333333333" style="128" customWidth="1"/>
    <col min="14" max="14" width="5.75" style="126" customWidth="1"/>
    <col min="15" max="15" width="11.6333333333333" style="126" customWidth="1"/>
    <col min="16" max="16" width="5.75" style="126" customWidth="1"/>
    <col min="17" max="17" width="20.3833333333333" style="126" customWidth="1"/>
    <col min="18" max="18" width="14.8833333333333" style="126" customWidth="1"/>
    <col min="19" max="20" width="13.8833333333333" style="126" customWidth="1"/>
    <col min="21" max="21" width="19" style="126" customWidth="1"/>
    <col min="22" max="22" width="7.5" style="126" customWidth="1"/>
    <col min="23" max="23" width="19.3833333333333" style="126" customWidth="1"/>
    <col min="24" max="25" width="13.8833333333333" style="126" customWidth="1"/>
    <col min="26" max="26" width="14.8833333333333" style="126" customWidth="1"/>
    <col min="27" max="16384" width="9" style="126"/>
  </cols>
  <sheetData>
    <row r="1" customHeight="1" spans="1:15">
      <c r="A1" s="129" t="s">
        <v>16</v>
      </c>
      <c r="B1" s="130"/>
      <c r="C1" s="130"/>
      <c r="D1" s="130"/>
      <c r="E1" s="130"/>
      <c r="F1" s="130"/>
      <c r="G1" s="130"/>
      <c r="H1" s="131"/>
      <c r="M1" s="126"/>
      <c r="O1" s="127"/>
    </row>
    <row r="2" customHeight="1" spans="1:15">
      <c r="A2" s="132" t="s">
        <v>5</v>
      </c>
      <c r="B2" s="132" t="s">
        <v>214</v>
      </c>
      <c r="C2" s="132" t="s">
        <v>215</v>
      </c>
      <c r="D2" s="132" t="s">
        <v>216</v>
      </c>
      <c r="E2" s="132" t="s">
        <v>217</v>
      </c>
      <c r="F2" s="132" t="s">
        <v>160</v>
      </c>
      <c r="G2" s="132" t="s">
        <v>218</v>
      </c>
      <c r="H2" s="132" t="s">
        <v>219</v>
      </c>
      <c r="M2" s="126"/>
      <c r="O2" s="127"/>
    </row>
    <row r="3" customHeight="1" spans="1:19">
      <c r="A3" s="124" t="s">
        <v>220</v>
      </c>
      <c r="B3" s="124">
        <v>1000</v>
      </c>
      <c r="C3" s="124" t="s">
        <v>221</v>
      </c>
      <c r="D3" s="124">
        <v>1003</v>
      </c>
      <c r="E3" s="133" t="s">
        <v>23</v>
      </c>
      <c r="F3" s="134">
        <v>807.4</v>
      </c>
      <c r="G3" s="135">
        <v>1.4</v>
      </c>
      <c r="H3" s="136">
        <v>0.4</v>
      </c>
      <c r="J3" s="147"/>
      <c r="K3" s="147"/>
      <c r="L3" s="147"/>
      <c r="M3" s="147"/>
      <c r="S3" s="150"/>
    </row>
    <row r="4" customHeight="1" spans="1:13">
      <c r="A4" s="124" t="s">
        <v>220</v>
      </c>
      <c r="B4" s="124">
        <v>1000</v>
      </c>
      <c r="C4" s="124" t="s">
        <v>221</v>
      </c>
      <c r="D4" s="124">
        <v>1008</v>
      </c>
      <c r="E4" s="133" t="s">
        <v>24</v>
      </c>
      <c r="F4" s="134">
        <v>640.79</v>
      </c>
      <c r="G4" s="135">
        <v>1.4</v>
      </c>
      <c r="H4" s="136">
        <v>0.4</v>
      </c>
      <c r="I4" s="148"/>
      <c r="J4" s="149"/>
      <c r="K4" s="149"/>
      <c r="M4" s="126"/>
    </row>
    <row r="5" customHeight="1" spans="1:13">
      <c r="A5" s="124" t="s">
        <v>220</v>
      </c>
      <c r="B5" s="124">
        <v>1000</v>
      </c>
      <c r="C5" s="124" t="s">
        <v>221</v>
      </c>
      <c r="D5" s="124">
        <v>1009</v>
      </c>
      <c r="E5" s="133" t="s">
        <v>24</v>
      </c>
      <c r="F5" s="134">
        <v>536.86</v>
      </c>
      <c r="G5" s="135">
        <v>1.4</v>
      </c>
      <c r="H5" s="136">
        <v>0.4</v>
      </c>
      <c r="J5" s="149"/>
      <c r="K5" s="149"/>
      <c r="M5" s="126"/>
    </row>
    <row r="6" customHeight="1" spans="1:13">
      <c r="A6" s="124" t="s">
        <v>220</v>
      </c>
      <c r="B6" s="124">
        <v>1000</v>
      </c>
      <c r="C6" s="124" t="s">
        <v>221</v>
      </c>
      <c r="D6" s="124">
        <v>1010</v>
      </c>
      <c r="E6" s="133" t="s">
        <v>24</v>
      </c>
      <c r="F6" s="134">
        <v>416.57</v>
      </c>
      <c r="G6" s="135">
        <v>1.4</v>
      </c>
      <c r="H6" s="136">
        <v>0.4</v>
      </c>
      <c r="J6" s="149"/>
      <c r="K6" s="149"/>
      <c r="M6" s="126"/>
    </row>
    <row r="7" customHeight="1" spans="1:13">
      <c r="A7" s="124" t="s">
        <v>220</v>
      </c>
      <c r="B7" s="124">
        <v>1000</v>
      </c>
      <c r="C7" s="124" t="s">
        <v>221</v>
      </c>
      <c r="D7" s="124">
        <v>1011</v>
      </c>
      <c r="E7" s="133" t="s">
        <v>24</v>
      </c>
      <c r="F7" s="134">
        <v>361.12</v>
      </c>
      <c r="G7" s="135">
        <v>1.4</v>
      </c>
      <c r="H7" s="136">
        <v>0.4</v>
      </c>
      <c r="J7" s="149"/>
      <c r="K7" s="149"/>
      <c r="M7" s="126"/>
    </row>
    <row r="8" customHeight="1" spans="1:13">
      <c r="A8" s="124" t="s">
        <v>220</v>
      </c>
      <c r="B8" s="124">
        <v>2000</v>
      </c>
      <c r="C8" s="124" t="s">
        <v>222</v>
      </c>
      <c r="D8" s="124">
        <v>2005</v>
      </c>
      <c r="E8" s="134" t="s">
        <v>51</v>
      </c>
      <c r="F8" s="134" t="s">
        <v>223</v>
      </c>
      <c r="G8" s="124">
        <v>0.3</v>
      </c>
      <c r="H8" s="124">
        <v>0.15</v>
      </c>
      <c r="M8" s="126"/>
    </row>
    <row r="9" customHeight="1" spans="1:13">
      <c r="A9" s="124" t="s">
        <v>220</v>
      </c>
      <c r="B9" s="124">
        <v>2000</v>
      </c>
      <c r="C9" s="124" t="s">
        <v>222</v>
      </c>
      <c r="D9" s="124">
        <v>2006</v>
      </c>
      <c r="E9" s="134" t="s">
        <v>51</v>
      </c>
      <c r="F9" s="134" t="s">
        <v>224</v>
      </c>
      <c r="G9" s="124">
        <v>0.3</v>
      </c>
      <c r="H9" s="124">
        <v>0.15</v>
      </c>
      <c r="M9" s="126"/>
    </row>
    <row r="10" customHeight="1" spans="1:13">
      <c r="A10" s="124" t="s">
        <v>220</v>
      </c>
      <c r="B10" s="124">
        <v>2000</v>
      </c>
      <c r="C10" s="124" t="s">
        <v>222</v>
      </c>
      <c r="D10" s="124">
        <v>2007</v>
      </c>
      <c r="E10" s="134" t="s">
        <v>51</v>
      </c>
      <c r="F10" s="134" t="s">
        <v>225</v>
      </c>
      <c r="G10" s="124">
        <v>0.3</v>
      </c>
      <c r="H10" s="124">
        <v>0.15</v>
      </c>
      <c r="M10" s="126"/>
    </row>
    <row r="11" customHeight="1" spans="1:13">
      <c r="A11" s="124" t="s">
        <v>220</v>
      </c>
      <c r="B11" s="124">
        <v>2000</v>
      </c>
      <c r="C11" s="124" t="s">
        <v>222</v>
      </c>
      <c r="D11" s="124">
        <v>2008</v>
      </c>
      <c r="E11" s="134" t="s">
        <v>67</v>
      </c>
      <c r="F11" s="134" t="s">
        <v>223</v>
      </c>
      <c r="G11" s="124">
        <v>0.3</v>
      </c>
      <c r="H11" s="124">
        <v>0.15</v>
      </c>
      <c r="M11" s="126"/>
    </row>
    <row r="12" customHeight="1" spans="1:13">
      <c r="A12" s="124" t="s">
        <v>220</v>
      </c>
      <c r="B12" s="124">
        <v>2000</v>
      </c>
      <c r="C12" s="124" t="s">
        <v>222</v>
      </c>
      <c r="D12" s="124">
        <v>2009</v>
      </c>
      <c r="E12" s="134" t="s">
        <v>67</v>
      </c>
      <c r="F12" s="134" t="s">
        <v>224</v>
      </c>
      <c r="G12" s="124">
        <v>0.3</v>
      </c>
      <c r="H12" s="124">
        <v>0.15</v>
      </c>
      <c r="M12" s="126"/>
    </row>
    <row r="13" customHeight="1" spans="1:13">
      <c r="A13" s="124" t="s">
        <v>220</v>
      </c>
      <c r="B13" s="124">
        <v>2000</v>
      </c>
      <c r="C13" s="124" t="s">
        <v>222</v>
      </c>
      <c r="D13" s="124">
        <v>2010</v>
      </c>
      <c r="E13" s="134" t="s">
        <v>67</v>
      </c>
      <c r="F13" s="134" t="s">
        <v>225</v>
      </c>
      <c r="G13" s="124">
        <v>0.3</v>
      </c>
      <c r="H13" s="124">
        <v>0.15</v>
      </c>
      <c r="M13" s="126"/>
    </row>
    <row r="14" customHeight="1" spans="1:13">
      <c r="A14" s="124" t="s">
        <v>220</v>
      </c>
      <c r="B14" s="124">
        <v>2000</v>
      </c>
      <c r="C14" s="124" t="s">
        <v>222</v>
      </c>
      <c r="D14" s="124">
        <v>2011</v>
      </c>
      <c r="E14" s="134" t="s">
        <v>81</v>
      </c>
      <c r="F14" s="134" t="s">
        <v>223</v>
      </c>
      <c r="G14" s="124">
        <v>0.3</v>
      </c>
      <c r="H14" s="124">
        <v>0.15</v>
      </c>
      <c r="M14" s="126"/>
    </row>
    <row r="15" customHeight="1" spans="1:13">
      <c r="A15" s="124" t="s">
        <v>220</v>
      </c>
      <c r="B15" s="124">
        <v>2000</v>
      </c>
      <c r="C15" s="124" t="s">
        <v>222</v>
      </c>
      <c r="D15" s="124">
        <v>2012</v>
      </c>
      <c r="E15" s="134" t="s">
        <v>81</v>
      </c>
      <c r="F15" s="134" t="s">
        <v>224</v>
      </c>
      <c r="G15" s="124">
        <v>0.3</v>
      </c>
      <c r="H15" s="124">
        <v>0.15</v>
      </c>
      <c r="M15" s="126"/>
    </row>
    <row r="16" customHeight="1" spans="1:13">
      <c r="A16" s="124" t="s">
        <v>220</v>
      </c>
      <c r="B16" s="124">
        <v>2000</v>
      </c>
      <c r="C16" s="124" t="s">
        <v>222</v>
      </c>
      <c r="D16" s="124">
        <v>2013</v>
      </c>
      <c r="E16" s="134" t="s">
        <v>81</v>
      </c>
      <c r="F16" s="134" t="s">
        <v>225</v>
      </c>
      <c r="G16" s="124">
        <v>0.3</v>
      </c>
      <c r="H16" s="124">
        <v>0.15</v>
      </c>
      <c r="M16" s="126"/>
    </row>
    <row r="17" customHeight="1" spans="1:13">
      <c r="A17" s="124" t="s">
        <v>220</v>
      </c>
      <c r="B17" s="124">
        <v>3000</v>
      </c>
      <c r="C17" s="124" t="s">
        <v>226</v>
      </c>
      <c r="D17" s="124">
        <v>3002</v>
      </c>
      <c r="E17" s="137" t="s">
        <v>98</v>
      </c>
      <c r="F17" s="138" t="s">
        <v>96</v>
      </c>
      <c r="G17" s="139">
        <v>0.05</v>
      </c>
      <c r="H17" s="124"/>
      <c r="M17" s="126"/>
    </row>
    <row r="18" customHeight="1" spans="1:13">
      <c r="A18" s="124" t="s">
        <v>220</v>
      </c>
      <c r="B18" s="124">
        <v>4000</v>
      </c>
      <c r="C18" s="124" t="s">
        <v>227</v>
      </c>
      <c r="D18" s="124">
        <v>4001</v>
      </c>
      <c r="E18" s="137" t="s">
        <v>104</v>
      </c>
      <c r="F18" s="124"/>
      <c r="G18" s="124">
        <v>0.002</v>
      </c>
      <c r="H18" s="124"/>
      <c r="M18" s="126"/>
    </row>
    <row r="19" customHeight="1" spans="1:13">
      <c r="A19" s="124" t="s">
        <v>220</v>
      </c>
      <c r="B19" s="124">
        <v>5000</v>
      </c>
      <c r="C19" s="124" t="s">
        <v>228</v>
      </c>
      <c r="D19" s="124">
        <v>5001</v>
      </c>
      <c r="E19" s="137" t="s">
        <v>108</v>
      </c>
      <c r="F19" s="124"/>
      <c r="G19" s="140">
        <v>0.5</v>
      </c>
      <c r="H19" s="124"/>
      <c r="M19" s="126"/>
    </row>
    <row r="20" customHeight="1" spans="1:13">
      <c r="A20" s="124" t="s">
        <v>220</v>
      </c>
      <c r="B20" s="124">
        <v>7000</v>
      </c>
      <c r="C20" s="124" t="s">
        <v>229</v>
      </c>
      <c r="D20" s="124">
        <v>7001</v>
      </c>
      <c r="E20" s="124" t="s">
        <v>230</v>
      </c>
      <c r="F20" s="141">
        <v>500</v>
      </c>
      <c r="G20" s="142">
        <v>0.15</v>
      </c>
      <c r="H20" s="124"/>
      <c r="M20" s="126"/>
    </row>
    <row r="21" customHeight="1" spans="1:13">
      <c r="A21" s="124" t="s">
        <v>220</v>
      </c>
      <c r="B21" s="124">
        <v>7000</v>
      </c>
      <c r="C21" s="124" t="s">
        <v>229</v>
      </c>
      <c r="D21" s="124">
        <v>7002</v>
      </c>
      <c r="E21" s="124" t="s">
        <v>231</v>
      </c>
      <c r="F21" s="141">
        <v>500</v>
      </c>
      <c r="G21" s="143">
        <v>0.05</v>
      </c>
      <c r="H21" s="124"/>
      <c r="M21" s="126"/>
    </row>
    <row r="22" customHeight="1" spans="1:13">
      <c r="A22" s="124" t="s">
        <v>220</v>
      </c>
      <c r="B22" s="124">
        <v>8000</v>
      </c>
      <c r="C22" s="124" t="s">
        <v>232</v>
      </c>
      <c r="D22" s="124">
        <v>8001</v>
      </c>
      <c r="E22" s="124" t="s">
        <v>233</v>
      </c>
      <c r="F22" s="141">
        <v>1090</v>
      </c>
      <c r="G22" s="144">
        <v>1</v>
      </c>
      <c r="H22" s="124"/>
      <c r="M22" s="126"/>
    </row>
    <row r="23" customHeight="1" spans="1:13">
      <c r="A23" s="124" t="s">
        <v>220</v>
      </c>
      <c r="B23" s="124">
        <v>8000</v>
      </c>
      <c r="C23" s="124" t="s">
        <v>232</v>
      </c>
      <c r="D23" s="124">
        <v>8002</v>
      </c>
      <c r="E23" s="124" t="s">
        <v>234</v>
      </c>
      <c r="F23" s="141">
        <v>1090</v>
      </c>
      <c r="G23" s="142">
        <v>0.3</v>
      </c>
      <c r="H23" s="124"/>
      <c r="M23" s="126"/>
    </row>
    <row r="24" customHeight="1" spans="1:13">
      <c r="A24" s="124" t="s">
        <v>220</v>
      </c>
      <c r="B24" s="124">
        <v>8000</v>
      </c>
      <c r="C24" s="124" t="s">
        <v>232</v>
      </c>
      <c r="D24" s="124">
        <v>8003</v>
      </c>
      <c r="E24" s="136" t="s">
        <v>235</v>
      </c>
      <c r="F24" s="141">
        <v>200</v>
      </c>
      <c r="G24" s="144">
        <v>1</v>
      </c>
      <c r="H24" s="124"/>
      <c r="M24" s="126"/>
    </row>
    <row r="25" customHeight="1" spans="1:13">
      <c r="A25" s="124" t="s">
        <v>220</v>
      </c>
      <c r="B25" s="125">
        <v>8000</v>
      </c>
      <c r="C25" s="125" t="s">
        <v>232</v>
      </c>
      <c r="D25" s="125">
        <v>8004</v>
      </c>
      <c r="E25" s="145" t="s">
        <v>236</v>
      </c>
      <c r="F25" s="141">
        <v>200</v>
      </c>
      <c r="G25" s="142">
        <v>0.3</v>
      </c>
      <c r="H25" s="125"/>
      <c r="M25" s="126"/>
    </row>
    <row r="26" customHeight="1" spans="1:13">
      <c r="A26" s="124" t="s">
        <v>220</v>
      </c>
      <c r="B26" s="125">
        <v>9000</v>
      </c>
      <c r="C26" s="125" t="s">
        <v>237</v>
      </c>
      <c r="D26" s="125">
        <v>9001</v>
      </c>
      <c r="E26" s="137" t="s">
        <v>237</v>
      </c>
      <c r="F26" s="125" t="s">
        <v>238</v>
      </c>
      <c r="G26" s="146">
        <v>0.2</v>
      </c>
      <c r="H26" s="125"/>
      <c r="M26" s="126"/>
    </row>
  </sheetData>
  <mergeCells count="1">
    <mergeCell ref="A1:H1"/>
  </mergeCells>
  <pageMargins left="0.7" right="0.7" top="0.75" bottom="0.75" header="0.3" footer="0.3"/>
  <pageSetup paperSize="9" firstPageNumber="4294963191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RowColHeaders="0" workbookViewId="0">
      <pane topLeftCell="A1" activePane="topLeft"/>
      <selection activeCell="A1" sqref="A1"/>
    </sheetView>
  </sheetViews>
  <sheetFormatPr defaultColWidth="9" defaultRowHeight="14.25" customHeight="1" outlineLevelCol="4"/>
  <cols>
    <col min="1" max="1" width="10.1333333333333" style="120" customWidth="1"/>
    <col min="2" max="2" width="12.5" style="121" customWidth="1"/>
    <col min="3" max="3" width="9" style="1"/>
    <col min="4" max="4" width="29.25" style="1" customWidth="1"/>
    <col min="5" max="5" width="12.3833333333333" style="1" customWidth="1"/>
    <col min="6" max="6" width="9" style="1" customWidth="1"/>
    <col min="7" max="16384" width="9" style="1"/>
  </cols>
  <sheetData>
    <row r="1" customHeight="1" spans="1:5">
      <c r="A1" s="122" t="s">
        <v>6</v>
      </c>
      <c r="B1" s="113" t="s">
        <v>5</v>
      </c>
      <c r="D1" s="10" t="s">
        <v>215</v>
      </c>
      <c r="E1" s="10" t="s">
        <v>214</v>
      </c>
    </row>
    <row r="2" customHeight="1" spans="1:5">
      <c r="A2" s="123" t="s">
        <v>239</v>
      </c>
      <c r="B2" s="93" t="s">
        <v>240</v>
      </c>
      <c r="D2" s="124" t="s">
        <v>221</v>
      </c>
      <c r="E2" s="124">
        <v>1000</v>
      </c>
    </row>
    <row r="3" customHeight="1" spans="1:5">
      <c r="A3" s="123" t="s">
        <v>241</v>
      </c>
      <c r="B3" s="93" t="s">
        <v>242</v>
      </c>
      <c r="D3" s="124" t="s">
        <v>222</v>
      </c>
      <c r="E3" s="124">
        <v>2000</v>
      </c>
    </row>
    <row r="4" customHeight="1" spans="1:5">
      <c r="A4" s="123" t="s">
        <v>243</v>
      </c>
      <c r="B4" s="93" t="s">
        <v>244</v>
      </c>
      <c r="D4" s="124" t="s">
        <v>226</v>
      </c>
      <c r="E4" s="124">
        <v>3000</v>
      </c>
    </row>
    <row r="5" customHeight="1" spans="1:5">
      <c r="A5" s="123" t="s">
        <v>245</v>
      </c>
      <c r="B5" s="93" t="s">
        <v>246</v>
      </c>
      <c r="D5" s="124" t="s">
        <v>227</v>
      </c>
      <c r="E5" s="124">
        <v>4000</v>
      </c>
    </row>
    <row r="6" customHeight="1" spans="1:5">
      <c r="A6" s="123" t="s">
        <v>247</v>
      </c>
      <c r="B6" s="93" t="s">
        <v>248</v>
      </c>
      <c r="D6" s="124" t="s">
        <v>228</v>
      </c>
      <c r="E6" s="124">
        <v>5000</v>
      </c>
    </row>
    <row r="7" customHeight="1" spans="1:5">
      <c r="A7" s="123" t="s">
        <v>249</v>
      </c>
      <c r="B7" s="93" t="s">
        <v>250</v>
      </c>
      <c r="D7" s="124" t="s">
        <v>251</v>
      </c>
      <c r="E7" s="124">
        <v>6000</v>
      </c>
    </row>
    <row r="8" customHeight="1" spans="1:5">
      <c r="A8" s="123" t="s">
        <v>252</v>
      </c>
      <c r="B8" s="93" t="s">
        <v>253</v>
      </c>
      <c r="D8" s="124" t="s">
        <v>229</v>
      </c>
      <c r="E8" s="124">
        <v>7000</v>
      </c>
    </row>
    <row r="9" customHeight="1" spans="1:5">
      <c r="A9" s="123" t="s">
        <v>254</v>
      </c>
      <c r="B9" s="93" t="s">
        <v>255</v>
      </c>
      <c r="D9" s="125" t="s">
        <v>232</v>
      </c>
      <c r="E9" s="125">
        <v>8000</v>
      </c>
    </row>
    <row r="10" customHeight="1" spans="1:5">
      <c r="A10" s="123" t="s">
        <v>256</v>
      </c>
      <c r="B10" s="93" t="s">
        <v>220</v>
      </c>
      <c r="D10" s="125" t="s">
        <v>237</v>
      </c>
      <c r="E10" s="125">
        <v>9000</v>
      </c>
    </row>
    <row r="11" customHeight="1" spans="1:2">
      <c r="A11" s="123" t="s">
        <v>257</v>
      </c>
      <c r="B11" s="93" t="s">
        <v>258</v>
      </c>
    </row>
  </sheetData>
  <sortState ref="A2:A11">
    <sortCondition ref="A2:A11"/>
  </sortState>
  <pageMargins left="0.7" right="0.7" top="0.75" bottom="0.75" header="0.3" footer="0.3"/>
  <pageSetup paperSize="9" firstPageNumber="4294963191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2"/>
  <sheetViews>
    <sheetView showGridLines="0" showRowColHeaders="0" zoomScale="66" zoomScaleNormal="66" workbookViewId="0">
      <pane topLeftCell="A1" activePane="topLeft"/>
      <selection activeCell="A1" sqref="A1"/>
    </sheetView>
  </sheetViews>
  <sheetFormatPr defaultColWidth="8.88333333333333" defaultRowHeight="14.25" customHeight="1"/>
  <cols>
    <col min="1" max="1" width="29.25" style="105" customWidth="1"/>
    <col min="2" max="2" width="18.3833333333333" style="106" customWidth="1"/>
    <col min="3" max="3" width="21.5" style="106" customWidth="1"/>
    <col min="4" max="4" width="40" style="106" customWidth="1"/>
    <col min="5" max="5" width="46.5" style="106" customWidth="1"/>
    <col min="6" max="6" width="8.88333333333333" style="106"/>
    <col min="7" max="7" width="10.5" style="106" customWidth="1"/>
    <col min="8" max="8" width="20.1333333333333" style="106" customWidth="1"/>
    <col min="9" max="9" width="79.5" style="106" hidden="1" customWidth="1"/>
    <col min="10" max="10" width="15.3833333333333" style="106" customWidth="1"/>
    <col min="11" max="11" width="11.5" style="106" customWidth="1"/>
    <col min="12" max="12" width="9.63333333333333" style="106" customWidth="1"/>
    <col min="13" max="13" width="8.5" style="106" customWidth="1"/>
    <col min="14" max="14" width="9.88333333333333" style="106" customWidth="1"/>
    <col min="15" max="15" width="10" style="106" customWidth="1"/>
    <col min="16" max="16" width="9.63333333333333" style="106" customWidth="1"/>
    <col min="17" max="17" width="8.5" style="106" customWidth="1"/>
    <col min="18" max="18" width="9.13333333333333" style="106" customWidth="1"/>
    <col min="19" max="19" width="9.5" style="106" customWidth="1"/>
    <col min="20" max="21" width="9.63333333333333" style="106" customWidth="1"/>
    <col min="22" max="22" width="18" style="106" customWidth="1"/>
    <col min="23" max="23" width="12.3833333333333" style="106" customWidth="1"/>
    <col min="24" max="24" width="18.5" style="106" customWidth="1"/>
    <col min="25" max="25" width="19.3833333333333" style="106" customWidth="1"/>
    <col min="26" max="26" width="15.1333333333333" style="107" customWidth="1"/>
    <col min="27" max="27" width="11.6333333333333" style="107" customWidth="1"/>
    <col min="28" max="28" width="17.25" style="108" customWidth="1"/>
    <col min="29" max="16384" width="8.88333333333333" style="106"/>
  </cols>
  <sheetData>
    <row r="1" s="104" customFormat="1" ht="40.5" spans="1:28">
      <c r="A1" s="109" t="s">
        <v>259</v>
      </c>
      <c r="B1" s="109" t="s">
        <v>260</v>
      </c>
      <c r="C1" s="109" t="s">
        <v>261</v>
      </c>
      <c r="D1" s="109" t="s">
        <v>262</v>
      </c>
      <c r="E1" s="109" t="s">
        <v>263</v>
      </c>
      <c r="F1" s="109" t="s">
        <v>168</v>
      </c>
      <c r="G1" s="109" t="s">
        <v>264</v>
      </c>
      <c r="H1" s="109" t="s">
        <v>160</v>
      </c>
      <c r="I1" s="113" t="s">
        <v>265</v>
      </c>
      <c r="J1" s="109" t="s">
        <v>265</v>
      </c>
      <c r="K1" s="114" t="s">
        <v>163</v>
      </c>
      <c r="L1" s="114" t="s">
        <v>266</v>
      </c>
      <c r="M1" s="114" t="s">
        <v>166</v>
      </c>
      <c r="N1" s="114" t="s">
        <v>267</v>
      </c>
      <c r="O1" s="114" t="s">
        <v>268</v>
      </c>
      <c r="P1" s="114" t="s">
        <v>269</v>
      </c>
      <c r="Q1" s="114" t="s">
        <v>171</v>
      </c>
      <c r="R1" s="114" t="s">
        <v>270</v>
      </c>
      <c r="S1" s="114" t="s">
        <v>271</v>
      </c>
      <c r="T1" s="114" t="s">
        <v>272</v>
      </c>
      <c r="U1" s="114" t="s">
        <v>172</v>
      </c>
      <c r="V1" s="109" t="s">
        <v>162</v>
      </c>
      <c r="W1" s="109" t="s">
        <v>273</v>
      </c>
      <c r="X1" s="109" t="s">
        <v>274</v>
      </c>
      <c r="Y1" s="109" t="s">
        <v>275</v>
      </c>
      <c r="Z1" s="109" t="s">
        <v>214</v>
      </c>
      <c r="AA1" s="109" t="s">
        <v>216</v>
      </c>
      <c r="AB1" s="117" t="s">
        <v>161</v>
      </c>
    </row>
    <row r="2" ht="46.5" customHeight="1" spans="1:28">
      <c r="A2" s="110" t="s">
        <v>221</v>
      </c>
      <c r="B2" s="110" t="s">
        <v>23</v>
      </c>
      <c r="C2" s="110"/>
      <c r="D2" s="110" t="str">
        <f>IF(L2="","",字段对应!$B$10&amp;"="&amp;VLOOKUP(L2,基础信息!$I$2:$J$6,2,0)&amp;";")&amp;IF(M2="","",字段对应!$B$11&amp;"="&amp;VLOOKUP(M2,基础信息!$K$2:$L$6,2,0)&amp;";")&amp;IF(N2="","",字段对应!$C$2&amp;"="&amp;N2&amp;","&amp;O2&amp;","&amp;P2&amp;";")&amp;IF(Q2="","",字段对应!$B$13&amp;"="&amp;Q2&amp;";")&amp;IF(R2="","",字段对应!$B$14&amp;"="&amp;R2&amp;";")&amp;IF(U2="","",字段对应!$B$22&amp;"="&amp;U2&amp;";")&amp;IF(K2="","",字段对应!$B$21&amp;"="&amp;VLOOKUP(K2,基础信息!$F$2:$G$4,2,0))</f>
        <v>PhotoMode=0;ScanSpeed=2;WlRange=810,800,0.2;Gain=2;Slit1=2.0;LampPos=0</v>
      </c>
      <c r="E2" s="110" t="str">
        <f>IF(W2="","",检测项信息!W2&amp;":"&amp;字段对应!$B$16&amp;"|")&amp;IF(X2="","",X2&amp;":"&amp;IF(V2="是",字段对应!$C$17,字段对应!$B$17&amp;";"&amp;IF(H2="","",字段对应!$B$15&amp;"="&amp;检测项信息!H2))&amp;"|")&amp;IF(Y2="",":",Y2&amp;":")&amp;IF(V2="是",字段对应!$C$18,字段对应!$B$18&amp;";"&amp;IF(H2="","",字段对应!$B$15&amp;"="&amp;检测项信息!H2)&amp;IF(AND(T2="",S2=""),"",";"&amp;字段对应!$B$20&amp;"="&amp;T2&amp;";"&amp;字段对应!$B$19&amp;"="&amp;S2))</f>
        <v>黑挡块:Dark|空气:BaseLine|镨钕滤光片:Scan</v>
      </c>
      <c r="F2" s="110">
        <v>3</v>
      </c>
      <c r="G2" s="110">
        <v>1</v>
      </c>
      <c r="H2" s="110" t="s">
        <v>26</v>
      </c>
      <c r="I2" s="110" t="str">
        <f>VLOOKUP(J2,字段对应!$D$2:$E$8,2,0)</f>
        <v>Validation.ViewModel.DataStructure.FindPeakAndAverageUVTestTool</v>
      </c>
      <c r="J2" s="110" t="s">
        <v>276</v>
      </c>
      <c r="K2" s="115" t="s">
        <v>175</v>
      </c>
      <c r="L2" s="115" t="s">
        <v>176</v>
      </c>
      <c r="M2" s="115" t="s">
        <v>187</v>
      </c>
      <c r="N2" s="115">
        <v>810</v>
      </c>
      <c r="O2" s="115">
        <v>800</v>
      </c>
      <c r="P2" s="115">
        <v>0.2</v>
      </c>
      <c r="Q2" s="115">
        <v>2</v>
      </c>
      <c r="R2" s="115" t="s">
        <v>192</v>
      </c>
      <c r="S2" s="115"/>
      <c r="T2" s="115"/>
      <c r="U2" s="115"/>
      <c r="V2" s="110" t="s">
        <v>174</v>
      </c>
      <c r="W2" s="110" t="s">
        <v>277</v>
      </c>
      <c r="X2" s="110" t="s">
        <v>278</v>
      </c>
      <c r="Y2" s="110" t="s">
        <v>23</v>
      </c>
      <c r="Z2" s="110">
        <f>VLOOKUP(A2,对应信息!$D$2:$E$10,2,0)</f>
        <v>1000</v>
      </c>
      <c r="AA2" s="110">
        <f t="shared" ref="AA2:AA16" si="0">IF(Z1=Z2,AA1+1,Z2+1)</f>
        <v>1001</v>
      </c>
      <c r="AB2" s="118"/>
    </row>
    <row r="3" ht="44.25" customHeight="1" spans="1:28">
      <c r="A3" s="110" t="s">
        <v>221</v>
      </c>
      <c r="B3" s="111" t="s">
        <v>24</v>
      </c>
      <c r="C3" s="110"/>
      <c r="D3" s="110" t="str">
        <f>IF(L3="","",字段对应!$B$10&amp;"="&amp;VLOOKUP(L3,基础信息!$I$2:$J$6,2,0)&amp;";")&amp;IF(M3="","",字段对应!$B$11&amp;"="&amp;VLOOKUP(M3,基础信息!$K$2:$L$6,2,0)&amp;";")&amp;IF(N3="","",字段对应!$C$2&amp;"="&amp;N3&amp;","&amp;O3&amp;","&amp;P3&amp;";")&amp;IF(Q3="","",字段对应!$B$13&amp;"="&amp;Q3&amp;";")&amp;IF(R3="","",字段对应!$B$14&amp;"="&amp;R3&amp;";")&amp;IF(U3="","",字段对应!$B$22&amp;"="&amp;U3&amp;";")&amp;IF(K3="","",字段对应!$B$21&amp;"="&amp;VLOOKUP(K3,基础信息!$F$2:$G$4,2,0))</f>
        <v>PhotoMode=0;ScanSpeed=2;WlRange=645,235,0.2;Slit1=2.0;</v>
      </c>
      <c r="E3" s="110" t="str">
        <f>IF(W3="","",检测项信息!W3&amp;":"&amp;字段对应!$B$16&amp;"|")&amp;IF(X3="","",X3&amp;":"&amp;IF(V3="是",字段对应!$C$17,字段对应!$B$17&amp;";"&amp;IF(H3="","",字段对应!$B$15&amp;"="&amp;检测项信息!H3))&amp;"|")&amp;IF(Y3="",":",Y3&amp;":")&amp;IF(V3="是",字段对应!$C$18,字段对应!$B$18&amp;";"&amp;IF(H3="","",字段对应!$B$15&amp;"="&amp;检测项信息!H3)&amp;IF(AND(T3="",S3=""),"",";"&amp;字段对应!$B$20&amp;"="&amp;T3&amp;";"&amp;字段对应!$B$19&amp;"="&amp;S3))</f>
        <v>黑挡块:Dark|空气:BaseLine|钬溶液:Scan</v>
      </c>
      <c r="F3" s="110">
        <v>3</v>
      </c>
      <c r="G3" s="110">
        <v>1</v>
      </c>
      <c r="H3" s="111" t="s">
        <v>279</v>
      </c>
      <c r="I3" s="110" t="str">
        <f>VLOOKUP(J3,字段对应!$D$2:$E$8,2,0)</f>
        <v>Validation.ViewModel.DataStructure.FindPeakAndAverageUVTestTool</v>
      </c>
      <c r="J3" s="110" t="s">
        <v>276</v>
      </c>
      <c r="K3" s="116"/>
      <c r="L3" s="115" t="s">
        <v>176</v>
      </c>
      <c r="M3" s="115" t="s">
        <v>187</v>
      </c>
      <c r="N3" s="115">
        <v>645</v>
      </c>
      <c r="O3" s="115">
        <v>235</v>
      </c>
      <c r="P3" s="115">
        <v>0.2</v>
      </c>
      <c r="Q3" s="115"/>
      <c r="R3" s="115" t="s">
        <v>192</v>
      </c>
      <c r="S3" s="115"/>
      <c r="T3" s="115"/>
      <c r="U3" s="115"/>
      <c r="V3" s="110" t="s">
        <v>174</v>
      </c>
      <c r="W3" s="110" t="s">
        <v>277</v>
      </c>
      <c r="X3" s="110" t="s">
        <v>278</v>
      </c>
      <c r="Y3" s="110" t="s">
        <v>24</v>
      </c>
      <c r="Z3" s="110">
        <f>VLOOKUP(A3,对应信息!$D$2:$E$10,2,0)</f>
        <v>1000</v>
      </c>
      <c r="AA3" s="110">
        <f t="shared" si="0"/>
        <v>1002</v>
      </c>
      <c r="AB3" s="118"/>
    </row>
    <row r="4" ht="27" spans="1:28">
      <c r="A4" s="110" t="s">
        <v>227</v>
      </c>
      <c r="B4" s="111" t="s">
        <v>104</v>
      </c>
      <c r="C4" s="110"/>
      <c r="D4" s="110" t="str">
        <f>IF(L4="","",字段对应!$B$10&amp;"="&amp;VLOOKUP(L4,基础信息!$I$2:$J$6,2,0)&amp;";")&amp;IF(M4="","",字段对应!$B$11&amp;"="&amp;VLOOKUP(M4,基础信息!$K$2:$L$6,2,0)&amp;";")&amp;IF(N4="","",字段对应!$C$2&amp;"="&amp;N4&amp;","&amp;O4&amp;","&amp;P4&amp;";")&amp;IF(Q4="","",字段对应!$B$13&amp;"="&amp;Q4&amp;";")&amp;IF(R4="","",字段对应!$B$14&amp;"="&amp;R4&amp;";")&amp;IF(U4="","",字段对应!$B$22&amp;"="&amp;U4&amp;";")&amp;IF(K4="","",字段对应!$B$21&amp;"="&amp;VLOOKUP(K4,基础信息!$F$2:$G$4,2,0))</f>
        <v>PhotoMode=0;ScanSpeed=2;WlRange=1090,335,1;Slit1=2.0;</v>
      </c>
      <c r="E4" s="110" t="str">
        <f>IF(W4="","",检测项信息!W4&amp;":"&amp;字段对应!$B$16&amp;"|")&amp;IF(X4="","",X4&amp;":"&amp;IF(V4="是",字段对应!$C$17,字段对应!$B$17&amp;";"&amp;IF(H4="","",字段对应!$B$15&amp;"="&amp;检测项信息!H4))&amp;"|")&amp;IF(Y4="",":",Y4&amp;":")&amp;IF(V4="是",字段对应!$C$18,字段对应!$B$18&amp;";"&amp;IF(H4="","",字段对应!$B$15&amp;"="&amp;检测项信息!H4)&amp;IF(AND(T4="",S4=""),"",";"&amp;字段对应!$B$20&amp;"="&amp;T4&amp;";"&amp;字段对应!$B$19&amp;"="&amp;S4))</f>
        <v>黑挡块:Dark|空气:BaseLine|空气:Scan</v>
      </c>
      <c r="F4" s="110">
        <v>1</v>
      </c>
      <c r="G4" s="110"/>
      <c r="H4" s="110"/>
      <c r="I4" s="110" t="str">
        <f>VLOOKUP(J4,字段对应!$D$2:$E$8,2,0)</f>
        <v>Validation.ViewModel.DataStructure.GetMaxDIstanceUVTestTool</v>
      </c>
      <c r="J4" s="110" t="s">
        <v>280</v>
      </c>
      <c r="K4" s="115"/>
      <c r="L4" s="115" t="s">
        <v>176</v>
      </c>
      <c r="M4" s="115" t="s">
        <v>187</v>
      </c>
      <c r="N4" s="115">
        <v>1090</v>
      </c>
      <c r="O4" s="115">
        <v>335</v>
      </c>
      <c r="P4" s="115">
        <v>1</v>
      </c>
      <c r="Q4" s="115"/>
      <c r="R4" s="115" t="s">
        <v>192</v>
      </c>
      <c r="S4" s="115"/>
      <c r="T4" s="115"/>
      <c r="U4" s="115"/>
      <c r="V4" s="110" t="s">
        <v>174</v>
      </c>
      <c r="W4" s="110" t="s">
        <v>277</v>
      </c>
      <c r="X4" s="110" t="s">
        <v>278</v>
      </c>
      <c r="Y4" s="110" t="s">
        <v>278</v>
      </c>
      <c r="Z4" s="110">
        <f>VLOOKUP(A4,对应信息!$D$2:$E$10,2,0)</f>
        <v>4000</v>
      </c>
      <c r="AA4" s="110">
        <f t="shared" si="0"/>
        <v>4001</v>
      </c>
      <c r="AB4" s="118"/>
    </row>
    <row r="5" ht="37.5" customHeight="1" spans="1:28">
      <c r="A5" s="110" t="s">
        <v>228</v>
      </c>
      <c r="B5" s="111" t="s">
        <v>108</v>
      </c>
      <c r="C5" s="110"/>
      <c r="D5" s="110" t="str">
        <f>IF(L5="","",字段对应!$B$10&amp;"="&amp;VLOOKUP(L5,基础信息!$I$2:$J$6,2,0)&amp;";")&amp;IF(M5="","",字段对应!$B$11&amp;"="&amp;VLOOKUP(M5,基础信息!$K$2:$L$6,2,0)&amp;";")&amp;IF(N5="","",字段对应!$C$2&amp;"="&amp;N5&amp;","&amp;O5&amp;","&amp;P5&amp;";")&amp;IF(Q5="","",字段对应!$B$13&amp;"="&amp;Q5&amp;";")&amp;IF(R5="","",字段对应!$B$14&amp;"="&amp;R5&amp;";")&amp;IF(U5="","",字段对应!$B$22&amp;"="&amp;U5&amp;";")&amp;IF(K5="","",字段对应!$B$21&amp;"="&amp;VLOOKUP(K5,基础信息!$F$2:$G$4,2,0))</f>
        <v>PhotoMode=1;ScanSpeed=2;WlRange=1090,335,1;</v>
      </c>
      <c r="E5" s="110" t="str">
        <f>IF(W5="","",检测项信息!W5&amp;":"&amp;字段对应!$B$16&amp;"|")&amp;IF(X5="","",X5&amp;":"&amp;IF(V5="是",字段对应!$C$17,字段对应!$B$17&amp;";"&amp;IF(H5="","",字段对应!$B$15&amp;"="&amp;检测项信息!H5))&amp;"|")&amp;IF(Y5="",":",Y5&amp;":")&amp;IF(V5="是",字段对应!$C$18,字段对应!$B$18&amp;";"&amp;IF(H5="","",字段对应!$B$15&amp;"="&amp;检测项信息!H5)&amp;IF(AND(T5="",S5=""),"",";"&amp;字段对应!$B$20&amp;"="&amp;T5&amp;";"&amp;字段对应!$B$19&amp;"="&amp;S5))</f>
        <v>黑挡块:Dark|空气:BaseLine|黑挡块:Scan</v>
      </c>
      <c r="F5" s="110">
        <v>1</v>
      </c>
      <c r="G5" s="110"/>
      <c r="H5" s="110"/>
      <c r="I5" s="110" t="str">
        <f>VLOOKUP(J5,字段对应!$D$2:$E$8,2,0)</f>
        <v>Validation.ViewModel.DataStructure.GetMaxDIstanceUVTestTool</v>
      </c>
      <c r="J5" s="110" t="s">
        <v>280</v>
      </c>
      <c r="K5" s="115"/>
      <c r="L5" s="115" t="s">
        <v>181</v>
      </c>
      <c r="M5" s="115" t="s">
        <v>187</v>
      </c>
      <c r="N5" s="115">
        <v>1090</v>
      </c>
      <c r="O5" s="115">
        <v>335</v>
      </c>
      <c r="P5" s="115">
        <v>1</v>
      </c>
      <c r="Q5" s="115"/>
      <c r="R5" s="115"/>
      <c r="S5" s="115"/>
      <c r="T5" s="115"/>
      <c r="U5" s="115"/>
      <c r="V5" s="110" t="s">
        <v>174</v>
      </c>
      <c r="W5" s="110" t="s">
        <v>277</v>
      </c>
      <c r="X5" s="110" t="s">
        <v>278</v>
      </c>
      <c r="Y5" s="111" t="s">
        <v>277</v>
      </c>
      <c r="Z5" s="110">
        <f>VLOOKUP(A5,对应信息!$D$2:$E$10,2,0)</f>
        <v>5000</v>
      </c>
      <c r="AA5" s="110">
        <f t="shared" si="0"/>
        <v>5001</v>
      </c>
      <c r="AB5" s="118"/>
    </row>
    <row r="6" ht="51" customHeight="1" spans="1:28">
      <c r="A6" s="110" t="s">
        <v>229</v>
      </c>
      <c r="B6" s="110" t="s">
        <v>230</v>
      </c>
      <c r="C6" s="110"/>
      <c r="D6" s="110" t="str">
        <f>IF(L6="","",字段对应!$B$10&amp;"="&amp;VLOOKUP(L6,基础信息!$I$2:$J$6,2,0)&amp;";")&amp;IF(M6="","",字段对应!$B$11&amp;"="&amp;VLOOKUP(M6,基础信息!$K$2:$L$6,2,0)&amp;";")&amp;IF(N6="","",字段对应!$C$2&amp;"="&amp;N6&amp;","&amp;O6&amp;","&amp;P6&amp;";")&amp;IF(Q6="","",字段对应!$B$13&amp;"="&amp;Q6&amp;";")&amp;IF(R6="","",字段对应!$B$14&amp;"="&amp;R6&amp;";")&amp;IF(U6="","",字段对应!$B$22&amp;"="&amp;U6&amp;";")&amp;IF(K6="","",字段对应!$B$21&amp;"="&amp;VLOOKUP(K6,基础信息!$F$2:$G$4,2,0))</f>
        <v>PhotoMode=1;ScanSpeed=2;Slit1=2.0;ResponseTime=0.5;</v>
      </c>
      <c r="E6" s="110" t="str">
        <f>IF(W6="","",检测项信息!W6&amp;":"&amp;字段对应!$B$16&amp;"|")&amp;IF(X6="","",X6&amp;":"&amp;IF(V6="是",字段对应!$C$17,字段对应!$B$17&amp;";"&amp;IF(H6="","",字段对应!$B$15&amp;"="&amp;检测项信息!H6))&amp;"|")&amp;IF(Y6="",":",Y6&amp;":")&amp;IF(V6="是",字段对应!$C$18,字段对应!$B$18&amp;";"&amp;IF(H6="","",字段对应!$B$15&amp;"="&amp;检测项信息!H6)&amp;IF(AND(T6="",S6=""),"",";"&amp;字段对应!$B$20&amp;"="&amp;T6&amp;";"&amp;字段对应!$B$19&amp;"="&amp;S6))</f>
        <v>黑挡块:Dark|空气:Zero;Wl=500|空气:Measure;Wl=500;totalcount=120;timeinterval=1</v>
      </c>
      <c r="F6" s="110">
        <v>1</v>
      </c>
      <c r="G6" s="110"/>
      <c r="H6" s="110">
        <v>500</v>
      </c>
      <c r="I6" s="110" t="str">
        <f>VLOOKUP(J6,字段对应!$D$2:$E$8,2,0)</f>
        <v>Validation.ViewModel.DataStructure.FindMaxOffsetUVTestTool</v>
      </c>
      <c r="J6" s="110" t="s">
        <v>281</v>
      </c>
      <c r="K6" s="115"/>
      <c r="L6" s="115" t="s">
        <v>181</v>
      </c>
      <c r="M6" s="115" t="s">
        <v>187</v>
      </c>
      <c r="N6" s="115"/>
      <c r="O6" s="115"/>
      <c r="P6" s="115"/>
      <c r="Q6" s="115"/>
      <c r="R6" s="115" t="s">
        <v>192</v>
      </c>
      <c r="S6" s="115">
        <v>1</v>
      </c>
      <c r="T6" s="115">
        <v>120</v>
      </c>
      <c r="U6" s="115">
        <v>0.5</v>
      </c>
      <c r="V6" s="110" t="s">
        <v>179</v>
      </c>
      <c r="W6" s="110" t="s">
        <v>277</v>
      </c>
      <c r="X6" s="110" t="s">
        <v>278</v>
      </c>
      <c r="Y6" s="110" t="s">
        <v>278</v>
      </c>
      <c r="Z6" s="110">
        <f>VLOOKUP(A6,对应信息!$D$2:$E$10,2,0)</f>
        <v>7000</v>
      </c>
      <c r="AA6" s="110">
        <f t="shared" si="0"/>
        <v>7001</v>
      </c>
      <c r="AB6" s="118"/>
    </row>
    <row r="7" ht="40.5" spans="1:28">
      <c r="A7" s="110" t="s">
        <v>229</v>
      </c>
      <c r="B7" s="110" t="s">
        <v>231</v>
      </c>
      <c r="C7" s="110"/>
      <c r="D7" s="110" t="str">
        <f>IF(L7="","",字段对应!$B$10&amp;"="&amp;VLOOKUP(L7,基础信息!$I$2:$J$6,2,0)&amp;";")&amp;IF(M7="","",字段对应!$B$11&amp;"="&amp;VLOOKUP(M7,基础信息!$K$2:$L$6,2,0)&amp;";")&amp;IF(N7="","",字段对应!$C$2&amp;"="&amp;N7&amp;","&amp;O7&amp;","&amp;P7&amp;";")&amp;IF(Q7="","",字段对应!$B$13&amp;"="&amp;Q7&amp;";")&amp;IF(R7="","",字段对应!$B$14&amp;"="&amp;R7&amp;";")&amp;IF(U7="","",字段对应!$B$22&amp;"="&amp;U7&amp;";")&amp;IF(K7="","",字段对应!$B$21&amp;"="&amp;VLOOKUP(K7,基础信息!$F$2:$G$4,2,0))</f>
        <v>PhotoMode=1;ScanSpeed=2;Slit1=2.0;ResponseTime=0.5;</v>
      </c>
      <c r="E7" s="110" t="str">
        <f>IF(W7="","",检测项信息!W7&amp;":"&amp;字段对应!$B$16&amp;"|")&amp;IF(X7="","",X7&amp;":"&amp;IF(V7="是",字段对应!$C$17,字段对应!$B$17&amp;";"&amp;IF(H7="","",字段对应!$B$15&amp;"="&amp;检测项信息!H7))&amp;"|")&amp;IF(Y7="",":",Y7&amp;":")&amp;IF(V7="是",字段对应!$C$18,字段对应!$B$18&amp;";"&amp;IF(H7="","",字段对应!$B$15&amp;"="&amp;检测项信息!H7)&amp;IF(AND(T7="",S7=""),"",";"&amp;字段对应!$B$20&amp;"="&amp;T7&amp;";"&amp;字段对应!$B$19&amp;"="&amp;S7))</f>
        <v>黑挡块:Dark|空气:Zero;Wl=500|黑挡块:Measure;Wl=500;totalcount=120;timeinterval=1</v>
      </c>
      <c r="F7" s="110">
        <v>1</v>
      </c>
      <c r="G7" s="110"/>
      <c r="H7" s="110">
        <v>500</v>
      </c>
      <c r="I7" s="110" t="str">
        <f>VLOOKUP(J7,字段对应!$D$2:$E$8,2,0)</f>
        <v>Validation.ViewModel.DataStructure.FindMaxOffsetUVTestTool</v>
      </c>
      <c r="J7" s="110" t="s">
        <v>281</v>
      </c>
      <c r="K7" s="115"/>
      <c r="L7" s="115" t="s">
        <v>181</v>
      </c>
      <c r="M7" s="115" t="s">
        <v>187</v>
      </c>
      <c r="N7" s="115"/>
      <c r="O7" s="115"/>
      <c r="P7" s="115"/>
      <c r="Q7" s="115"/>
      <c r="R7" s="115" t="s">
        <v>192</v>
      </c>
      <c r="S7" s="115">
        <v>1</v>
      </c>
      <c r="T7" s="115">
        <v>120</v>
      </c>
      <c r="U7" s="115">
        <v>0.5</v>
      </c>
      <c r="V7" s="110" t="s">
        <v>179</v>
      </c>
      <c r="W7" s="110" t="s">
        <v>277</v>
      </c>
      <c r="X7" s="110" t="s">
        <v>278</v>
      </c>
      <c r="Y7" s="111" t="s">
        <v>277</v>
      </c>
      <c r="Z7" s="110">
        <f>VLOOKUP(A7,对应信息!$D$2:$E$10,2,0)</f>
        <v>7000</v>
      </c>
      <c r="AA7" s="110">
        <f t="shared" si="0"/>
        <v>7002</v>
      </c>
      <c r="AB7" s="118"/>
    </row>
    <row r="8" ht="54" spans="1:28">
      <c r="A8" s="110" t="s">
        <v>232</v>
      </c>
      <c r="B8" s="110" t="s">
        <v>233</v>
      </c>
      <c r="C8" s="110"/>
      <c r="D8" s="110" t="str">
        <f>IF(L8="","",字段对应!$B$10&amp;"="&amp;VLOOKUP(L8,基础信息!$I$2:$J$6,2,0)&amp;";")&amp;IF(M8="","",字段对应!$B$11&amp;"="&amp;VLOOKUP(M8,基础信息!$K$2:$L$6,2,0)&amp;";")&amp;IF(N8="","",字段对应!$C$2&amp;"="&amp;N8&amp;","&amp;O8&amp;","&amp;P8&amp;";")&amp;IF(Q8="","",字段对应!$B$13&amp;"="&amp;Q8&amp;";")&amp;IF(R8="","",字段对应!$B$14&amp;"="&amp;R8&amp;";")&amp;IF(U8="","",字段对应!$B$22&amp;"="&amp;U8&amp;";")&amp;IF(K8="","",字段对应!$B$21&amp;"="&amp;VLOOKUP(K8,基础信息!$F$2:$G$4,2,0))</f>
        <v>PhotoMode=1;ScanSpeed=2;Slit1=2.0;ResponseTime=0.5;</v>
      </c>
      <c r="E8" s="110" t="str">
        <f>IF(W8="","",检测项信息!W8&amp;":"&amp;字段对应!$B$16&amp;"|")&amp;IF(X8="","",X8&amp;":"&amp;IF(V8="是",字段对应!$C$17,字段对应!$B$17&amp;";"&amp;IF(H8="","",字段对应!$B$15&amp;"="&amp;检测项信息!H8))&amp;"|")&amp;IF(Y8="",":",Y8&amp;":")&amp;IF(V8="是",字段对应!$C$18,字段对应!$B$18&amp;";"&amp;IF(H8="","",字段对应!$B$15&amp;"="&amp;检测项信息!H8)&amp;IF(AND(T8="",S8=""),"",";"&amp;字段对应!$B$20&amp;"="&amp;T8&amp;";"&amp;字段对应!$B$19&amp;"="&amp;S8))</f>
        <v>黑挡块:Dark|空气:Zero;Wl=1090|空气:Measure;Wl=1090;totalcount=180;timeinterval=1</v>
      </c>
      <c r="F8" s="110">
        <v>1</v>
      </c>
      <c r="G8" s="110"/>
      <c r="H8" s="110">
        <v>1090</v>
      </c>
      <c r="I8" s="110" t="str">
        <f>VLOOKUP(J8,字段对应!$D$2:$E$8,2,0)</f>
        <v>Validation.ViewModel.DataStructure.FindMaxOffsetUVTestTool</v>
      </c>
      <c r="J8" s="110" t="s">
        <v>281</v>
      </c>
      <c r="K8" s="115"/>
      <c r="L8" s="115" t="s">
        <v>181</v>
      </c>
      <c r="M8" s="115" t="s">
        <v>187</v>
      </c>
      <c r="N8" s="115"/>
      <c r="O8" s="115"/>
      <c r="P8" s="115"/>
      <c r="Q8" s="115"/>
      <c r="R8" s="115" t="s">
        <v>192</v>
      </c>
      <c r="S8" s="115">
        <v>1</v>
      </c>
      <c r="T8" s="115">
        <v>180</v>
      </c>
      <c r="U8" s="115">
        <v>0.5</v>
      </c>
      <c r="V8" s="110" t="s">
        <v>179</v>
      </c>
      <c r="W8" s="110" t="s">
        <v>277</v>
      </c>
      <c r="X8" s="110" t="s">
        <v>278</v>
      </c>
      <c r="Y8" s="110" t="s">
        <v>278</v>
      </c>
      <c r="Z8" s="110">
        <f>VLOOKUP(A8,对应信息!$D$2:$E$10,2,0)</f>
        <v>8000</v>
      </c>
      <c r="AA8" s="110">
        <f t="shared" si="0"/>
        <v>8001</v>
      </c>
      <c r="AB8" s="118"/>
    </row>
    <row r="9" ht="54" spans="1:28">
      <c r="A9" s="110" t="s">
        <v>232</v>
      </c>
      <c r="B9" s="110" t="s">
        <v>234</v>
      </c>
      <c r="C9" s="110"/>
      <c r="D9" s="110" t="str">
        <f>IF(L9="","",字段对应!$B$10&amp;"="&amp;VLOOKUP(L9,基础信息!$I$2:$J$6,2,0)&amp;";")&amp;IF(M9="","",字段对应!$B$11&amp;"="&amp;VLOOKUP(M9,基础信息!$K$2:$L$6,2,0)&amp;";")&amp;IF(N9="","",字段对应!$C$2&amp;"="&amp;N9&amp;","&amp;O9&amp;","&amp;P9&amp;";")&amp;IF(Q9="","",字段对应!$B$13&amp;"="&amp;Q9&amp;";")&amp;IF(R9="","",字段对应!$B$14&amp;"="&amp;R9&amp;";")&amp;IF(U9="","",字段对应!$B$22&amp;"="&amp;U9&amp;";")&amp;IF(K9="","",字段对应!$B$21&amp;"="&amp;VLOOKUP(K9,基础信息!$F$2:$G$4,2,0))</f>
        <v>PhotoMode=1;ScanSpeed=2;Slit1=2.0;ResponseTime=0.5;</v>
      </c>
      <c r="E9" s="110" t="str">
        <f>IF(W9="","",检测项信息!W9&amp;":"&amp;字段对应!$B$16&amp;"|")&amp;IF(X9="","",X9&amp;":"&amp;IF(V9="是",字段对应!$C$17,字段对应!$B$17&amp;";"&amp;IF(H9="","",字段对应!$B$15&amp;"="&amp;检测项信息!H9))&amp;"|")&amp;IF(Y9="",":",Y9&amp;":")&amp;IF(V9="是",字段对应!$C$18,字段对应!$B$18&amp;";"&amp;IF(H9="","",字段对应!$B$15&amp;"="&amp;检测项信息!H9)&amp;IF(AND(T9="",S9=""),"",";"&amp;字段对应!$B$20&amp;"="&amp;T9&amp;";"&amp;字段对应!$B$19&amp;"="&amp;S9))</f>
        <v>黑挡块:Dark|空气:Zero;Wl=1090|黑挡块:Measure;Wl=1090;totalcount=180;timeinterval=1</v>
      </c>
      <c r="F9" s="110">
        <v>1</v>
      </c>
      <c r="G9" s="110"/>
      <c r="H9" s="110">
        <v>1090</v>
      </c>
      <c r="I9" s="110" t="str">
        <f>VLOOKUP(J9,字段对应!$D$2:$E$8,2,0)</f>
        <v>Validation.ViewModel.DataStructure.FindMaxOffsetUVTestTool</v>
      </c>
      <c r="J9" s="110" t="s">
        <v>281</v>
      </c>
      <c r="K9" s="115"/>
      <c r="L9" s="115" t="s">
        <v>181</v>
      </c>
      <c r="M9" s="115" t="s">
        <v>187</v>
      </c>
      <c r="N9" s="115"/>
      <c r="O9" s="115"/>
      <c r="P9" s="115"/>
      <c r="Q9" s="115"/>
      <c r="R9" s="115" t="s">
        <v>192</v>
      </c>
      <c r="S9" s="115">
        <v>1</v>
      </c>
      <c r="T9" s="115">
        <v>180</v>
      </c>
      <c r="U9" s="115">
        <v>0.5</v>
      </c>
      <c r="V9" s="110" t="s">
        <v>179</v>
      </c>
      <c r="W9" s="110" t="s">
        <v>277</v>
      </c>
      <c r="X9" s="110" t="s">
        <v>278</v>
      </c>
      <c r="Y9" s="111" t="s">
        <v>277</v>
      </c>
      <c r="Z9" s="110">
        <f>VLOOKUP(A9,对应信息!$D$2:$E$10,2,0)</f>
        <v>8000</v>
      </c>
      <c r="AA9" s="110">
        <f t="shared" si="0"/>
        <v>8002</v>
      </c>
      <c r="AB9" s="118"/>
    </row>
    <row r="10" ht="40.5" spans="1:28">
      <c r="A10" s="110" t="s">
        <v>232</v>
      </c>
      <c r="B10" s="111" t="s">
        <v>235</v>
      </c>
      <c r="C10" s="110"/>
      <c r="D10" s="110" t="str">
        <f>IF(L10="","",字段对应!$B$10&amp;"="&amp;VLOOKUP(L10,基础信息!$I$2:$J$6,2,0)&amp;";")&amp;IF(M10="","",字段对应!$B$11&amp;"="&amp;VLOOKUP(M10,基础信息!$K$2:$L$6,2,0)&amp;";")&amp;IF(N10="","",字段对应!$C$2&amp;"="&amp;N10&amp;","&amp;O10&amp;","&amp;P10&amp;";")&amp;IF(Q10="","",字段对应!$B$13&amp;"="&amp;Q10&amp;";")&amp;IF(R10="","",字段对应!$B$14&amp;"="&amp;R10&amp;";")&amp;IF(U10="","",字段对应!$B$22&amp;"="&amp;U10&amp;";")&amp;IF(K10="","",字段对应!$B$21&amp;"="&amp;VLOOKUP(K10,基础信息!$F$2:$G$4,2,0))</f>
        <v>PhotoMode=1;ScanSpeed=2;Slit1=2.0;ResponseTime=0.5;</v>
      </c>
      <c r="E10" s="110" t="str">
        <f>IF(W10="","",检测项信息!W10&amp;":"&amp;字段对应!$B$16&amp;"|")&amp;IF(X10="","",X10&amp;":"&amp;IF(V10="是",字段对应!$C$17,字段对应!$B$17&amp;";"&amp;IF(H10="","",字段对应!$B$15&amp;"="&amp;检测项信息!H10))&amp;"|")&amp;IF(Y10="",":",Y10&amp;":")&amp;IF(V10="是",字段对应!$C$18,字段对应!$B$18&amp;";"&amp;IF(H10="","",字段对应!$B$15&amp;"="&amp;检测项信息!H10)&amp;IF(AND(T10="",S10=""),"",";"&amp;字段对应!$B$20&amp;"="&amp;T10&amp;";"&amp;字段对应!$B$19&amp;"="&amp;S10))</f>
        <v>黑挡块:Dark|空气:Zero;Wl=335|空气:Measure;Wl=335;totalcount=180;timeinterval=1</v>
      </c>
      <c r="F10" s="110">
        <v>1</v>
      </c>
      <c r="G10" s="110"/>
      <c r="H10" s="110">
        <v>335</v>
      </c>
      <c r="I10" s="110" t="str">
        <f>VLOOKUP(J10,字段对应!$D$2:$E$8,2,0)</f>
        <v>Validation.ViewModel.DataStructure.FindMaxOffsetUVTestTool</v>
      </c>
      <c r="J10" s="110" t="s">
        <v>281</v>
      </c>
      <c r="K10" s="115"/>
      <c r="L10" s="115" t="s">
        <v>181</v>
      </c>
      <c r="M10" s="115" t="s">
        <v>187</v>
      </c>
      <c r="N10" s="115"/>
      <c r="O10" s="115"/>
      <c r="P10" s="115"/>
      <c r="Q10" s="115"/>
      <c r="R10" s="115" t="s">
        <v>192</v>
      </c>
      <c r="S10" s="115">
        <v>1</v>
      </c>
      <c r="T10" s="115">
        <v>180</v>
      </c>
      <c r="U10" s="115">
        <v>0.5</v>
      </c>
      <c r="V10" s="110" t="s">
        <v>179</v>
      </c>
      <c r="W10" s="110" t="s">
        <v>277</v>
      </c>
      <c r="X10" s="110" t="s">
        <v>278</v>
      </c>
      <c r="Y10" s="110" t="s">
        <v>278</v>
      </c>
      <c r="Z10" s="110">
        <f>VLOOKUP(A10,对应信息!$D$2:$E$10,2,0)</f>
        <v>8000</v>
      </c>
      <c r="AA10" s="110">
        <f t="shared" si="0"/>
        <v>8003</v>
      </c>
      <c r="AB10" s="118"/>
    </row>
    <row r="11" ht="40.5" spans="1:28">
      <c r="A11" s="110" t="s">
        <v>232</v>
      </c>
      <c r="B11" s="111" t="s">
        <v>236</v>
      </c>
      <c r="C11" s="110"/>
      <c r="D11" s="110" t="str">
        <f>IF(L11="","",字段对应!$B$10&amp;"="&amp;VLOOKUP(L11,基础信息!$I$2:$J$6,2,0)&amp;";")&amp;IF(M11="","",字段对应!$B$11&amp;"="&amp;VLOOKUP(M11,基础信息!$K$2:$L$6,2,0)&amp;";")&amp;IF(N11="","",字段对应!$C$2&amp;"="&amp;N11&amp;","&amp;O11&amp;","&amp;P11&amp;";")&amp;IF(Q11="","",字段对应!$B$13&amp;"="&amp;Q11&amp;";")&amp;IF(R11="","",字段对应!$B$14&amp;"="&amp;R11&amp;";")&amp;IF(U11="","",字段对应!$B$22&amp;"="&amp;U11&amp;";")&amp;IF(K11="","",字段对应!$B$21&amp;"="&amp;VLOOKUP(K11,基础信息!$F$2:$G$4,2,0))</f>
        <v>PhotoMode=1;ScanSpeed=2;Slit1=2.0;ResponseTime=0.5;</v>
      </c>
      <c r="E11" s="110" t="str">
        <f>IF(W11="","",检测项信息!W11&amp;":"&amp;字段对应!$B$16&amp;"|")&amp;IF(X11="","",X11&amp;":"&amp;IF(V11="是",字段对应!$C$17,字段对应!$B$17&amp;";"&amp;IF(H11="","",字段对应!$B$15&amp;"="&amp;检测项信息!H11))&amp;"|")&amp;IF(Y11="",":",Y11&amp;":")&amp;IF(V11="是",字段对应!$C$18,字段对应!$B$18&amp;";"&amp;IF(H11="","",字段对应!$B$15&amp;"="&amp;检测项信息!H11)&amp;IF(AND(T11="",S11=""),"",";"&amp;字段对应!$B$20&amp;"="&amp;T11&amp;";"&amp;字段对应!$B$19&amp;"="&amp;S11))</f>
        <v>黑挡块:Dark|空气:Zero;Wl=335|黑挡块:Measure;Wl=335;totalcount=180;timeinterval=1</v>
      </c>
      <c r="F11" s="110">
        <v>1</v>
      </c>
      <c r="G11" s="110"/>
      <c r="H11" s="110">
        <v>335</v>
      </c>
      <c r="I11" s="110" t="str">
        <f>VLOOKUP(J11,字段对应!$D$2:$E$8,2,0)</f>
        <v>Validation.ViewModel.DataStructure.FindMaxOffsetUVTestTool</v>
      </c>
      <c r="J11" s="110" t="s">
        <v>281</v>
      </c>
      <c r="K11" s="115"/>
      <c r="L11" s="115" t="s">
        <v>181</v>
      </c>
      <c r="M11" s="115" t="s">
        <v>187</v>
      </c>
      <c r="N11" s="115"/>
      <c r="O11" s="115"/>
      <c r="P11" s="115"/>
      <c r="Q11" s="115"/>
      <c r="R11" s="115" t="s">
        <v>192</v>
      </c>
      <c r="S11" s="115">
        <v>1</v>
      </c>
      <c r="T11" s="115">
        <v>180</v>
      </c>
      <c r="U11" s="115">
        <v>0.5</v>
      </c>
      <c r="V11" s="110" t="s">
        <v>179</v>
      </c>
      <c r="W11" s="110" t="s">
        <v>277</v>
      </c>
      <c r="X11" s="110" t="s">
        <v>278</v>
      </c>
      <c r="Y11" s="111" t="s">
        <v>277</v>
      </c>
      <c r="Z11" s="110">
        <f>VLOOKUP(A11,对应信息!$D$2:$E$10,2,0)</f>
        <v>8000</v>
      </c>
      <c r="AA11" s="110">
        <f t="shared" si="0"/>
        <v>8004</v>
      </c>
      <c r="AB11" s="118"/>
    </row>
    <row r="12" ht="27" spans="1:28">
      <c r="A12" s="110" t="s">
        <v>226</v>
      </c>
      <c r="B12" s="111" t="s">
        <v>282</v>
      </c>
      <c r="C12" s="110"/>
      <c r="D12" s="110" t="str">
        <f>IF(L12="","",字段对应!$B$10&amp;"="&amp;VLOOKUP(L12,基础信息!$I$2:$J$6,2,0)&amp;";")&amp;IF(M12="","",字段对应!$B$11&amp;"="&amp;VLOOKUP(M12,基础信息!$K$2:$L$6,2,0)&amp;";")&amp;IF(N12="","",字段对应!$C$2&amp;"="&amp;N12&amp;","&amp;O12&amp;","&amp;P12&amp;";")&amp;IF(Q12="","",字段对应!$B$13&amp;"="&amp;Q12&amp;";")&amp;IF(R12="","",字段对应!$B$14&amp;"="&amp;R12&amp;";")&amp;IF(U12="","",字段对应!$B$22&amp;"="&amp;U12&amp;";")&amp;IF(K12="","",字段对应!$B$21&amp;"="&amp;VLOOKUP(K12,基础信息!$F$2:$G$4,2,0))</f>
        <v>PhotoMode=1;ScanSpeed=2;Slit1=2.0;</v>
      </c>
      <c r="E12" s="110" t="str">
        <f>IF(W12="","",检测项信息!W12&amp;":"&amp;字段对应!$B$16&amp;"|")&amp;IF(X12="","",X12&amp;":"&amp;IF(V12="是",字段对应!$C$17,字段对应!$B$17&amp;";"&amp;IF(H12="","",字段对应!$B$15&amp;"="&amp;检测项信息!H12))&amp;"|")&amp;IF(Y12="",":",Y12&amp;":")&amp;IF(V12="是",字段对应!$C$18,字段对应!$B$18&amp;";"&amp;IF(H12="","",字段对应!$B$15&amp;"="&amp;检测项信息!H12)&amp;IF(AND(T12="",S12=""),"",";"&amp;字段对应!$B$20&amp;"="&amp;T12&amp;";"&amp;字段对应!$B$19&amp;"="&amp;S12))</f>
        <v>黑挡块:Dark|亚硝酸钠空白溶液:Zero;Wl=360|亚硝酸钠溶液:Measure;Wl=360</v>
      </c>
      <c r="F12" s="110">
        <v>3</v>
      </c>
      <c r="G12" s="110">
        <v>1</v>
      </c>
      <c r="H12" s="110" t="s">
        <v>283</v>
      </c>
      <c r="I12" s="110" t="str">
        <f>VLOOKUP(J12,字段对应!$D$2:$E$8,2,0)</f>
        <v>Validation.ViewModel.DataStructure.WlPointsUVTestTool</v>
      </c>
      <c r="J12" s="110" t="s">
        <v>284</v>
      </c>
      <c r="K12" s="115"/>
      <c r="L12" s="115" t="s">
        <v>181</v>
      </c>
      <c r="M12" s="115" t="s">
        <v>187</v>
      </c>
      <c r="N12" s="115"/>
      <c r="O12" s="115"/>
      <c r="P12" s="115"/>
      <c r="Q12" s="115"/>
      <c r="R12" s="116" t="s">
        <v>192</v>
      </c>
      <c r="S12" s="115"/>
      <c r="T12" s="115"/>
      <c r="U12" s="115"/>
      <c r="V12" s="110" t="s">
        <v>179</v>
      </c>
      <c r="W12" s="110" t="s">
        <v>277</v>
      </c>
      <c r="X12" s="111" t="s">
        <v>285</v>
      </c>
      <c r="Y12" s="110" t="s">
        <v>202</v>
      </c>
      <c r="Z12" s="110">
        <f>VLOOKUP(A12,对应信息!$D$2:$E$10,2,0)</f>
        <v>3000</v>
      </c>
      <c r="AA12" s="110">
        <f t="shared" si="0"/>
        <v>3001</v>
      </c>
      <c r="AB12" s="118"/>
    </row>
    <row r="13" ht="27" spans="1:28">
      <c r="A13" s="110" t="s">
        <v>222</v>
      </c>
      <c r="B13" s="110" t="s">
        <v>51</v>
      </c>
      <c r="C13" s="110"/>
      <c r="D13" s="110" t="str">
        <f>IF(L13="","",字段对应!$B$10&amp;"="&amp;VLOOKUP(L13,基础信息!$I$2:$J$6,2,0)&amp;";")&amp;IF(M13="","",字段对应!$B$11&amp;"="&amp;VLOOKUP(M13,基础信息!$K$2:$L$6,2,0)&amp;";")&amp;IF(N13="","",字段对应!$C$2&amp;"="&amp;N13&amp;","&amp;O13&amp;","&amp;P13&amp;";")&amp;IF(Q13="","",字段对应!$B$13&amp;"="&amp;Q13&amp;";")&amp;IF(R13="","",字段对应!$B$14&amp;"="&amp;R13&amp;";")&amp;IF(U13="","",字段对应!$B$22&amp;"="&amp;U13&amp;";")&amp;IF(K13="","",字段对应!$B$21&amp;"="&amp;VLOOKUP(K13,基础信息!$F$2:$G$4,2,0))</f>
        <v>PhotoMode=1;ScanSpeed=2;Slit1=2.0;</v>
      </c>
      <c r="E13" s="110" t="str">
        <f>IF(W13="","",检测项信息!W13&amp;":"&amp;字段对应!$B$16&amp;"|")&amp;IF(X13="","",X13&amp;":"&amp;IF(V13="是",字段对应!$C$17,字段对应!$B$17&amp;";"&amp;IF(H13="","",字段对应!$B$15&amp;"="&amp;检测项信息!H13))&amp;"|")&amp;IF(Y13="",":",Y13&amp;":")&amp;IF(V13="是",字段对应!$C$18,字段对应!$B$18&amp;";"&amp;IF(H13="","",字段对应!$B$15&amp;"="&amp;检测项信息!H13)&amp;IF(AND(T13="",S13=""),"",";"&amp;字段对应!$B$20&amp;"="&amp;T13&amp;";"&amp;字段对应!$B$19&amp;"="&amp;S13))</f>
        <v>黑挡块:Dark|空气:Zero;Wl=635,546,440|10%中性滤光片:Measure;Wl=635,546,440</v>
      </c>
      <c r="F13" s="110">
        <v>3</v>
      </c>
      <c r="G13" s="110">
        <v>1</v>
      </c>
      <c r="H13" s="110" t="s">
        <v>286</v>
      </c>
      <c r="I13" s="110" t="str">
        <f>VLOOKUP(J13,字段对应!$D$2:$E$8,2,0)</f>
        <v>Validation.ViewModel.DataStructure.WlPointsAndAverageUVTestTool</v>
      </c>
      <c r="J13" s="110" t="s">
        <v>287</v>
      </c>
      <c r="K13" s="115"/>
      <c r="L13" s="115" t="s">
        <v>181</v>
      </c>
      <c r="M13" s="115" t="s">
        <v>187</v>
      </c>
      <c r="N13" s="115"/>
      <c r="O13" s="115"/>
      <c r="P13" s="115"/>
      <c r="Q13" s="115"/>
      <c r="R13" s="115" t="s">
        <v>192</v>
      </c>
      <c r="S13" s="115"/>
      <c r="T13" s="115"/>
      <c r="U13" s="115"/>
      <c r="V13" s="110" t="s">
        <v>179</v>
      </c>
      <c r="W13" s="110" t="s">
        <v>277</v>
      </c>
      <c r="X13" s="110" t="s">
        <v>278</v>
      </c>
      <c r="Y13" s="110" t="s">
        <v>51</v>
      </c>
      <c r="Z13" s="110">
        <f>VLOOKUP(A13,对应信息!$D$2:$E$10,2,0)</f>
        <v>2000</v>
      </c>
      <c r="AA13" s="110">
        <f t="shared" si="0"/>
        <v>2001</v>
      </c>
      <c r="AB13" s="119" t="s">
        <v>288</v>
      </c>
    </row>
    <row r="14" ht="27" spans="1:28">
      <c r="A14" s="110" t="s">
        <v>222</v>
      </c>
      <c r="B14" s="110" t="s">
        <v>67</v>
      </c>
      <c r="C14" s="110"/>
      <c r="D14" s="110" t="str">
        <f>IF(L14="","",字段对应!$B$10&amp;"="&amp;VLOOKUP(L14,基础信息!$I$2:$J$6,2,0)&amp;";")&amp;IF(M14="","",字段对应!$B$11&amp;"="&amp;VLOOKUP(M14,基础信息!$K$2:$L$6,2,0)&amp;";")&amp;IF(N14="","",字段对应!$C$2&amp;"="&amp;N14&amp;","&amp;O14&amp;","&amp;P14&amp;";")&amp;IF(Q14="","",字段对应!$B$13&amp;"="&amp;Q14&amp;";")&amp;IF(R14="","",字段对应!$B$14&amp;"="&amp;R14&amp;";")&amp;IF(U14="","",字段对应!$B$22&amp;"="&amp;U14&amp;";")&amp;IF(K14="","",字段对应!$B$21&amp;"="&amp;VLOOKUP(K14,基础信息!$F$2:$G$4,2,0))</f>
        <v>PhotoMode=1;ScanSpeed=2;Slit1=2.0;</v>
      </c>
      <c r="E14" s="110" t="str">
        <f>IF(W14="","",检测项信息!W14&amp;":"&amp;字段对应!$B$16&amp;"|")&amp;IF(X14="","",X14&amp;":"&amp;IF(V14="是",字段对应!$C$17,字段对应!$B$17&amp;";"&amp;IF(H14="","",字段对应!$B$15&amp;"="&amp;检测项信息!H14))&amp;"|")&amp;IF(Y14="",":",Y14&amp;":")&amp;IF(V14="是",字段对应!$C$18,字段对应!$B$18&amp;";"&amp;IF(H14="","",字段对应!$B$15&amp;"="&amp;检测项信息!H14)&amp;IF(AND(T14="",S14=""),"",";"&amp;字段对应!$B$20&amp;"="&amp;T14&amp;";"&amp;字段对应!$B$19&amp;"="&amp;S14))</f>
        <v>黑挡块:Dark|空气:Zero;Wl=635,546,440|20%中性滤光片:Measure;Wl=635,546,440</v>
      </c>
      <c r="F14" s="110">
        <v>3</v>
      </c>
      <c r="G14" s="110">
        <v>1</v>
      </c>
      <c r="H14" s="110" t="s">
        <v>286</v>
      </c>
      <c r="I14" s="110" t="str">
        <f>VLOOKUP(J14,字段对应!$D$2:$E$8,2,0)</f>
        <v>Validation.ViewModel.DataStructure.WlPointsAndAverageUVTestTool</v>
      </c>
      <c r="J14" s="110" t="s">
        <v>287</v>
      </c>
      <c r="K14" s="115"/>
      <c r="L14" s="115" t="s">
        <v>181</v>
      </c>
      <c r="M14" s="115" t="s">
        <v>187</v>
      </c>
      <c r="N14" s="115"/>
      <c r="O14" s="115"/>
      <c r="P14" s="115"/>
      <c r="Q14" s="115"/>
      <c r="R14" s="115" t="s">
        <v>192</v>
      </c>
      <c r="S14" s="115"/>
      <c r="T14" s="115"/>
      <c r="U14" s="115"/>
      <c r="V14" s="110" t="s">
        <v>179</v>
      </c>
      <c r="W14" s="110" t="s">
        <v>277</v>
      </c>
      <c r="X14" s="110" t="s">
        <v>278</v>
      </c>
      <c r="Y14" s="110" t="s">
        <v>67</v>
      </c>
      <c r="Z14" s="110">
        <f>VLOOKUP(A14,对应信息!$D$2:$E$10,2,0)</f>
        <v>2000</v>
      </c>
      <c r="AA14" s="110">
        <f t="shared" si="0"/>
        <v>2002</v>
      </c>
      <c r="AB14" s="119" t="s">
        <v>289</v>
      </c>
    </row>
    <row r="15" ht="40.5" customHeight="1" spans="1:28">
      <c r="A15" s="110" t="s">
        <v>222</v>
      </c>
      <c r="B15" s="110" t="s">
        <v>81</v>
      </c>
      <c r="C15" s="110"/>
      <c r="D15" s="110" t="str">
        <f>IF(L15="","",字段对应!$B$10&amp;"="&amp;VLOOKUP(L15,基础信息!$I$2:$J$6,2,0)&amp;";")&amp;IF(M15="","",字段对应!$B$11&amp;"="&amp;VLOOKUP(M15,基础信息!$K$2:$L$6,2,0)&amp;";")&amp;IF(N15="","",字段对应!$C$2&amp;"="&amp;N15&amp;","&amp;O15&amp;","&amp;P15&amp;";")&amp;IF(Q15="","",字段对应!$B$13&amp;"="&amp;Q15&amp;";")&amp;IF(R15="","",字段对应!$B$14&amp;"="&amp;R15&amp;";")&amp;IF(U15="","",字段对应!$B$22&amp;"="&amp;U15&amp;";")&amp;IF(K15="","",字段对应!$B$21&amp;"="&amp;VLOOKUP(K15,基础信息!$F$2:$G$4,2,0))</f>
        <v>PhotoMode=1;ScanSpeed=2;Slit1=2.0;</v>
      </c>
      <c r="E15" s="110" t="str">
        <f>IF(W15="","",检测项信息!W15&amp;":"&amp;字段对应!$B$16&amp;"|")&amp;IF(X15="","",X15&amp;":"&amp;IF(V15="是",字段对应!$C$17,字段对应!$B$17&amp;";"&amp;IF(H15="","",字段对应!$B$15&amp;"="&amp;检测项信息!H15))&amp;"|")&amp;IF(Y15="",":",Y15&amp;":")&amp;IF(V15="是",字段对应!$C$18,字段对应!$B$18&amp;";"&amp;IF(H15="","",字段对应!$B$15&amp;"="&amp;检测项信息!H15)&amp;IF(AND(T15="",S15=""),"",";"&amp;字段对应!$B$20&amp;"="&amp;T15&amp;";"&amp;字段对应!$B$19&amp;"="&amp;S15))</f>
        <v>黑挡块:Dark|空气:Zero;Wl=635,546,440|30%中性滤光片:Measure;Wl=635,546,440</v>
      </c>
      <c r="F15" s="110">
        <v>3</v>
      </c>
      <c r="G15" s="110">
        <v>1</v>
      </c>
      <c r="H15" s="110" t="s">
        <v>286</v>
      </c>
      <c r="I15" s="110" t="str">
        <f>VLOOKUP(J15,字段对应!$D$2:$E$8,2,0)</f>
        <v>Validation.ViewModel.DataStructure.WlPointsAndAverageUVTestTool</v>
      </c>
      <c r="J15" s="110" t="s">
        <v>287</v>
      </c>
      <c r="K15" s="115"/>
      <c r="L15" s="115" t="s">
        <v>181</v>
      </c>
      <c r="M15" s="115" t="s">
        <v>187</v>
      </c>
      <c r="N15" s="115"/>
      <c r="O15" s="115"/>
      <c r="P15" s="115"/>
      <c r="Q15" s="115"/>
      <c r="R15" s="115" t="s">
        <v>192</v>
      </c>
      <c r="S15" s="115"/>
      <c r="T15" s="115"/>
      <c r="U15" s="115"/>
      <c r="V15" s="110" t="s">
        <v>179</v>
      </c>
      <c r="W15" s="110" t="s">
        <v>277</v>
      </c>
      <c r="X15" s="110" t="s">
        <v>278</v>
      </c>
      <c r="Y15" s="110" t="s">
        <v>81</v>
      </c>
      <c r="Z15" s="110">
        <f>VLOOKUP(A15,对应信息!$D$2:$E$10,2,0)</f>
        <v>2000</v>
      </c>
      <c r="AA15" s="110">
        <f t="shared" si="0"/>
        <v>2003</v>
      </c>
      <c r="AB15" s="119" t="s">
        <v>290</v>
      </c>
    </row>
    <row r="16" ht="54" spans="1:28">
      <c r="A16" s="110" t="s">
        <v>237</v>
      </c>
      <c r="B16" s="111" t="s">
        <v>237</v>
      </c>
      <c r="C16" s="110" t="s">
        <v>291</v>
      </c>
      <c r="D16" s="110" t="str">
        <f>IF(L16="","",字段对应!$B$10&amp;"="&amp;VLOOKUP(L16,基础信息!$I$2:$J$6,2,0)&amp;";")&amp;IF(M16="","",字段对应!$B$11&amp;"="&amp;VLOOKUP(M16,基础信息!$K$2:$L$6,2,0)&amp;";")&amp;IF(N16="","",字段对应!$C$2&amp;"="&amp;N16&amp;","&amp;O16&amp;","&amp;P16&amp;";")&amp;IF(Q16="","",字段对应!$B$13&amp;"="&amp;Q16&amp;";")&amp;IF(R16="","",字段对应!$B$14&amp;"="&amp;R16&amp;";")&amp;IF(U16="","",字段对应!$B$22&amp;"="&amp;U16&amp;";")&amp;IF(K16="","",字段对应!$B$21&amp;"="&amp;VLOOKUP(K16,基础信息!$F$2:$G$4,2,0))</f>
        <v>PhotoMode=1;ScanSpeed=2;Slit1=2.0;ResponseTime=0.5;</v>
      </c>
      <c r="E16" s="110" t="str">
        <f>IF(W16="","",检测项信息!W16&amp;":"&amp;字段对应!$B$16&amp;"|")&amp;IF(X16="","",X16&amp;":"&amp;IF(V16="是",字段对应!$C$17,字段对应!$B$17&amp;";"&amp;IF(H16="","",字段对应!$B$15&amp;"="&amp;检测项信息!H16))&amp;"|")&amp;IF(Y16="",":",Y16&amp;":")&amp;IF(V16="是",字段对应!$C$18,字段对应!$B$18&amp;";"&amp;IF(H16="","",字段对应!$B$15&amp;"="&amp;检测项信息!H16)&amp;IF(AND(T16="",S16=""),"",";"&amp;字段对应!$B$20&amp;"="&amp;T16&amp;";"&amp;字段对应!$B$19&amp;"="&amp;S16))</f>
        <v>黑挡块:Dark|空气:Zero;Wl=500|空气:Measure;Wl=500;totalcount=3600;timeinterval=1</v>
      </c>
      <c r="F16" s="110">
        <v>1</v>
      </c>
      <c r="G16" s="110"/>
      <c r="H16" s="110">
        <v>500</v>
      </c>
      <c r="I16" s="110" t="str">
        <f>VLOOKUP(J16,字段对应!$D$2:$E$8,2,0)</f>
        <v>Validation.ViewModel.DataStructure.FindMaxOffsetUVTestTool</v>
      </c>
      <c r="J16" s="110" t="s">
        <v>281</v>
      </c>
      <c r="K16" s="115"/>
      <c r="L16" s="115" t="s">
        <v>181</v>
      </c>
      <c r="M16" s="115" t="s">
        <v>187</v>
      </c>
      <c r="N16" s="115"/>
      <c r="O16" s="115"/>
      <c r="P16" s="115"/>
      <c r="Q16" s="115"/>
      <c r="R16" s="115" t="s">
        <v>192</v>
      </c>
      <c r="S16" s="115">
        <v>1</v>
      </c>
      <c r="T16" s="115">
        <v>3600</v>
      </c>
      <c r="U16" s="115">
        <v>0.5</v>
      </c>
      <c r="V16" s="110" t="s">
        <v>179</v>
      </c>
      <c r="W16" s="110" t="s">
        <v>277</v>
      </c>
      <c r="X16" s="110" t="s">
        <v>278</v>
      </c>
      <c r="Y16" s="110" t="s">
        <v>278</v>
      </c>
      <c r="Z16" s="110">
        <f>VLOOKUP(A16,对应信息!$D$2:$E$10,2,0)</f>
        <v>9000</v>
      </c>
      <c r="AA16" s="110">
        <f t="shared" si="0"/>
        <v>9001</v>
      </c>
      <c r="AB16" s="118"/>
    </row>
    <row r="22" customHeight="1" spans="5:5">
      <c r="E22" s="112"/>
    </row>
  </sheetData>
  <dataValidations count="9">
    <dataValidation type="list" allowBlank="1" showInputMessage="1" showErrorMessage="1" sqref="J$1:J$1048576">
      <formula1>字段对应!$D$2:$D$8</formula1>
    </dataValidation>
    <dataValidation type="list" allowBlank="1" showInputMessage="1" showErrorMessage="1" sqref="K$1:K$1048576">
      <formula1>基础信息!$F$2:$F$4</formula1>
    </dataValidation>
    <dataValidation type="list" allowBlank="1" showInputMessage="1" showErrorMessage="1" sqref="L$1:L$1048576">
      <formula1>基础信息!$I$2:$I$6</formula1>
    </dataValidation>
    <dataValidation type="list" allowBlank="1" showInputMessage="1" showErrorMessage="1" sqref="M$1:M$1048576">
      <formula1>基础信息!$K$2:$K$6</formula1>
    </dataValidation>
    <dataValidation type="list" allowBlank="1" showInputMessage="1" showErrorMessage="1" sqref="P$1:P$1048576">
      <formula1>基础信息!$M$2:$M$9</formula1>
    </dataValidation>
    <dataValidation type="list" allowBlank="1" showInputMessage="1" showErrorMessage="1" sqref="Q$1:Q$1048576">
      <formula1>基础信息!$Q$2:$Q$7</formula1>
    </dataValidation>
    <dataValidation type="list" allowBlank="1" showInputMessage="1" showErrorMessage="1" sqref="R$1:R$1048576">
      <formula1>基础信息!$P$2:$P$6</formula1>
    </dataValidation>
    <dataValidation type="list" allowBlank="1" showInputMessage="1" showErrorMessage="1" sqref="U$1:U$1048576">
      <formula1>基础信息!$R$2:$R$5</formula1>
    </dataValidation>
    <dataValidation type="list" allowBlank="1" showInputMessage="1" showErrorMessage="1" sqref="V$1:V$1048576">
      <formula1>基础信息!$E$2:$E$3</formula1>
    </dataValidation>
  </dataValidations>
  <pageMargins left="0.7" right="0.7" top="0.75" bottom="0.75" header="0.3" footer="0.3"/>
  <pageSetup paperSize="9" firstPageNumber="4294963191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RowColHeaders="0" workbookViewId="0">
      <pane topLeftCell="A1" activePane="topLeft"/>
      <selection activeCell="A1" sqref="A1"/>
    </sheetView>
  </sheetViews>
  <sheetFormatPr defaultColWidth="9" defaultRowHeight="14.25" customHeight="1" outlineLevelCol="4"/>
  <cols>
    <col min="1" max="1" width="22.6333333333333" style="1" customWidth="1"/>
    <col min="2" max="2" width="44.6333333333333" style="1" customWidth="1"/>
    <col min="3" max="3" width="22.6333333333333" style="1" customWidth="1"/>
    <col min="4" max="5" width="5.5" style="1" customWidth="1"/>
    <col min="6" max="9" width="22.6333333333333" style="1" customWidth="1"/>
    <col min="10" max="16384" width="9" style="1"/>
  </cols>
  <sheetData>
    <row r="1" customHeight="1" spans="1:5">
      <c r="A1" s="98" t="s">
        <v>292</v>
      </c>
      <c r="B1" s="98" t="s">
        <v>293</v>
      </c>
      <c r="C1" s="98" t="s">
        <v>294</v>
      </c>
      <c r="D1" s="98" t="s">
        <v>295</v>
      </c>
      <c r="E1" s="98" t="s">
        <v>296</v>
      </c>
    </row>
    <row r="2" customHeight="1" spans="1:5">
      <c r="A2" s="99" t="str">
        <f ca="1" t="shared" ref="A2:A11" si="0">MID(CELL("filename"),FIND("[",CELL("filename"),1)+1,FIND(".",CELL("filename"),1)-FIND("[",CELL("filename"),1)-1)</f>
        <v>T400Template</v>
      </c>
      <c r="B2" s="100" t="s">
        <v>297</v>
      </c>
      <c r="C2" s="101"/>
      <c r="D2" s="99"/>
      <c r="E2" s="99"/>
    </row>
    <row r="3" customHeight="1" spans="1:5">
      <c r="A3" s="99" t="str">
        <f ca="1" t="shared" si="0"/>
        <v>T400Template</v>
      </c>
      <c r="B3" s="102" t="s">
        <v>298</v>
      </c>
      <c r="C3" s="101"/>
      <c r="D3" s="99"/>
      <c r="E3" s="99"/>
    </row>
    <row r="4" customHeight="1" spans="1:5">
      <c r="A4" s="99" t="str">
        <f ca="1" t="shared" si="0"/>
        <v>T400Template</v>
      </c>
      <c r="B4" s="102" t="s">
        <v>299</v>
      </c>
      <c r="C4" s="101"/>
      <c r="D4" s="99"/>
      <c r="E4" s="99"/>
    </row>
    <row r="5" customHeight="1" spans="1:5">
      <c r="A5" s="99" t="str">
        <f ca="1" t="shared" si="0"/>
        <v>T400Template</v>
      </c>
      <c r="B5" s="102" t="s">
        <v>300</v>
      </c>
      <c r="C5" s="101"/>
      <c r="D5" s="99"/>
      <c r="E5" s="99"/>
    </row>
    <row r="6" customHeight="1" spans="1:5">
      <c r="A6" s="99" t="str">
        <f ca="1" t="shared" si="0"/>
        <v>T400Template</v>
      </c>
      <c r="B6" s="102" t="s">
        <v>301</v>
      </c>
      <c r="C6" s="101"/>
      <c r="D6" s="99"/>
      <c r="E6" s="99"/>
    </row>
    <row r="7" customHeight="1" spans="1:5">
      <c r="A7" s="99" t="str">
        <f ca="1" t="shared" si="0"/>
        <v>T400Template</v>
      </c>
      <c r="B7" s="102" t="s">
        <v>302</v>
      </c>
      <c r="C7" s="101"/>
      <c r="D7" s="99"/>
      <c r="E7" s="99"/>
    </row>
    <row r="8" customHeight="1" spans="1:5">
      <c r="A8" s="99" t="str">
        <f ca="1" t="shared" si="0"/>
        <v>T400Template</v>
      </c>
      <c r="B8" s="102" t="s">
        <v>303</v>
      </c>
      <c r="C8" s="101"/>
      <c r="D8" s="99"/>
      <c r="E8" s="99"/>
    </row>
    <row r="9" customHeight="1" spans="1:5">
      <c r="A9" s="99" t="str">
        <f ca="1" t="shared" si="0"/>
        <v>T400Template</v>
      </c>
      <c r="B9" s="102" t="s">
        <v>304</v>
      </c>
      <c r="C9" s="101"/>
      <c r="D9" s="99"/>
      <c r="E9" s="99"/>
    </row>
    <row r="10" customHeight="1" spans="1:5">
      <c r="A10" s="99" t="str">
        <f ca="1" t="shared" si="0"/>
        <v>T400Template</v>
      </c>
      <c r="B10" s="100" t="s">
        <v>305</v>
      </c>
      <c r="C10" s="101"/>
      <c r="D10" s="99">
        <v>3002</v>
      </c>
      <c r="E10" s="99">
        <v>3002</v>
      </c>
    </row>
    <row r="11" customHeight="1" spans="1:5">
      <c r="A11" s="99" t="str">
        <f ca="1" t="shared" si="0"/>
        <v>T400Template</v>
      </c>
      <c r="B11" s="103" t="s">
        <v>306</v>
      </c>
      <c r="C11" s="101"/>
      <c r="D11" s="99">
        <v>4001</v>
      </c>
      <c r="E11" s="99">
        <v>4001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showGridLines="0" showRowColHeaders="0" workbookViewId="0">
      <pane topLeftCell="A1" activePane="topLeft"/>
      <selection activeCell="A1" sqref="A1"/>
    </sheetView>
  </sheetViews>
  <sheetFormatPr defaultColWidth="9" defaultRowHeight="14.25" customHeight="1" outlineLevelCol="3"/>
  <cols>
    <col min="1" max="1" width="35.3833333333333" style="1" customWidth="1"/>
    <col min="2" max="2" width="27.5" style="1" customWidth="1"/>
    <col min="3" max="3" width="15.75" style="1" customWidth="1"/>
    <col min="4" max="4" width="20.25" style="1" customWidth="1"/>
    <col min="5" max="16384" width="9" style="1"/>
  </cols>
  <sheetData>
    <row r="1" customHeight="1" spans="1:4">
      <c r="A1" s="3" t="s">
        <v>307</v>
      </c>
      <c r="B1" s="3" t="s">
        <v>22</v>
      </c>
      <c r="C1" s="3" t="s">
        <v>160</v>
      </c>
      <c r="D1" s="53" t="s">
        <v>308</v>
      </c>
    </row>
    <row r="2" customHeight="1" spans="1:4">
      <c r="A2" s="94" t="s">
        <v>222</v>
      </c>
      <c r="B2" s="58" t="s">
        <v>51</v>
      </c>
      <c r="C2" s="59" t="s">
        <v>223</v>
      </c>
      <c r="D2" s="59">
        <v>7.57</v>
      </c>
    </row>
    <row r="3" customHeight="1" spans="1:4">
      <c r="A3" s="95"/>
      <c r="B3" s="63"/>
      <c r="C3" s="59" t="s">
        <v>224</v>
      </c>
      <c r="D3" s="59">
        <v>10.1</v>
      </c>
    </row>
    <row r="4" customHeight="1" spans="1:4">
      <c r="A4" s="95"/>
      <c r="B4" s="64"/>
      <c r="C4" s="59" t="s">
        <v>225</v>
      </c>
      <c r="D4" s="59">
        <v>10.07</v>
      </c>
    </row>
    <row r="5" customHeight="1" spans="1:4">
      <c r="A5" s="95"/>
      <c r="B5" s="58" t="s">
        <v>67</v>
      </c>
      <c r="C5" s="59" t="s">
        <v>223</v>
      </c>
      <c r="D5" s="59">
        <v>18.98</v>
      </c>
    </row>
    <row r="6" customHeight="1" spans="1:4">
      <c r="A6" s="95"/>
      <c r="B6" s="63"/>
      <c r="C6" s="59" t="s">
        <v>224</v>
      </c>
      <c r="D6" s="59">
        <v>20.09</v>
      </c>
    </row>
    <row r="7" customHeight="1" spans="1:4">
      <c r="A7" s="95"/>
      <c r="B7" s="64"/>
      <c r="C7" s="59" t="s">
        <v>225</v>
      </c>
      <c r="D7" s="59">
        <v>20.91</v>
      </c>
    </row>
    <row r="8" customHeight="1" spans="1:4">
      <c r="A8" s="95"/>
      <c r="B8" s="96" t="s">
        <v>81</v>
      </c>
      <c r="C8" s="59" t="s">
        <v>223</v>
      </c>
      <c r="D8" s="59">
        <v>29.96</v>
      </c>
    </row>
    <row r="9" customHeight="1" spans="1:4">
      <c r="A9" s="95"/>
      <c r="B9" s="63"/>
      <c r="C9" s="59" t="s">
        <v>224</v>
      </c>
      <c r="D9" s="59">
        <v>30.43</v>
      </c>
    </row>
    <row r="10" customHeight="1" spans="1:4">
      <c r="A10" s="95"/>
      <c r="B10" s="63"/>
      <c r="C10" s="59" t="s">
        <v>225</v>
      </c>
      <c r="D10" s="59">
        <v>28.88</v>
      </c>
    </row>
    <row r="11" customHeight="1" spans="1:4">
      <c r="A11" s="76" t="s">
        <v>221</v>
      </c>
      <c r="B11" s="71" t="s">
        <v>23</v>
      </c>
      <c r="C11" s="72" t="s">
        <v>26</v>
      </c>
      <c r="D11" s="72"/>
    </row>
    <row r="12" customHeight="1" spans="1:4">
      <c r="A12" s="77"/>
      <c r="B12" s="76" t="s">
        <v>24</v>
      </c>
      <c r="C12" s="72" t="s">
        <v>27</v>
      </c>
      <c r="D12" s="72"/>
    </row>
    <row r="13" customHeight="1" spans="1:4">
      <c r="A13" s="77"/>
      <c r="B13" s="77"/>
      <c r="C13" s="72" t="s">
        <v>28</v>
      </c>
      <c r="D13" s="72"/>
    </row>
    <row r="14" customHeight="1" spans="1:4">
      <c r="A14" s="77"/>
      <c r="B14" s="77"/>
      <c r="C14" s="72" t="s">
        <v>29</v>
      </c>
      <c r="D14" s="72"/>
    </row>
    <row r="15" customHeight="1" spans="1:4">
      <c r="A15" s="78"/>
      <c r="B15" s="78"/>
      <c r="C15" s="72" t="s">
        <v>30</v>
      </c>
      <c r="D15" s="72"/>
    </row>
    <row r="17" customHeight="1" spans="1:4">
      <c r="A17" s="97" t="s">
        <v>309</v>
      </c>
      <c r="B17" s="97"/>
      <c r="C17" s="97"/>
      <c r="D17" s="97"/>
    </row>
  </sheetData>
  <mergeCells count="7">
    <mergeCell ref="A17:D17"/>
    <mergeCell ref="A2:A10"/>
    <mergeCell ref="A11:A15"/>
    <mergeCell ref="B2:B4"/>
    <mergeCell ref="B5:B7"/>
    <mergeCell ref="B8:B10"/>
    <mergeCell ref="B12:B15"/>
  </mergeCells>
  <pageMargins left="0.7" right="0.7" top="0.75" bottom="0.75" header="0.3" footer="0.3"/>
  <pageSetup paperSize="1" firstPageNumber="4294963191" orientation="portrait" useFirstPageNumber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showRowColHeaders="0" workbookViewId="0">
      <pane topLeftCell="A1" activePane="topLeft"/>
      <selection activeCell="A1" sqref="A1"/>
    </sheetView>
  </sheetViews>
  <sheetFormatPr defaultColWidth="9" defaultRowHeight="14.25" customHeight="1" outlineLevelCol="4"/>
  <cols>
    <col min="1" max="2" width="16.1333333333333" style="1" customWidth="1"/>
    <col min="3" max="3" width="9" style="1"/>
    <col min="4" max="4" width="13.8833333333333" style="1" customWidth="1"/>
    <col min="5" max="5" width="69.8833333333333" style="1" customWidth="1"/>
    <col min="6" max="16384" width="9" style="1"/>
  </cols>
  <sheetData>
    <row r="1" customHeight="1" spans="1:5">
      <c r="A1" s="10" t="s">
        <v>310</v>
      </c>
      <c r="B1" s="10" t="s">
        <v>311</v>
      </c>
      <c r="D1" s="10" t="s">
        <v>312</v>
      </c>
      <c r="E1" s="10" t="s">
        <v>313</v>
      </c>
    </row>
    <row r="2" customHeight="1" spans="1:5">
      <c r="A2" s="90" t="s">
        <v>267</v>
      </c>
      <c r="B2" s="90" t="s">
        <v>314</v>
      </c>
      <c r="C2" s="90" t="s">
        <v>315</v>
      </c>
      <c r="D2" s="91" t="s">
        <v>276</v>
      </c>
      <c r="E2" s="92" t="s">
        <v>316</v>
      </c>
    </row>
    <row r="3" customHeight="1" spans="1:5">
      <c r="A3" s="90" t="s">
        <v>268</v>
      </c>
      <c r="B3" s="90" t="s">
        <v>317</v>
      </c>
      <c r="D3" s="90" t="s">
        <v>287</v>
      </c>
      <c r="E3" s="92" t="s">
        <v>318</v>
      </c>
    </row>
    <row r="4" customHeight="1" spans="1:5">
      <c r="A4" s="90" t="s">
        <v>168</v>
      </c>
      <c r="B4" s="90" t="s">
        <v>319</v>
      </c>
      <c r="D4" s="91" t="s">
        <v>284</v>
      </c>
      <c r="E4" s="92" t="s">
        <v>320</v>
      </c>
    </row>
    <row r="5" customHeight="1" spans="1:5">
      <c r="A5" s="90" t="s">
        <v>264</v>
      </c>
      <c r="B5" s="90" t="s">
        <v>321</v>
      </c>
      <c r="D5" s="91" t="s">
        <v>281</v>
      </c>
      <c r="E5" s="92" t="s">
        <v>322</v>
      </c>
    </row>
    <row r="6" customHeight="1" spans="1:5">
      <c r="A6" s="90" t="s">
        <v>262</v>
      </c>
      <c r="B6" s="90" t="s">
        <v>323</v>
      </c>
      <c r="D6" s="91" t="s">
        <v>324</v>
      </c>
      <c r="E6" s="92" t="s">
        <v>325</v>
      </c>
    </row>
    <row r="7" customHeight="1" spans="1:5">
      <c r="A7" s="90" t="s">
        <v>263</v>
      </c>
      <c r="B7" s="90" t="s">
        <v>326</v>
      </c>
      <c r="D7" s="93" t="s">
        <v>280</v>
      </c>
      <c r="E7" s="92" t="s">
        <v>327</v>
      </c>
    </row>
    <row r="8" customHeight="1" spans="1:5">
      <c r="A8" s="90" t="s">
        <v>328</v>
      </c>
      <c r="B8" s="90" t="s">
        <v>329</v>
      </c>
      <c r="D8" s="91" t="s">
        <v>330</v>
      </c>
      <c r="E8" s="92" t="s">
        <v>331</v>
      </c>
    </row>
    <row r="9" customHeight="1" spans="1:2">
      <c r="A9" s="90" t="s">
        <v>260</v>
      </c>
      <c r="B9" s="90" t="s">
        <v>332</v>
      </c>
    </row>
    <row r="10" customHeight="1" spans="1:2">
      <c r="A10" s="90" t="s">
        <v>266</v>
      </c>
      <c r="B10" s="90" t="s">
        <v>333</v>
      </c>
    </row>
    <row r="11" customHeight="1" spans="1:2">
      <c r="A11" s="90" t="s">
        <v>166</v>
      </c>
      <c r="B11" s="90" t="s">
        <v>334</v>
      </c>
    </row>
    <row r="12" customHeight="1" spans="1:2">
      <c r="A12" s="90" t="s">
        <v>269</v>
      </c>
      <c r="B12" s="90" t="s">
        <v>335</v>
      </c>
    </row>
    <row r="13" customHeight="1" spans="1:2">
      <c r="A13" s="90" t="s">
        <v>171</v>
      </c>
      <c r="B13" s="90" t="s">
        <v>336</v>
      </c>
    </row>
    <row r="14" customHeight="1" spans="1:2">
      <c r="A14" s="90" t="s">
        <v>270</v>
      </c>
      <c r="B14" s="90" t="s">
        <v>337</v>
      </c>
    </row>
    <row r="15" customHeight="1" spans="1:2">
      <c r="A15" s="90" t="s">
        <v>160</v>
      </c>
      <c r="B15" s="90" t="s">
        <v>338</v>
      </c>
    </row>
    <row r="16" customHeight="1" spans="1:2">
      <c r="A16" s="90" t="s">
        <v>339</v>
      </c>
      <c r="B16" s="90" t="s">
        <v>340</v>
      </c>
    </row>
    <row r="17" customHeight="1" spans="1:3">
      <c r="A17" s="90" t="s">
        <v>341</v>
      </c>
      <c r="B17" s="90" t="s">
        <v>342</v>
      </c>
      <c r="C17" s="90" t="s">
        <v>343</v>
      </c>
    </row>
    <row r="18" customHeight="1" spans="1:3">
      <c r="A18" s="90" t="s">
        <v>344</v>
      </c>
      <c r="B18" s="90" t="s">
        <v>345</v>
      </c>
      <c r="C18" s="90" t="s">
        <v>346</v>
      </c>
    </row>
    <row r="19" customHeight="1" spans="1:2">
      <c r="A19" s="90" t="s">
        <v>271</v>
      </c>
      <c r="B19" s="92" t="s">
        <v>347</v>
      </c>
    </row>
    <row r="20" customHeight="1" spans="1:4">
      <c r="A20" s="90" t="s">
        <v>272</v>
      </c>
      <c r="B20" s="90" t="s">
        <v>348</v>
      </c>
      <c r="D20" s="90"/>
    </row>
    <row r="21" customHeight="1" spans="1:2">
      <c r="A21" s="90" t="s">
        <v>163</v>
      </c>
      <c r="B21" s="92" t="s">
        <v>349</v>
      </c>
    </row>
    <row r="22" customHeight="1" spans="1:2">
      <c r="A22" s="90" t="s">
        <v>172</v>
      </c>
      <c r="B22" s="92" t="s">
        <v>350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showGridLines="0" showRowColHeaders="0" workbookViewId="0">
      <pane topLeftCell="A1" activePane="topLeft"/>
      <selection activeCell="E7" sqref="E7"/>
    </sheetView>
  </sheetViews>
  <sheetFormatPr defaultColWidth="9" defaultRowHeight="14.25" customHeight="1"/>
  <cols>
    <col min="1" max="1" width="11.5" style="38" customWidth="1"/>
    <col min="2" max="2" width="7.75" style="38" customWidth="1"/>
    <col min="3" max="5" width="8.5" style="38" customWidth="1"/>
    <col min="6" max="6" width="8.5" style="40" customWidth="1"/>
    <col min="7" max="7" width="8.5" style="66" customWidth="1"/>
    <col min="8" max="8" width="7.75" style="40" customWidth="1"/>
    <col min="9" max="9" width="9.75" style="38" customWidth="1"/>
    <col min="10" max="10" width="7.38333333333333" style="38" customWidth="1"/>
    <col min="11" max="11" width="10" style="38" customWidth="1"/>
    <col min="12" max="12" width="10.5" style="67" customWidth="1"/>
    <col min="13" max="13" width="9" style="38"/>
    <col min="14" max="14" width="6.63333333333333" style="38" customWidth="1"/>
    <col min="15" max="16384" width="9" style="38"/>
  </cols>
  <sheetData>
    <row r="1" ht="25.5" spans="1:11">
      <c r="A1" s="3" t="s">
        <v>260</v>
      </c>
      <c r="B1" s="3" t="s">
        <v>351</v>
      </c>
      <c r="C1" s="68" t="s">
        <v>31</v>
      </c>
      <c r="D1" s="69"/>
      <c r="E1" s="70"/>
      <c r="F1" s="53" t="s">
        <v>352</v>
      </c>
      <c r="G1" s="57" t="s">
        <v>353</v>
      </c>
      <c r="H1" s="53" t="s">
        <v>354</v>
      </c>
      <c r="I1" s="5" t="s">
        <v>355</v>
      </c>
      <c r="J1" s="84" t="s">
        <v>219</v>
      </c>
      <c r="K1" s="85" t="s">
        <v>211</v>
      </c>
    </row>
    <row r="2" ht="15" customHeight="1" spans="1:14">
      <c r="A2" s="71" t="s">
        <v>23</v>
      </c>
      <c r="B2" s="72" t="str">
        <f>标准值!C11</f>
        <v>807.4</v>
      </c>
      <c r="C2" s="60">
        <v>806.2</v>
      </c>
      <c r="D2" s="60">
        <v>806.2</v>
      </c>
      <c r="E2" s="60">
        <v>806.2</v>
      </c>
      <c r="F2" s="73">
        <f t="shared" ref="F2:F6" si="0">IFERROR(AVERAGE(C2:E2),"")</f>
        <v>806.2</v>
      </c>
      <c r="G2" s="74">
        <f t="shared" ref="G2:G6" si="1">IFERROR(F2-B2,"")</f>
        <v>-1.19999999999982</v>
      </c>
      <c r="H2" s="75">
        <f t="shared" ref="H2:H6" si="2">MAX(C2:E2)-MIN(C2:E2)</f>
        <v>0</v>
      </c>
      <c r="I2" s="75">
        <v>1.4</v>
      </c>
      <c r="J2" s="10">
        <v>0.4</v>
      </c>
      <c r="K2" s="10" t="str">
        <f t="shared" ref="K2:K6" si="3">IF(C2="","不合格",IF(D2="","不合格",IF(E2="","不合格",IF(AND(ROUND(ABS(G2),1)&lt;=ROUND(ABS(I2),1),ROUND(H2,1)&lt;=ROUND(J2,1)),"合格","不合格"))))</f>
        <v>合格</v>
      </c>
      <c r="L2" s="38"/>
      <c r="N2" s="86"/>
    </row>
    <row r="3" ht="12" customHeight="1" spans="1:12">
      <c r="A3" s="76" t="s">
        <v>24</v>
      </c>
      <c r="B3" s="72" t="str">
        <f>标准值!C12</f>
        <v>640.7</v>
      </c>
      <c r="C3" s="60">
        <v>639.6</v>
      </c>
      <c r="D3" s="60">
        <v>639.6</v>
      </c>
      <c r="E3" s="60">
        <v>639.6</v>
      </c>
      <c r="F3" s="73">
        <f t="shared" si="0"/>
        <v>639.6</v>
      </c>
      <c r="G3" s="74">
        <f t="shared" si="1"/>
        <v>-1.10000000000002</v>
      </c>
      <c r="H3" s="75">
        <f t="shared" si="2"/>
        <v>0</v>
      </c>
      <c r="I3" s="75">
        <v>1.4</v>
      </c>
      <c r="J3" s="10">
        <v>0.4</v>
      </c>
      <c r="K3" s="10" t="str">
        <f t="shared" si="3"/>
        <v>合格</v>
      </c>
      <c r="L3" s="87"/>
    </row>
    <row r="4" customHeight="1" spans="1:14">
      <c r="A4" s="77"/>
      <c r="B4" s="72" t="str">
        <f>标准值!C13</f>
        <v>536.8</v>
      </c>
      <c r="C4" s="60">
        <v>535.4</v>
      </c>
      <c r="D4" s="60">
        <v>535.4</v>
      </c>
      <c r="E4" s="60">
        <v>535.4</v>
      </c>
      <c r="F4" s="73">
        <f t="shared" si="0"/>
        <v>535.4</v>
      </c>
      <c r="G4" s="74">
        <f t="shared" si="1"/>
        <v>-1.39999999999998</v>
      </c>
      <c r="H4" s="75">
        <f t="shared" si="2"/>
        <v>0</v>
      </c>
      <c r="I4" s="75">
        <v>1.4</v>
      </c>
      <c r="J4" s="10">
        <v>0.4</v>
      </c>
      <c r="K4" s="10" t="str">
        <f t="shared" si="3"/>
        <v>合格</v>
      </c>
      <c r="L4" s="87"/>
      <c r="N4" s="88"/>
    </row>
    <row r="5" customHeight="1" spans="1:12">
      <c r="A5" s="77"/>
      <c r="B5" s="72" t="str">
        <f>标准值!C14</f>
        <v>416.5</v>
      </c>
      <c r="C5" s="60">
        <v>415.2</v>
      </c>
      <c r="D5" s="60">
        <v>415.2</v>
      </c>
      <c r="E5" s="60">
        <v>415.2</v>
      </c>
      <c r="F5" s="73">
        <f t="shared" si="0"/>
        <v>415.2</v>
      </c>
      <c r="G5" s="74">
        <f t="shared" si="1"/>
        <v>-1.30000000000001</v>
      </c>
      <c r="H5" s="75">
        <f t="shared" si="2"/>
        <v>0</v>
      </c>
      <c r="I5" s="75">
        <v>1.4</v>
      </c>
      <c r="J5" s="10">
        <v>0.4</v>
      </c>
      <c r="K5" s="10" t="str">
        <f t="shared" si="3"/>
        <v>合格</v>
      </c>
      <c r="L5" s="87"/>
    </row>
    <row r="6" ht="15" customHeight="1" spans="1:12">
      <c r="A6" s="78"/>
      <c r="B6" s="72" t="str">
        <f>标准值!C15</f>
        <v>361.0</v>
      </c>
      <c r="C6" s="60">
        <v>360</v>
      </c>
      <c r="D6" s="60">
        <v>360</v>
      </c>
      <c r="E6" s="60">
        <v>360</v>
      </c>
      <c r="F6" s="73">
        <f t="shared" si="0"/>
        <v>360</v>
      </c>
      <c r="G6" s="74">
        <f t="shared" si="1"/>
        <v>-1</v>
      </c>
      <c r="H6" s="75">
        <f t="shared" si="2"/>
        <v>0</v>
      </c>
      <c r="I6" s="75">
        <v>1.4</v>
      </c>
      <c r="J6" s="10">
        <v>0.4</v>
      </c>
      <c r="K6" s="10" t="str">
        <f t="shared" si="3"/>
        <v>合格</v>
      </c>
      <c r="L6" s="87"/>
    </row>
    <row r="7" ht="15" customHeight="1" spans="1:12">
      <c r="A7" s="79"/>
      <c r="B7" s="80"/>
      <c r="C7" s="81"/>
      <c r="D7" s="82"/>
      <c r="E7" s="82"/>
      <c r="F7" s="82"/>
      <c r="G7" s="83"/>
      <c r="H7" s="82"/>
      <c r="I7" s="82"/>
      <c r="J7" s="89"/>
      <c r="K7" s="49"/>
      <c r="L7" s="87"/>
    </row>
    <row r="8" customHeight="1" spans="12:12">
      <c r="L8" s="38"/>
    </row>
    <row r="9" customHeight="1" spans="12:12">
      <c r="L9" s="38"/>
    </row>
    <row r="10" customHeight="1" spans="12:12">
      <c r="L10" s="38"/>
    </row>
    <row r="11" customHeight="1" spans="12:12">
      <c r="L11" s="38"/>
    </row>
    <row r="12" customHeight="1" spans="12:12">
      <c r="L12" s="38"/>
    </row>
    <row r="13" customHeight="1" spans="12:12">
      <c r="L13" s="38"/>
    </row>
    <row r="14" customHeight="1" spans="12:12">
      <c r="L14" s="38"/>
    </row>
    <row r="15" customHeight="1" spans="12:12">
      <c r="L15" s="38"/>
    </row>
  </sheetData>
  <mergeCells count="2">
    <mergeCell ref="C1:E1"/>
    <mergeCell ref="A3:A6"/>
  </mergeCells>
  <conditionalFormatting sqref="K2:K7">
    <cfRule type="cellIs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showGridLines="0" showRowColHeaders="0" workbookViewId="0">
      <pane topLeftCell="A1" activePane="topLeft"/>
      <selection activeCell="A1" sqref="A1"/>
    </sheetView>
  </sheetViews>
  <sheetFormatPr defaultColWidth="9" defaultRowHeight="14.25" customHeight="1"/>
  <cols>
    <col min="1" max="1" width="13.3833333333333" style="38" customWidth="1"/>
    <col min="2" max="2" width="7.25" style="49" customWidth="1"/>
    <col min="3" max="3" width="7.25" style="40" customWidth="1"/>
    <col min="4" max="6" width="7.88333333333333" style="50" customWidth="1"/>
    <col min="7" max="7" width="8.75" style="51" customWidth="1"/>
    <col min="8" max="8" width="7.88333333333333" style="52" customWidth="1"/>
    <col min="9" max="9" width="7.25" style="40" customWidth="1"/>
    <col min="10" max="11" width="7.25" style="38" customWidth="1"/>
    <col min="12" max="12" width="10" style="38" customWidth="1"/>
    <col min="13" max="13" width="9" style="38"/>
    <col min="14" max="14" width="14.3833333333333" style="38" customWidth="1"/>
    <col min="15" max="20" width="9" style="38"/>
    <col min="21" max="21" width="16.1333333333333" style="38" customWidth="1"/>
    <col min="22" max="22" width="13.8833333333333" style="38" customWidth="1"/>
    <col min="23" max="16384" width="9" style="38"/>
  </cols>
  <sheetData>
    <row r="1" ht="38.25" spans="1:12">
      <c r="A1" s="3" t="s">
        <v>260</v>
      </c>
      <c r="B1" s="3" t="s">
        <v>356</v>
      </c>
      <c r="C1" s="53" t="s">
        <v>308</v>
      </c>
      <c r="D1" s="54" t="s">
        <v>110</v>
      </c>
      <c r="E1" s="55"/>
      <c r="F1" s="56"/>
      <c r="G1" s="53" t="s">
        <v>357</v>
      </c>
      <c r="H1" s="57" t="s">
        <v>358</v>
      </c>
      <c r="I1" s="53" t="s">
        <v>359</v>
      </c>
      <c r="J1" s="5" t="s">
        <v>360</v>
      </c>
      <c r="K1" s="5" t="s">
        <v>361</v>
      </c>
      <c r="L1" s="3" t="s">
        <v>211</v>
      </c>
    </row>
    <row r="2" customHeight="1" spans="1:12">
      <c r="A2" s="58" t="s">
        <v>51</v>
      </c>
      <c r="B2" s="59">
        <v>635</v>
      </c>
      <c r="C2" s="59">
        <f>标准值!D2</f>
        <v>7.57</v>
      </c>
      <c r="D2" s="60">
        <v>7.29742007588235</v>
      </c>
      <c r="E2" s="60">
        <v>7.29925990755158</v>
      </c>
      <c r="F2" s="60">
        <v>7.29982208214226</v>
      </c>
      <c r="G2" s="61">
        <f t="shared" ref="G2:G10" si="0">IFERROR(AVERAGE(D2:F2),"")</f>
        <v>7.29883402185873</v>
      </c>
      <c r="H2" s="62">
        <f t="shared" ref="H2:H10" si="1">IFERROR(G2-C2,"")</f>
        <v>-0.27116597814127</v>
      </c>
      <c r="I2" s="65">
        <f t="shared" ref="I2:I10" si="2">MAX(ROUND(D2,2),ROUND(E2,2),ROUND(F2,2))-MIN(ROUND(D2,2),ROUND(E2,2),ROUND(F2,2))</f>
        <v>0</v>
      </c>
      <c r="J2" s="17">
        <v>0.3</v>
      </c>
      <c r="K2" s="17">
        <v>0.15</v>
      </c>
      <c r="L2" s="10" t="str">
        <f t="shared" ref="L2:L10" si="3">IF(D2="","不合格",IF(E2="","不合格",IF(F2="","不合格",IF(AND(ROUND(ABS(H2),2)&lt;=ROUND(ABS(J2),2),ROUND(I2,2)&lt;=ROUND(K2,2)),"合格","不合格"))))</f>
        <v>合格</v>
      </c>
    </row>
    <row r="3" ht="15" customHeight="1" spans="1:12">
      <c r="A3" s="63"/>
      <c r="B3" s="59">
        <v>546</v>
      </c>
      <c r="C3" s="59">
        <f>标准值!D3</f>
        <v>10.1</v>
      </c>
      <c r="D3" s="60">
        <v>9.83221359541109</v>
      </c>
      <c r="E3" s="60">
        <v>9.83398524394184</v>
      </c>
      <c r="F3" s="60">
        <v>9.83463795259258</v>
      </c>
      <c r="G3" s="61">
        <f t="shared" si="0"/>
        <v>9.83361226398184</v>
      </c>
      <c r="H3" s="62">
        <f t="shared" si="1"/>
        <v>-0.266387736018164</v>
      </c>
      <c r="I3" s="65">
        <f t="shared" si="2"/>
        <v>0</v>
      </c>
      <c r="J3" s="17">
        <v>0.3</v>
      </c>
      <c r="K3" s="17">
        <v>0.15</v>
      </c>
      <c r="L3" s="10" t="str">
        <f t="shared" si="3"/>
        <v>合格</v>
      </c>
    </row>
    <row r="4" ht="15" customHeight="1" spans="1:12">
      <c r="A4" s="64"/>
      <c r="B4" s="59">
        <v>440</v>
      </c>
      <c r="C4" s="59">
        <f>标准值!D4</f>
        <v>10.07</v>
      </c>
      <c r="D4" s="60">
        <v>9.94682355011937</v>
      </c>
      <c r="E4" s="60">
        <v>9.94796654430419</v>
      </c>
      <c r="F4" s="60">
        <v>9.94740912012204</v>
      </c>
      <c r="G4" s="61">
        <f t="shared" si="0"/>
        <v>9.94739973818187</v>
      </c>
      <c r="H4" s="62">
        <f t="shared" si="1"/>
        <v>-0.122600261818134</v>
      </c>
      <c r="I4" s="65">
        <f t="shared" si="2"/>
        <v>0</v>
      </c>
      <c r="J4" s="17">
        <v>0.3</v>
      </c>
      <c r="K4" s="17">
        <v>0.15</v>
      </c>
      <c r="L4" s="10" t="str">
        <f t="shared" si="3"/>
        <v>合格</v>
      </c>
    </row>
    <row r="5" ht="15" customHeight="1" spans="1:12">
      <c r="A5" s="58" t="s">
        <v>67</v>
      </c>
      <c r="B5" s="59">
        <v>635</v>
      </c>
      <c r="C5" s="59">
        <f>标准值!D5</f>
        <v>18.98</v>
      </c>
      <c r="D5" s="60">
        <v>18.9461760076849</v>
      </c>
      <c r="E5" s="60">
        <v>18.9489095945607</v>
      </c>
      <c r="F5" s="60">
        <v>18.9511559364838</v>
      </c>
      <c r="G5" s="61">
        <f t="shared" si="0"/>
        <v>18.9487471795765</v>
      </c>
      <c r="H5" s="62">
        <f t="shared" si="1"/>
        <v>-0.0312528204235321</v>
      </c>
      <c r="I5" s="65">
        <f t="shared" si="2"/>
        <v>0</v>
      </c>
      <c r="J5" s="17">
        <v>0.3</v>
      </c>
      <c r="K5" s="17">
        <v>0.15</v>
      </c>
      <c r="L5" s="10" t="str">
        <f t="shared" si="3"/>
        <v>合格</v>
      </c>
    </row>
    <row r="6" ht="15" customHeight="1" spans="1:12">
      <c r="A6" s="63"/>
      <c r="B6" s="59">
        <v>546</v>
      </c>
      <c r="C6" s="59">
        <f>标准值!D6</f>
        <v>20.09</v>
      </c>
      <c r="D6" s="60">
        <v>20.0701593208945</v>
      </c>
      <c r="E6" s="60">
        <v>20.0732339881917</v>
      </c>
      <c r="F6" s="60">
        <v>20.0761278174421</v>
      </c>
      <c r="G6" s="61">
        <f t="shared" si="0"/>
        <v>20.0731737088428</v>
      </c>
      <c r="H6" s="62">
        <f t="shared" si="1"/>
        <v>-0.0168262911572334</v>
      </c>
      <c r="I6" s="65">
        <f t="shared" si="2"/>
        <v>0.00999999999999801</v>
      </c>
      <c r="J6" s="17">
        <v>0.3</v>
      </c>
      <c r="K6" s="17">
        <v>0.15</v>
      </c>
      <c r="L6" s="10" t="str">
        <f t="shared" si="3"/>
        <v>合格</v>
      </c>
    </row>
    <row r="7" customHeight="1" spans="1:12">
      <c r="A7" s="64"/>
      <c r="B7" s="59">
        <v>440</v>
      </c>
      <c r="C7" s="59">
        <f>标准值!D7</f>
        <v>20.91</v>
      </c>
      <c r="D7" s="60">
        <v>20.945799070759</v>
      </c>
      <c r="E7" s="60">
        <v>20.9485311361974</v>
      </c>
      <c r="F7" s="60">
        <v>20.9533187203987</v>
      </c>
      <c r="G7" s="61">
        <f t="shared" si="0"/>
        <v>20.9492163091184</v>
      </c>
      <c r="H7" s="62">
        <f t="shared" si="1"/>
        <v>0.0392163091183662</v>
      </c>
      <c r="I7" s="65">
        <f t="shared" si="2"/>
        <v>0</v>
      </c>
      <c r="J7" s="17">
        <v>0.3</v>
      </c>
      <c r="K7" s="17">
        <v>0.15</v>
      </c>
      <c r="L7" s="10" t="str">
        <f t="shared" si="3"/>
        <v>合格</v>
      </c>
    </row>
    <row r="8" customHeight="1" spans="1:12">
      <c r="A8" s="58" t="s">
        <v>81</v>
      </c>
      <c r="B8" s="59">
        <v>635</v>
      </c>
      <c r="C8" s="59">
        <f>标准值!D8</f>
        <v>29.96</v>
      </c>
      <c r="D8" s="60">
        <v>29.8586153809994</v>
      </c>
      <c r="E8" s="60">
        <v>29.8613286565418</v>
      </c>
      <c r="F8" s="60">
        <v>29.865978588204</v>
      </c>
      <c r="G8" s="61">
        <f t="shared" si="0"/>
        <v>29.8619742085817</v>
      </c>
      <c r="H8" s="62">
        <f t="shared" si="1"/>
        <v>-0.0980257914182694</v>
      </c>
      <c r="I8" s="65">
        <f t="shared" si="2"/>
        <v>0.0100000000000016</v>
      </c>
      <c r="J8" s="17">
        <v>0.3</v>
      </c>
      <c r="K8" s="17">
        <v>0.15</v>
      </c>
      <c r="L8" s="10" t="str">
        <f t="shared" si="3"/>
        <v>合格</v>
      </c>
    </row>
    <row r="9" customHeight="1" spans="1:12">
      <c r="A9" s="63"/>
      <c r="B9" s="59">
        <v>546</v>
      </c>
      <c r="C9" s="59">
        <f>标准值!D9</f>
        <v>30.43</v>
      </c>
      <c r="D9" s="60">
        <v>30.3158819007534</v>
      </c>
      <c r="E9" s="60">
        <v>30.319652780347</v>
      </c>
      <c r="F9" s="60">
        <v>30.3242413794019</v>
      </c>
      <c r="G9" s="61">
        <f t="shared" si="0"/>
        <v>30.3199253535008</v>
      </c>
      <c r="H9" s="62">
        <f t="shared" si="1"/>
        <v>-0.110074646499235</v>
      </c>
      <c r="I9" s="65">
        <f t="shared" si="2"/>
        <v>0</v>
      </c>
      <c r="J9" s="17">
        <v>0.3</v>
      </c>
      <c r="K9" s="17">
        <v>0.15</v>
      </c>
      <c r="L9" s="10" t="str">
        <f t="shared" si="3"/>
        <v>合格</v>
      </c>
    </row>
    <row r="10" customHeight="1" spans="1:12">
      <c r="A10" s="64"/>
      <c r="B10" s="59">
        <v>440</v>
      </c>
      <c r="C10" s="59">
        <f>标准值!D10</f>
        <v>28.88</v>
      </c>
      <c r="D10" s="60">
        <v>28.8917925070482</v>
      </c>
      <c r="E10" s="60">
        <v>28.8974541668591</v>
      </c>
      <c r="F10" s="60">
        <v>28.9018231532849</v>
      </c>
      <c r="G10" s="61">
        <f t="shared" si="0"/>
        <v>28.8970232757307</v>
      </c>
      <c r="H10" s="62">
        <f t="shared" si="1"/>
        <v>0.0170232757307325</v>
      </c>
      <c r="I10" s="65">
        <f t="shared" si="2"/>
        <v>0.00999999999999801</v>
      </c>
      <c r="J10" s="17">
        <v>0.3</v>
      </c>
      <c r="K10" s="17">
        <v>0.15</v>
      </c>
      <c r="L10" s="10" t="str">
        <f t="shared" si="3"/>
        <v>合格</v>
      </c>
    </row>
    <row r="14" ht="15" customHeight="1"/>
    <row r="15" ht="15" customHeight="1"/>
    <row r="21" ht="15" customHeight="1"/>
    <row r="22" ht="15" customHeight="1"/>
    <row r="24" ht="15" customHeight="1"/>
    <row r="27" ht="15" customHeight="1"/>
    <row r="28" ht="15" customHeight="1"/>
    <row r="29" ht="15" customHeight="1"/>
  </sheetData>
  <mergeCells count="4">
    <mergeCell ref="D1:F1"/>
    <mergeCell ref="A2:A4"/>
    <mergeCell ref="A5:A7"/>
    <mergeCell ref="A8:A10"/>
  </mergeCells>
  <conditionalFormatting sqref="L2:L10">
    <cfRule type="cellIs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showGridLines="0" showRowColHeaders="0" workbookViewId="0">
      <pane topLeftCell="A1" activePane="topLeft"/>
      <selection activeCell="A1" sqref="A1"/>
    </sheetView>
  </sheetViews>
  <sheetFormatPr defaultColWidth="9" defaultRowHeight="14.25" customHeight="1" outlineLevelRow="3" outlineLevelCol="6"/>
  <cols>
    <col min="1" max="1" width="18.3833333333333" style="38" customWidth="1"/>
    <col min="2" max="2" width="7.88333333333333" style="38" customWidth="1"/>
    <col min="3" max="5" width="12.75" style="39" customWidth="1"/>
    <col min="6" max="6" width="10" style="40" customWidth="1"/>
    <col min="7" max="7" width="9.38333333333333" style="38" customWidth="1"/>
    <col min="8" max="16384" width="9" style="38"/>
  </cols>
  <sheetData>
    <row r="1" ht="30" customHeight="1" spans="1:7">
      <c r="A1" s="3" t="s">
        <v>260</v>
      </c>
      <c r="B1" s="3" t="s">
        <v>362</v>
      </c>
      <c r="C1" s="41" t="s">
        <v>110</v>
      </c>
      <c r="D1" s="42"/>
      <c r="E1" s="43"/>
      <c r="F1" s="44" t="s">
        <v>363</v>
      </c>
      <c r="G1" s="3" t="s">
        <v>211</v>
      </c>
    </row>
    <row r="2" ht="16.5" customHeight="1" spans="1:7">
      <c r="A2" s="45" t="s">
        <v>98</v>
      </c>
      <c r="B2" s="45">
        <v>360</v>
      </c>
      <c r="C2" s="46">
        <v>0.0164660241101879</v>
      </c>
      <c r="D2" s="46">
        <v>0.0219555016622204</v>
      </c>
      <c r="E2" s="46">
        <v>0.023330706600842</v>
      </c>
      <c r="F2" s="47">
        <v>0.05</v>
      </c>
      <c r="G2" s="10" t="str">
        <f>IF(C2="","不合格",IF(D2="","不合格",IF(E2="","不合格",IF(ROUND(ABS(AVERAGE(C2:E2)),4)&lt;ROUND(F2,4),"合格","不合格"))))</f>
        <v>合格</v>
      </c>
    </row>
    <row r="4" customHeight="1" spans="1:1">
      <c r="A4" s="48"/>
    </row>
  </sheetData>
  <mergeCells count="1">
    <mergeCell ref="C1:E1"/>
  </mergeCells>
  <conditionalFormatting sqref="G2">
    <cfRule type="cellIs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showRowColHeaders="0" workbookViewId="0">
      <pane topLeftCell="A1" activePane="topLeft"/>
      <selection activeCell="A1" sqref="A1"/>
    </sheetView>
  </sheetViews>
  <sheetFormatPr defaultColWidth="9" defaultRowHeight="14.25" customHeight="1" outlineLevelRow="4" outlineLevelCol="3"/>
  <cols>
    <col min="1" max="1" width="11.75" style="1" customWidth="1"/>
    <col min="2" max="2" width="16.1333333333333" style="33" customWidth="1"/>
    <col min="3" max="3" width="17.5" style="1" customWidth="1"/>
    <col min="4" max="4" width="12.25" style="1" customWidth="1"/>
    <col min="5" max="16384" width="9" style="1"/>
  </cols>
  <sheetData>
    <row r="1" ht="30" customHeight="1" spans="1:4">
      <c r="A1" s="3" t="s">
        <v>260</v>
      </c>
      <c r="B1" s="34" t="s">
        <v>106</v>
      </c>
      <c r="C1" s="5" t="s">
        <v>363</v>
      </c>
      <c r="D1" s="3" t="s">
        <v>211</v>
      </c>
    </row>
    <row r="2" customHeight="1" spans="1:4">
      <c r="A2" s="6" t="s">
        <v>104</v>
      </c>
      <c r="B2" s="35">
        <v>-0.000186274426337652</v>
      </c>
      <c r="C2" s="36">
        <v>0.002</v>
      </c>
      <c r="D2" s="10" t="str">
        <f>IF(OR(B2="",(ABS(B2)&gt;C2)),"不合格","合格")</f>
        <v>合格</v>
      </c>
    </row>
    <row r="4" customHeight="1" spans="2:2">
      <c r="B4" s="37"/>
    </row>
    <row r="5" customHeight="1" spans="1:1">
      <c r="A5" s="21"/>
    </row>
  </sheetData>
  <conditionalFormatting sqref="D2">
    <cfRule type="cellIs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showRowColHeaders="0" workbookViewId="0">
      <pane topLeftCell="A1" activePane="topLeft"/>
      <selection activeCell="A1" sqref="A1"/>
    </sheetView>
  </sheetViews>
  <sheetFormatPr defaultColWidth="9" defaultRowHeight="14.25" customHeight="1" outlineLevelRow="4" outlineLevelCol="3"/>
  <cols>
    <col min="1" max="1" width="12.25" style="1" customWidth="1"/>
    <col min="2" max="2" width="12.75" style="28" customWidth="1"/>
    <col min="3" max="3" width="13.25" style="29" customWidth="1"/>
    <col min="4" max="4" width="10.25" style="1" customWidth="1"/>
    <col min="5" max="5" width="13.5" style="1" customWidth="1"/>
    <col min="6" max="8" width="9" style="1"/>
    <col min="9" max="9" width="10" style="1" customWidth="1"/>
    <col min="10" max="16384" width="9" style="1"/>
  </cols>
  <sheetData>
    <row r="1" ht="30" customHeight="1" spans="1:4">
      <c r="A1" s="3" t="s">
        <v>260</v>
      </c>
      <c r="B1" s="14" t="s">
        <v>110</v>
      </c>
      <c r="C1" s="30" t="s">
        <v>363</v>
      </c>
      <c r="D1" s="3" t="s">
        <v>211</v>
      </c>
    </row>
    <row r="2" customHeight="1" spans="1:4">
      <c r="A2" s="6" t="s">
        <v>108</v>
      </c>
      <c r="B2" s="8">
        <v>-0.00302514922261274</v>
      </c>
      <c r="C2" s="31">
        <v>0.5</v>
      </c>
      <c r="D2" s="10" t="str">
        <f>IF(B2="","不合格",IF(ABS(ROUND(B2,4))&lt;ROUND(C2,4),"合格","不合格"))</f>
        <v>合格</v>
      </c>
    </row>
    <row r="4" customHeight="1" spans="2:2">
      <c r="B4" s="32"/>
    </row>
    <row r="5" customHeight="1" spans="1:1">
      <c r="A5" s="21"/>
    </row>
  </sheetData>
  <conditionalFormatting sqref="D2">
    <cfRule type="cellIs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showGridLines="0" showRowColHeaders="0" workbookViewId="0">
      <pane topLeftCell="A1" activePane="topLeft"/>
      <selection activeCell="A1" sqref="A1"/>
    </sheetView>
  </sheetViews>
  <sheetFormatPr defaultColWidth="9" defaultRowHeight="14.25" customHeight="1" outlineLevelRow="4" outlineLevelCol="4"/>
  <cols>
    <col min="1" max="1" width="15" style="1" customWidth="1"/>
    <col min="2" max="2" width="11.3833333333333" style="1" customWidth="1"/>
    <col min="3" max="3" width="14.6333333333333" style="2" customWidth="1"/>
    <col min="4" max="4" width="14.1333333333333" style="23" customWidth="1"/>
    <col min="5" max="5" width="10" style="1" customWidth="1"/>
    <col min="6" max="16384" width="9" style="1"/>
  </cols>
  <sheetData>
    <row r="1" ht="30" customHeight="1" spans="1:5">
      <c r="A1" s="24" t="s">
        <v>260</v>
      </c>
      <c r="B1" s="3" t="s">
        <v>160</v>
      </c>
      <c r="C1" s="15" t="s">
        <v>110</v>
      </c>
      <c r="D1" s="25" t="s">
        <v>364</v>
      </c>
      <c r="E1" s="3" t="s">
        <v>211</v>
      </c>
    </row>
    <row r="2" customHeight="1" spans="1:5">
      <c r="A2" s="17" t="s">
        <v>230</v>
      </c>
      <c r="B2" s="18">
        <v>500</v>
      </c>
      <c r="C2" s="26">
        <v>0.0278852278737389</v>
      </c>
      <c r="D2" s="27">
        <v>0.15</v>
      </c>
      <c r="E2" s="10" t="str">
        <f t="shared" ref="E2:E3" si="0">IF(C2="","不合格",IF(C2&lt;=D2,"合格","不合格"))</f>
        <v>合格</v>
      </c>
    </row>
    <row r="3" customHeight="1" spans="1:5">
      <c r="A3" s="17" t="s">
        <v>231</v>
      </c>
      <c r="B3" s="18">
        <v>500</v>
      </c>
      <c r="C3" s="26">
        <v>0.00193167292057632</v>
      </c>
      <c r="D3" s="27">
        <v>0.05</v>
      </c>
      <c r="E3" s="10" t="str">
        <f t="shared" si="0"/>
        <v>合格</v>
      </c>
    </row>
    <row r="5" customHeight="1" spans="1:2">
      <c r="A5" s="21"/>
      <c r="B5" s="22"/>
    </row>
  </sheetData>
  <conditionalFormatting sqref="E2:E3">
    <cfRule type="cellIs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showGridLines="0" showRowColHeaders="0" workbookViewId="0">
      <pane topLeftCell="A1" activePane="topLeft"/>
      <selection activeCell="A1" sqref="A1"/>
    </sheetView>
  </sheetViews>
  <sheetFormatPr defaultColWidth="9" defaultRowHeight="14.25" customHeight="1" outlineLevelRow="6" outlineLevelCol="4"/>
  <cols>
    <col min="1" max="1" width="16.1333333333333" style="1" customWidth="1"/>
    <col min="2" max="2" width="11.3833333333333" style="1" customWidth="1"/>
    <col min="3" max="3" width="14.3833333333333" style="2" customWidth="1"/>
    <col min="4" max="4" width="14.25" style="13" customWidth="1"/>
    <col min="5" max="5" width="10.75" style="1" customWidth="1"/>
    <col min="6" max="16384" width="9" style="1"/>
  </cols>
  <sheetData>
    <row r="1" ht="30" customHeight="1" spans="1:5">
      <c r="A1" s="14">
        <v>0.00283239160785954</v>
      </c>
      <c r="B1" s="3" t="s">
        <v>365</v>
      </c>
      <c r="C1" s="15" t="s">
        <v>110</v>
      </c>
      <c r="D1" s="16" t="s">
        <v>364</v>
      </c>
      <c r="E1" s="3" t="s">
        <v>211</v>
      </c>
    </row>
    <row r="2" customHeight="1" spans="1:5">
      <c r="A2" s="17" t="s">
        <v>233</v>
      </c>
      <c r="B2" s="18">
        <v>1090</v>
      </c>
      <c r="C2" s="19">
        <v>0.0382436916038387</v>
      </c>
      <c r="D2" s="20">
        <v>1</v>
      </c>
      <c r="E2" s="10" t="str">
        <f t="shared" ref="E2:E5" si="0">IF(C2="","不合格",IF(C2&lt;=D2,"合格","不合格"))</f>
        <v>合格</v>
      </c>
    </row>
    <row r="3" customHeight="1" spans="1:5">
      <c r="A3" s="17" t="s">
        <v>234</v>
      </c>
      <c r="B3" s="18">
        <v>1090</v>
      </c>
      <c r="C3" s="19">
        <v>0.00393094656360982</v>
      </c>
      <c r="D3" s="20">
        <v>0.3</v>
      </c>
      <c r="E3" s="10" t="str">
        <f t="shared" si="0"/>
        <v>合格</v>
      </c>
    </row>
    <row r="4" customHeight="1" spans="1:5">
      <c r="A4" s="17" t="s">
        <v>235</v>
      </c>
      <c r="B4" s="18">
        <v>335</v>
      </c>
      <c r="C4" s="19">
        <v>0.0325765106003928</v>
      </c>
      <c r="D4" s="20">
        <v>1</v>
      </c>
      <c r="E4" s="10" t="str">
        <f t="shared" si="0"/>
        <v>合格</v>
      </c>
    </row>
    <row r="5" customHeight="1" spans="1:5">
      <c r="A5" s="17" t="s">
        <v>236</v>
      </c>
      <c r="B5" s="18">
        <v>335</v>
      </c>
      <c r="C5" s="19">
        <v>0.00329484652979293</v>
      </c>
      <c r="D5" s="20">
        <v>0.3</v>
      </c>
      <c r="E5" s="10" t="str">
        <f t="shared" si="0"/>
        <v>合格</v>
      </c>
    </row>
    <row r="7" customHeight="1" spans="1:2">
      <c r="A7" s="21"/>
      <c r="B7" s="22"/>
    </row>
  </sheetData>
  <conditionalFormatting sqref="E2:E5">
    <cfRule type="cellIs" priority="1" operator="equal">
      <formula>"不合格"</formula>
    </cfRule>
  </conditionalFormatting>
  <pageMargins left="0.7" right="0.7" top="0.75" bottom="0.75" header="0.3" footer="0.3"/>
  <pageSetup paperSize="1" firstPageNumber="4294963191" orientation="portrait" useFirstPageNumber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showRowColHeaders="0" workbookViewId="0">
      <pane topLeftCell="A1" activePane="topLeft"/>
      <selection activeCell="A1" sqref="A1"/>
    </sheetView>
  </sheetViews>
  <sheetFormatPr defaultColWidth="9" defaultRowHeight="14.25" customHeight="1" outlineLevelCol="4"/>
  <cols>
    <col min="1" max="2" width="10.5" style="1" customWidth="1"/>
    <col min="3" max="3" width="16.6333333333333" style="2" customWidth="1"/>
    <col min="4" max="4" width="16.6333333333333" style="1" customWidth="1"/>
    <col min="5" max="5" width="10.75" style="1" customWidth="1"/>
    <col min="6" max="16384" width="9" style="1"/>
  </cols>
  <sheetData>
    <row r="1" ht="30" customHeight="1" spans="1:5">
      <c r="A1" s="3" t="s">
        <v>260</v>
      </c>
      <c r="B1" s="3" t="s">
        <v>365</v>
      </c>
      <c r="C1" s="4" t="s">
        <v>110</v>
      </c>
      <c r="D1" s="5" t="s">
        <v>363</v>
      </c>
      <c r="E1" s="3" t="s">
        <v>211</v>
      </c>
    </row>
    <row r="2" customHeight="1" spans="1:5">
      <c r="A2" s="6" t="s">
        <v>237</v>
      </c>
      <c r="B2" s="7">
        <v>500</v>
      </c>
      <c r="C2" s="8">
        <v>0.0337921180681207</v>
      </c>
      <c r="D2" s="9">
        <v>0.2</v>
      </c>
      <c r="E2" s="10" t="str">
        <f t="shared" ref="E2:E11" si="0">IF(C2="","不合格",IF(C2&lt;=D2,"合格","不合格"))</f>
        <v>合格</v>
      </c>
    </row>
    <row r="3" customHeight="1" spans="1:5">
      <c r="A3" s="6" t="s">
        <v>237</v>
      </c>
      <c r="B3" s="7">
        <v>500</v>
      </c>
      <c r="C3" s="11"/>
      <c r="D3" s="9">
        <v>0.2</v>
      </c>
      <c r="E3" s="10" t="str">
        <f t="shared" si="0"/>
        <v>不合格</v>
      </c>
    </row>
    <row r="4" customHeight="1" spans="1:5">
      <c r="A4" s="6" t="s">
        <v>237</v>
      </c>
      <c r="B4" s="7">
        <v>500</v>
      </c>
      <c r="C4" s="11"/>
      <c r="D4" s="9">
        <v>0.2</v>
      </c>
      <c r="E4" s="10" t="str">
        <f t="shared" si="0"/>
        <v>不合格</v>
      </c>
    </row>
    <row r="5" customHeight="1" spans="1:5">
      <c r="A5" s="6" t="s">
        <v>237</v>
      </c>
      <c r="B5" s="7">
        <v>500</v>
      </c>
      <c r="C5" s="11"/>
      <c r="D5" s="9">
        <v>0.2</v>
      </c>
      <c r="E5" s="10" t="str">
        <f t="shared" si="0"/>
        <v>不合格</v>
      </c>
    </row>
    <row r="6" customHeight="1" spans="1:5">
      <c r="A6" s="6" t="s">
        <v>237</v>
      </c>
      <c r="B6" s="7">
        <v>500</v>
      </c>
      <c r="C6" s="11"/>
      <c r="D6" s="9">
        <v>0.2</v>
      </c>
      <c r="E6" s="10" t="str">
        <f t="shared" si="0"/>
        <v>不合格</v>
      </c>
    </row>
    <row r="7" customHeight="1" spans="1:5">
      <c r="A7" s="6" t="s">
        <v>237</v>
      </c>
      <c r="B7" s="7">
        <v>500</v>
      </c>
      <c r="C7" s="11"/>
      <c r="D7" s="9">
        <v>0.2</v>
      </c>
      <c r="E7" s="10" t="str">
        <f t="shared" si="0"/>
        <v>不合格</v>
      </c>
    </row>
    <row r="8" customHeight="1" spans="1:5">
      <c r="A8" s="6" t="s">
        <v>237</v>
      </c>
      <c r="B8" s="7">
        <v>500</v>
      </c>
      <c r="C8" s="11"/>
      <c r="D8" s="9">
        <v>0.2</v>
      </c>
      <c r="E8" s="10" t="str">
        <f t="shared" si="0"/>
        <v>不合格</v>
      </c>
    </row>
    <row r="9" customHeight="1" spans="1:5">
      <c r="A9" s="6" t="s">
        <v>237</v>
      </c>
      <c r="B9" s="7">
        <v>500</v>
      </c>
      <c r="C9" s="11"/>
      <c r="D9" s="9">
        <v>0.2</v>
      </c>
      <c r="E9" s="10" t="str">
        <f t="shared" si="0"/>
        <v>不合格</v>
      </c>
    </row>
    <row r="10" customHeight="1" spans="1:5">
      <c r="A10" s="6" t="s">
        <v>237</v>
      </c>
      <c r="B10" s="7">
        <v>500</v>
      </c>
      <c r="C10" s="11"/>
      <c r="D10" s="9">
        <v>0.2</v>
      </c>
      <c r="E10" s="10" t="str">
        <f t="shared" si="0"/>
        <v>不合格</v>
      </c>
    </row>
    <row r="11" customHeight="1" spans="1:5">
      <c r="A11" s="6" t="s">
        <v>237</v>
      </c>
      <c r="B11" s="7">
        <v>500</v>
      </c>
      <c r="C11" s="11"/>
      <c r="D11" s="9">
        <v>0.2</v>
      </c>
      <c r="E11" s="12" t="str">
        <f t="shared" si="0"/>
        <v>不合格</v>
      </c>
    </row>
  </sheetData>
  <conditionalFormatting sqref="E2:E11">
    <cfRule type="cellIs" priority="1" operator="equal">
      <formula>"不合格"</formula>
    </cfRule>
  </conditionalFormatting>
  <pageMargins left="0.7" right="0.7" top="0.75" bottom="0.75" header="0.3" footer="0.3"/>
  <pageSetup paperSize="1" firstPageNumber="429496319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Report</vt:lpstr>
      <vt:lpstr>基础信息</vt:lpstr>
      <vt:lpstr>测量结果表</vt:lpstr>
      <vt:lpstr>管理表</vt:lpstr>
      <vt:lpstr>对应信息</vt:lpstr>
      <vt:lpstr>检测项信息</vt:lpstr>
      <vt:lpstr>仪器状态</vt:lpstr>
      <vt:lpstr>标准值</vt:lpstr>
      <vt:lpstr>字段对应</vt:lpstr>
      <vt:lpstr>波长示值误差与重复性校验</vt:lpstr>
      <vt:lpstr>透射比示值误差与重复性校验</vt:lpstr>
      <vt:lpstr>杂散光校验</vt:lpstr>
      <vt:lpstr>基线平直度检验</vt:lpstr>
      <vt:lpstr>基线暗噪声检验</vt:lpstr>
      <vt:lpstr>噪声检验</vt:lpstr>
      <vt:lpstr>波长边缘噪声</vt:lpstr>
      <vt:lpstr>漂移检验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99153</dc:creator>
  <cp:lastModifiedBy>寻</cp:lastModifiedBy>
  <cp:revision>0</cp:revision>
  <dcterms:created xsi:type="dcterms:W3CDTF">2006-09-16T08:00:00Z</dcterms:created>
  <dcterms:modified xsi:type="dcterms:W3CDTF">2024-11-29T02:56:53Z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B3E714874CE6409B9AF438378A56FCA2_12</vt:lpwstr>
  </property>
  <property fmtid="{D5CDD505-2E9C-101B-9397-08002B2CF9AE}" pid="3" name="KSOProductBuildVer">
    <vt:lpwstr>2052-12.1.0.18608</vt:lpwstr>
  </property>
</Properties>
</file>