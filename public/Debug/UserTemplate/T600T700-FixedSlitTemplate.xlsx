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eg" ContentType="image/jpeg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:gc="http://schemas.grapecity.com/office/spreadsheet/2018/main" xmlns="http://schemas.openxmlformats.org/spreadsheetml/2006/main" mc:Ignorable="x15">
  <fileVersion appName="xl" lastEdited="7" lowestEdited="5" rupBuild="26731"/>
  <workbookPr/>
  <bookViews>
    <workbookView showSheetTabs="0" xWindow="0" yWindow="0" windowWidth="28800" windowHeight="11010" tabRatio="521" firstSheet="9"/>
  </bookViews>
  <sheets>
    <sheet name="Report" sheetId="21" r:id="rId2"/>
    <sheet name="基础信息" sheetId="13" r:id="rId3"/>
    <sheet name="测量结果表" sheetId="20" r:id="rId4"/>
    <sheet name="管理表" sheetId="19" r:id="rId5"/>
    <sheet name="对应信息" sheetId="17" r:id="rId6"/>
    <sheet name="检测项信息" sheetId="14" r:id="rId7"/>
    <sheet name="仪器状态" sheetId="22" r:id="rId8"/>
    <sheet name="标准值" sheetId="16" r:id="rId9"/>
    <sheet name="字段对应" sheetId="15" r:id="rId10"/>
    <sheet name="波长示值误差与重复性校验" sheetId="3" r:id="rId11"/>
    <sheet name="透射比示值误差与重复性校验" sheetId="4" r:id="rId12"/>
    <sheet name="杂散光校验" sheetId="5" r:id="rId13"/>
    <sheet name="基线平直度检验" sheetId="6" r:id="rId14"/>
    <sheet name="基线暗噪声检验" sheetId="7" r:id="rId15"/>
    <sheet name="光谱带宽与仪器最小光谱带宽" sheetId="8" r:id="rId16"/>
    <sheet name="噪声检验" sheetId="9" r:id="rId17"/>
    <sheet name="波长边缘噪声" sheetId="10" r:id="rId18"/>
    <sheet name="漂移检验" sheetId="11" r:id="rId19"/>
  </sheets>
  <definedNames>
    <definedName name="OLE_LINK10" localSheetId="0">Report!#REF!</definedName>
  </definedNames>
  <calcPr calcId="181029"/>
  <extLst>
    <ext xmlns:x14="http://schemas.microsoft.com/office/spreadsheetml/2009/9/main" uri="{508A625A-C496-44e7-AB3D-5DD9D212655C}">
      <gcWorkbook aFmt="0" aCreateHyperlink="0" excelShortcuts="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<sst xmlns="http://schemas.openxmlformats.org/spreadsheetml/2006/main" uniqueCount="436">
  <si>
    <t>北京普析通用仪器有限责任公司</t>
  </si>
  <si>
    <t>文件编号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</si>
  <si>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</si>
  <si>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</si>
  <si>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</si>
  <si>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</si>
  <si>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</si>
  <si>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</si>
  <si>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</si>
  <si>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检验结果</t>
  </si>
  <si>
    <t>序号</t>
  </si>
  <si>
    <t>检验项目</t>
  </si>
  <si>
    <t>结果</t>
  </si>
  <si>
    <t>波长段</t>
  </si>
  <si>
    <t>检测工具</t>
  </si>
  <si>
    <t>镨钕滤光片</t>
  </si>
  <si>
    <t>氘灯</t>
  </si>
  <si>
    <t>型号</t>
  </si>
  <si>
    <t>测量点</t>
  </si>
  <si>
    <t>杂散光</t>
  </si>
  <si>
    <t>检验工具</t>
  </si>
  <si>
    <t>220nm</t>
  </si>
  <si>
    <t>碘化钠标准溶液</t>
  </si>
  <si>
    <t>360nm</t>
  </si>
  <si>
    <t>亚硝酸钠标准溶液</t>
  </si>
  <si>
    <t>基线平直度</t>
  </si>
  <si>
    <t>测量值（Abs）</t>
  </si>
  <si>
    <t>基线暗噪声</t>
  </si>
  <si>
    <t>测量值（%）</t>
  </si>
  <si>
    <t>光谱带宽</t>
  </si>
  <si>
    <t>不超过标称光谱带宽的±20%</t>
  </si>
  <si>
    <t>≤0.05%</t>
  </si>
  <si>
    <t>≤0.005%</t>
  </si>
  <si>
    <t>≤0.1%</t>
  </si>
  <si>
    <t>≤0.02%</t>
  </si>
  <si>
    <t>漂移</t>
  </si>
  <si>
    <t>电源电压的适应性</t>
  </si>
  <si>
    <t>电压</t>
  </si>
  <si>
    <t>198V</t>
  </si>
  <si>
    <t>220V</t>
  </si>
  <si>
    <t>242V</t>
  </si>
  <si>
    <t>介电强度</t>
  </si>
  <si>
    <t>无击穿和飞弧现象</t>
  </si>
  <si>
    <t>检验工具：耐压测试仪</t>
  </si>
  <si>
    <t>接触电流</t>
  </si>
  <si>
    <t>检验工具：泄漏电流测试仪</t>
  </si>
  <si>
    <t>保护接地</t>
  </si>
  <si>
    <t>检验工具：程控接地电阻测试仪</t>
  </si>
  <si>
    <t>绝缘电阻</t>
  </si>
  <si>
    <t>检验工具：绝缘电阻测试仪</t>
  </si>
  <si>
    <t>外观和结构</t>
  </si>
  <si>
    <t>检验结论</t>
  </si>
  <si>
    <t>备注</t>
  </si>
  <si>
    <t>名称</t>
  </si>
  <si>
    <t>特征值</t>
  </si>
  <si>
    <t>标准值</t>
  </si>
  <si>
    <t>是否为光谱扫描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</si>
  <si>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</si>
  <si>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</si>
  <si>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</si>
  <si>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</si>
  <si>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</si>
  <si>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</si>
  <si>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</si>
  <si>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</si>
  <si>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</si>
  <si>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</si>
  <si>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</si>
  <si>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</si>
  <si>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</si>
  <si>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</si>
  <si>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</si>
  <si>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</si>
  <si>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</si>
  <si>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</si>
  <si>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Es</t>
  </si>
  <si>
    <t>中速</t>
  </si>
  <si>
    <t>739.2,,807.4</t>
  </si>
  <si>
    <t>Er</t>
  </si>
  <si>
    <t>快速</t>
  </si>
  <si>
    <t>10%中性滤光片</t>
  </si>
  <si>
    <t>635.0,546.0,440.0</t>
  </si>
  <si>
    <t>R%</t>
  </si>
  <si>
    <t>极快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</si>
  <si>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</si>
  <si>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</si>
  <si>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</si>
  <si>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</si>
  <si>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</si>
  <si>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</si>
  <si>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</si>
  <si>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</si>
  <si>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</si>
  <si>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</si>
  <si>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</si>
  <si>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</si>
  <si>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</si>
  <si>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</si>
  <si>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</si>
  <si>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</si>
  <si>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</si>
  <si>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</si>
  <si>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</si>
  <si>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</si>
  <si>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</si>
  <si>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</si>
  <si>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</si>
  <si>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</si>
  <si>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波长示值误差与重复性校验</t>
  </si>
  <si>
    <t>807.4</t>
  </si>
  <si>
    <t>寻峰</t>
  </si>
  <si>
    <t>黑挡块</t>
  </si>
  <si>
    <t>空气</t>
  </si>
  <si>
    <t>656.1</t>
  </si>
  <si>
    <t>透射比示值误差与重复性校验</t>
  </si>
  <si>
    <t>635,546,440</t>
  </si>
  <si>
    <t>求平均</t>
  </si>
  <si>
    <t>紫外分光光度计标准物质GBW(E)130066</t>
  </si>
  <si>
    <t>杂散光校验</t>
  </si>
  <si>
    <t>220</t>
  </si>
  <si>
    <t>多次测量</t>
  </si>
  <si>
    <t>360</t>
  </si>
  <si>
    <t>基线平直度检验</t>
  </si>
  <si>
    <t>求最大偏移量</t>
  </si>
  <si>
    <t>基线暗噪声检验</t>
  </si>
  <si>
    <t>光谱带宽与仪器最小光谱带宽</t>
  </si>
  <si>
    <t>求半峰宽</t>
  </si>
  <si>
    <t>氘灯2.0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</si>
  <si>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</si>
  <si>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</si>
  <si>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</si>
  <si>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</si>
  <si>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</si>
  <si>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</si>
  <si>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</si>
  <si>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</si>
  <si>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</si>
  <si>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</si>
  <si>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</si>
  <si>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仪器预热1小时之后进行检验</t>
  </si>
  <si>
    <t>求漂移</t>
  </si>
  <si>
    <t>仪器方法标记</t>
  </si>
  <si>
    <t>仪器方法字段</t>
  </si>
  <si>
    <t>算法标记</t>
  </si>
  <si>
    <t>算法字段</t>
  </si>
  <si>
    <t>StartWl</t>
  </si>
  <si>
    <t>EndWl</t>
  </si>
  <si>
    <t>RepeatTimes</t>
  </si>
  <si>
    <t>RepeatInterval</t>
  </si>
  <si>
    <t>MethodStr</t>
  </si>
  <si>
    <t>MeasurePara</t>
  </si>
  <si>
    <t>使用物质</t>
  </si>
  <si>
    <t>ToolStr</t>
  </si>
  <si>
    <t>Name</t>
  </si>
  <si>
    <t>PhotoMode</t>
  </si>
  <si>
    <t>ScanWlInterval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</si>
  <si>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</si>
  <si>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</si>
  <si>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</si>
  <si>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</si>
  <si>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</si>
  <si>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</si>
  <si>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</si>
  <si>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</si>
  <si>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</si>
  <si>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</si>
  <si>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平均值（nm）</t>
  </si>
  <si>
    <t>误差值（nm）</t>
  </si>
  <si>
    <t>波长示值误差(nm)</t>
  </si>
  <si>
    <t>波长重复性</t>
  </si>
  <si>
    <t>判定结果</t>
  </si>
  <si>
    <t>透射比示值误差</t>
  </si>
  <si>
    <t>透射比重复性</t>
  </si>
  <si>
    <t>635nm</t>
  </si>
  <si>
    <t>546nm</t>
  </si>
  <si>
    <t>440nm</t>
  </si>
  <si>
    <t>350nm</t>
  </si>
  <si>
    <t>313nm</t>
  </si>
  <si>
    <t>257nm</t>
  </si>
  <si>
    <t>235nm</t>
  </si>
  <si>
    <t>测量值（nm）</t>
  </si>
  <si>
    <t>垂直距离范围</t>
  </si>
  <si>
    <t>500nm</t>
  </si>
  <si>
    <t>220nm杂散光</t>
  </si>
  <si>
    <t>360nm杂散光</t>
  </si>
  <si>
    <t>totalcount</t>
  </si>
  <si>
    <t>timeinterval</t>
  </si>
  <si>
    <t>测量波长</t>
  </si>
  <si>
    <t>最大最小值差</t>
  </si>
  <si>
    <t>WlRange</t>
  </si>
  <si>
    <t>灯状态</t>
  </si>
  <si>
    <t>钨灯</t>
  </si>
  <si>
    <t>汞灯</t>
  </si>
  <si>
    <t>钬溶液</t>
  </si>
  <si>
    <t>486</t>
  </si>
  <si>
    <t>误差范围（%）</t>
  </si>
  <si>
    <t>测试项</t>
  </si>
  <si>
    <t>U1601</t>
  </si>
  <si>
    <t>U1602</t>
  </si>
  <si>
    <t>U1603</t>
  </si>
  <si>
    <t>T600B</t>
  </si>
  <si>
    <t>T700A</t>
  </si>
  <si>
    <t>仪器ID</t>
  </si>
  <si>
    <t>项目编号</t>
  </si>
  <si>
    <t>平均值</t>
  </si>
  <si>
    <t>检验地点</t>
  </si>
  <si>
    <t>温度</t>
  </si>
  <si>
    <t>湿度</t>
  </si>
  <si>
    <t>其他</t>
  </si>
  <si>
    <t>T700S</t>
  </si>
  <si>
    <t>重复性</t>
  </si>
  <si>
    <t>父项目编号</t>
  </si>
  <si>
    <t>父项目名称</t>
  </si>
  <si>
    <t>子项目编号</t>
  </si>
  <si>
    <t>子项目名称</t>
  </si>
  <si>
    <t>可允许误差范围</t>
  </si>
  <si>
    <t>640.79</t>
  </si>
  <si>
    <t>536.86</t>
  </si>
  <si>
    <t>416.57</t>
  </si>
  <si>
    <t>361.12</t>
  </si>
  <si>
    <t>287.52</t>
  </si>
  <si>
    <t>241.12</t>
  </si>
  <si>
    <t>误差值</t>
  </si>
  <si>
    <t>提示</t>
  </si>
  <si>
    <t>修改标准值时，该仪器对应的模板文件必须未打开，同时修改后光标要在未修改的单元格内！方可保存成功！</t>
  </si>
  <si>
    <t>2.0</t>
  </si>
  <si>
    <t>响应时间</t>
  </si>
  <si>
    <t>ResponseTime</t>
  </si>
  <si>
    <t>波长点</t>
  </si>
  <si>
    <t>指标要求</t>
  </si>
  <si>
    <t xml:space="preserve">透射比示值误差与
重复性
（紫外区）
</t>
  </si>
  <si>
    <t>透射比示值误差与重复性
(可见区）</t>
  </si>
  <si>
    <t>重复性(nm)</t>
  </si>
  <si>
    <t>误差值(nm)</t>
  </si>
  <si>
    <t>平均值(nm)</t>
  </si>
  <si>
    <t>标准值(nm)</t>
  </si>
  <si>
    <t xml:space="preserve">
波长示值误差
钬溶液：
±0.3nm
波长重复性
≤0.1nm </t>
  </si>
  <si>
    <t xml:space="preserve">波长示值误差与重复性
</t>
  </si>
  <si>
    <t>波长示值误差与重复性</t>
  </si>
  <si>
    <t>温度(℃)</t>
  </si>
  <si>
    <t xml:space="preserve">
波长示值误差
氘灯：
±0.1nm
镨钕：
±0.3nm
波长重复性
≤0.1nm 
</t>
  </si>
  <si>
    <t>紫外分光光度计标准物质空白溶液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</si>
  <si>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</si>
  <si>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Validation.ViewModel.DataStructure.FindPeakAndAverageUVTestTool</t>
  </si>
  <si>
    <t>Validation.ViewModel.DataStructure.WlPointsAndAverageUVTestTool</t>
  </si>
  <si>
    <t>Validation.ViewModel.DataStructure.WlPointsUVTestTool</t>
  </si>
  <si>
    <t>Validation.ViewModel.DataStructure.FindMaxOffsetUVTestTool</t>
  </si>
  <si>
    <t>Validation.ViewModel.DataStructure.FindHalfPeakUVTestTool</t>
  </si>
  <si>
    <t>Validation.ViewModel.DataStructure.GetMaxDIstanceUVTestTool</t>
  </si>
  <si>
    <t>Validation.ViewModel.DataStructure.GetDriftUVTestTool</t>
  </si>
  <si>
    <t>合格□
不合格□</t>
  </si>
  <si>
    <t xml:space="preserve">  有 □        无 □</t>
  </si>
  <si>
    <t>640.7</t>
  </si>
  <si>
    <t>536.8</t>
  </si>
  <si>
    <t>416.5</t>
  </si>
  <si>
    <t>361.0</t>
  </si>
  <si>
    <t>287.4</t>
  </si>
  <si>
    <t>241.0</t>
  </si>
  <si>
    <t>T600T700系列紫外可见分光光度计整机检验原始记录表</t>
  </si>
  <si>
    <t>相对湿度(%)</t>
  </si>
  <si>
    <t>B段</t>
  </si>
  <si>
    <t>10%中性滤光片、20%中性滤光片、30%中性滤光片
（以标定的标准值为准）</t>
  </si>
  <si>
    <t>标准值(%)</t>
  </si>
  <si>
    <t>测量值(%)</t>
  </si>
  <si>
    <t>平均值(%)</t>
  </si>
  <si>
    <t>误差值(%)</t>
  </si>
  <si>
    <t>重复性(%)</t>
  </si>
  <si>
    <t>标准值（%）</t>
  </si>
  <si>
    <t>&lt;0.01%</t>
  </si>
  <si>
    <t>≤±0.1%</t>
  </si>
  <si>
    <t>光谱带宽（nm）</t>
  </si>
  <si>
    <t>测量值(nm)</t>
  </si>
  <si>
    <t>偏差（%）</t>
  </si>
  <si>
    <t>噪声500nm</t>
  </si>
  <si>
    <t>噪声250nm</t>
  </si>
  <si>
    <t>边缘噪声
1090 nm</t>
  </si>
  <si>
    <t>±0.2%</t>
  </si>
  <si>
    <t>500nm测量值（%）</t>
  </si>
  <si>
    <t>500nm处的透射比变化（%）</t>
  </si>
  <si>
    <t>250nm测量值（%）</t>
  </si>
  <si>
    <t>250nm处的透射比变化（%）</t>
  </si>
  <si>
    <t>正常条件≤0.5mA</t>
  </si>
  <si>
    <t>测量值（mA）</t>
  </si>
  <si>
    <t>单一故障≤3.5mA</t>
  </si>
  <si>
    <t>测量值（Ω）</t>
  </si>
  <si>
    <t>合格 □                 不合格 □</t>
  </si>
  <si>
    <t xml:space="preserve">透射比示值误差
±0.3%
透射比重复性
≤0.1%
</t>
  </si>
  <si>
    <t>透射比示值误差
±0.3%
透射比重复性
≤0.1%</t>
  </si>
  <si>
    <t>边缘噪声200nm</t>
  </si>
  <si>
    <t>测量值
（%）</t>
  </si>
  <si>
    <t>子项目编号-与检测项信息对应的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</si>
  <si>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</si>
  <si>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</si>
  <si>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</si>
  <si>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</si>
  <si>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</si>
  <si>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</si>
  <si>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</si>
  <si>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仪器id</t>
  </si>
  <si>
    <t>氘灯656.1能量</t>
  </si>
  <si>
    <t>氘灯486.0能量</t>
  </si>
  <si>
    <t>能量</t>
  </si>
  <si>
    <t>基线平直度-全波长能量</t>
  </si>
  <si>
    <t>项目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</si>
  <si>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</si>
  <si>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</si>
  <si>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</si>
  <si>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</si>
  <si>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</si>
  <si>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</si>
  <si>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关灯，增益1下的RSD值</t>
  </si>
  <si>
    <t>id</t>
  </si>
  <si>
    <t>父id</t>
  </si>
  <si>
    <t>ScanSpeed</t>
  </si>
  <si>
    <t>Gain</t>
  </si>
  <si>
    <t>LampPos</t>
  </si>
  <si>
    <t>氘灯(656.1)</t>
  </si>
  <si>
    <t>氘灯(486.0)</t>
  </si>
  <si>
    <t>平均值（%）</t>
  </si>
  <si>
    <t>误差值（%）</t>
  </si>
  <si>
    <t>重复性（%）</t>
  </si>
  <si>
    <t>特征值（nm）</t>
  </si>
  <si>
    <t>重复性（nm）</t>
  </si>
  <si>
    <t>U1604</t>
  </si>
  <si>
    <t>U1701</t>
  </si>
  <si>
    <t>U1702</t>
  </si>
  <si>
    <t>U1703</t>
  </si>
  <si>
    <t>U1704</t>
  </si>
  <si>
    <t>T600A</t>
  </si>
  <si>
    <t>T600S</t>
  </si>
  <si>
    <t>T600AS</t>
  </si>
  <si>
    <t>T700B</t>
  </si>
  <si>
    <t>T700AS</t>
  </si>
  <si>
    <t>350,313,257,235</t>
  </si>
  <si>
    <t>特征值(nm)</t>
  </si>
  <si>
    <t>1.0</t>
  </si>
  <si>
    <t>5.0</t>
  </si>
  <si>
    <t>≤±0.0005（2.0nm光谱带宽）</t>
  </si>
  <si>
    <t>500nm ≤0.1%/h</t>
  </si>
  <si>
    <t>≤0.1Ω</t>
  </si>
  <si>
    <t>≥20MΩ</t>
  </si>
  <si>
    <t>测量值（MΩ）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</si>
  <si>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</si>
  <si>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23.2,51.58,14.06,18.42</t>
  </si>
  <si>
    <t>7.57,10.1,10.07</t>
  </si>
  <si>
    <t>18.89,20.09,20.91</t>
  </si>
  <si>
    <t>29.96,30.43,28.88</t>
  </si>
  <si>
    <t>氘灯656.1</t>
  </si>
  <si>
    <t>氘灯486</t>
  </si>
  <si>
    <t>640.7,536.8,416.5,361.0,287.4,241.0</t>
  </si>
  <si>
    <t>UVWin版本号</t>
  </si>
  <si>
    <t>UVTouch版本号</t>
  </si>
  <si>
    <t>碘化钠空白溶液</t>
  </si>
  <si>
    <t>亚硝酸钠空白溶液</t>
  </si>
  <si>
    <t>调压器，数字万用表</t>
  </si>
  <si>
    <t>32806,1544940,1866,1026592;32806,1543884,1866,1025895;32804,1543235,1866,1025457</t>
  </si>
  <si>
    <t>31U1602-96-0021</t>
  </si>
  <si>
    <t>24301,253090,1866,172167;24301,253063,1866,172115;24301,252984,1866,172069</t>
  </si>
  <si>
    <t>54500,1212788,1704,1026241;54450,1247374,1704,1054241;54400,1282717,1704,1082852;54350,1315692,1704,1109512;54300,1350431,1704,1137584;54250,1381110,1704,1162374;54200,1412924,1704,1188027;54150,1444876,1704,1213791;54100,1478354,1704,1240656;54050,1517469,1704,1272085;54000,1549130,1704,1297554;53950,1580464,1704,1322647;53900,1615443,1704,1350702;53850,1654225,1704,1381722;53800,1695235,1704,1414410;53750,1733472,1704,1444730;53700,1772981,1704,1476186;53650,1813788,1704,1508629;53600,1857330,1704,1543121;53550,1905716,1704,1581613;53500,544613,1661,443680;53450,516255,1660,419444;53400,527660,1660,428518;53350,540565,1660,438959;53300,554667,1660,450704;53250,568373,1660,462134;53200,581895,1660,473251;53150,597292,1660,485542;53100,613564,1660,498322;53050,631612,1660,512397;53000,648563,1660,525820;52950,663730,1660,537816;52900,680105,1660,550473;52850,698503,1660,564304;52800,718971,1660,579327;52750,737306,1660,592740;52700,754100,1660,605008;52650,772916,1660,618860;52600,792192,1660,633076;52550,813382,1660,648811;52500,832428,1660,662958;52450,850150,1660,676084;52400,868949,1660,690025;52350,888770,1660,704695;52300,908873,1660,719508;52250,926705,1660,732557;52200,943310,1660,744712;52150,961449,1660,757914;52100,979725,1660,771205;52050,999590,1660,785658;52000,1017251,1660,798421;51950,1033431,1660,810043;51900,1050394,1660,822199;51850,1068673,1660,835275;51800,1088676,1660,849565;51750,1106790,1660,862530;51700,1123189,1660,874192;51650,1140974,1660,886809;51600,1158331,1660,899068;51550,1177053,1660,912245;51500,1194294,1660,924379;51450,1210334,1660,935639;51400,1226564,1660,947007;51350,1242536,1660,958108;51300,1258315,1660,969046;51250,1272761,1660,979032;51200,1286497,1660,988521;51150,1300145,1660,997978;51100,1313706,1660,1007304;51050,1328064,1660,1017077;51000,1341492,1660,1026346;50950,1353084,1660,1034221;50900,1364534,1660,1041938;50850,1377133,1660,1050450;50800,1391722,1660,1060486;50750,1404488,1660,1069221;50700,1414825,1660,1076123;50650,1426095,1660,1083623;50600,1437749,1660,1091439;50550,1450503,1660,1100000;50500,1461557,1660,1107356;50450,1470762,1660,1113352;50400,1479736,1660,1119153;50350,1489332,1660,1125447;50300,1498895,1660,1131663;50250,1507101,1660,1136940;50200,1514739,1660,1141992;50150,1521411,1660,1146157;50100,1528515,1660,1150671;50050,1536092,1660,1155446;50000,1542812,1660,1159615;49950,1548664,1660,1163222;49900,1554079,1660,1166463;49850,1560091,1660,1170061;49800,1566929,1660,1174190;49750,1573472,1660,1178244;49700,1579060,1660,1181574;49650,1584102,1660,1184443;49600,1589141,1660,1187334;49550,1594439,1660,1190368;49500,1598347,1660,1192476;49450,1602104,1660,1194418;49400,1607053,1660,1197371;49350,1611675,1660,1200031;49300,1614529,1660,1201376;49250,1616947,1660,1202466;49200,1618774,1660,1203132;49150,1621551,1660,1204477;49100,1624323,1660,1205808;49050,1627061,1660,1207071;49000,1629136,1660,1207933;48950,1629515,1660,1207564;48900,1630228,1660,1207388;48850,1631354,1660,1207526;48800,1632343,1660,1207451;48750,1632565,1660,1206919;48700,1632903,1660,1206412;48650,1634828,1660,1207115;48600,1636893,1660,1207904;48550,1637243,1660,1207288;48500,1636057,1660,1205591;48450,1636138,1660,1204971;48400,1636736,1660,1204724;48350,1635956,1660,1203395;48300,1634540,1660,1201584;48250,1633655,1660,1200304;48200,1632137,1660,1198577;48150,1630928,1660,1197030;48100,1629749,1660,1195546;48050,1627978,1660,1193541;48000,1626709,1660,1191893;47950,1625420,1660,1190422;47900,1623734,1660,1188593;47850,1621698,1660,1186337;47800,1617882,1660,1182866;47750,1615602,1660,1180486;47700,1613956,1660,1178630;47650,1613088,1660,1177218;47600,1609441,1660,1173953;47550,1607728,1660,1171809;47500,1604025,1660,1168477;47450,1600295,1660,1165109;47400,1598115,1660,1162829;47350,1595274,1660,1159983;47300,1590362,1660,1155742;47250,1586171,1660,1151996;47200,1581703,1660,1148167;47150,1577800,1660,1144780;47100,1577641,1660,1143838;47050,1578690,1660,1143574;47000,1577909,1660,1142217;46950,1575782,1660,1139939;46900,1570246,1660,1135398;46850,1564397,1660,1130571;46800,1563423,1660,1128993;46750,1561456,1660,1126785;46700,1555941,1660,1122159;46650,1553271,1660,1119244;46600,1551623,1660,1117006;46550,1549258,1660,1114318;46500,1547530,1660,1112025;46450,1545378,1660,1109551;46400,1542708,1660,1106828;46350,1539608,1660,1103787;46300,1535559,1660,1100042;46250,1530968,1660,1095973;46200,1526909,1660,1092384;46150,1522543,1660,1088514;46100,1518347,1660,1084710;46050,1514199,1660,1080850;46000,1510831,1660,1077644;45950,1507190,1660,1074264;45900,1502062,1660,1069779;45850,1497426,1660,1065563;45800,1493557,1660,1061868;45750,1489739,1660,1058248;45700,1485510,1660,1054402;45650,1480605,1660,1049988;45600,1475793,1660,1045585;45550,1470878,1660,1041050;45500,1466270,1660,1036823;45450,1461776,1660,1032772;45400,1457422,1660,1028849;45350,1452744,1660,1024638;45300,1447917,1660,1020309;45250,1443258,1660,1016166;45200,1438804,1660,1012258;45150,1433986,1660,1008049;45100,1428968,1660,1003659;45050,1424164,1660,999369;45000,1419310,1660,995063;44950,1414332,1660,990757;44900,1409386,1660,986400;44850,1405007,1660,982352;44800,1400786,1660,978362;44750,1396621,1660,974422;44700,1392078,1660,970319;44650,1386941,1660,965749;44600,1381516,1660,960987;44550,1375861,1660,955959;44500,1370652,1660,951325;44450,1365958,1660,947159;44400,1361098,1660,942884;44350,1356107,1660,938502;44300,1350871,1660,933922;44250,1345874,1660,929569;44200,1340776,1660,925245;44150,1335711,1660,920902;44100,1331280,1660,916963;44050,1327220,1660,913290;44000,1322799,1660,909345;43950,1318281,1660,905388;43900,1313593,1660,901287;43850,1309267,1660,897366;43800,1304939,1660,893384;43750,1300343,1660,889261;43700,1296151,1660,885530;43650,1291790,1660,881628;43600,1287251,1660,877592;43550,1282204,1660,873135;43500,1277843,1660,869189;43450,1274197,1660,865890;43400,1270940,1660,862846;43350,1267215,1660,859440;43300,1263118,1660,855824;43250,1259385,1660,852516;43200,1255976,1660,849471;43150,1252391,1660,846275;43100,1248887,1660,843111;43050,1245445,1660,839979;43000,1242341,1660,837143;42950,1239192,1660,834310;42900,1236143,1660,831533;42850,1232820,1660,828508;42800,1229489,1660,825422;42750,1226670,1660,822765;42700,1224041,1660,820297;42650,1221366,1660,817781;42600,1218676,1660,815234;42550,1216115,1660,812724;42500,1213757,1660,810397;42450,1211631,1660,808322;42400,1209694,1660,806387;42350,1208091,1660,804686;42300,1206174,1660,802741;42250,1203786,1660,800533;42200,1202287,1660,799015;42150,1201402,1660,797908;42100,1200185,1660,796555;42050,1198405,1660,794791;42000,1197016,1660,793326;41950,1196281,1660,792351;41900,1195502,1660,791333;41850,1194546,1660,790161;41800,1194411,1660,789494;41750,1194832,1660,789285;41700,1194602,1660,788663;41650,1193747,1660,787628;41600,1192847,1660,786570;41550,1192748,1660,786021;41500,1193002,1660,785758;41450,1193400,1660,785630;41400,1193812,1660,785531;41350,1193933,1660,785230;41300,1194172,1660,784993;41250,1194905,1660,785107;41200,1195591,1660,785253;41150,1196119,1660,785326;41100,1197266,1660,785768;41050,1199235,1660,786732;41000,1201019,1660,787629;40950,1201651,1660,787790;40900,1202062,1660,787805;40850,1202517,1660,787836;40800,1204020,1660,788496;40750,1207101,1660,790233;40700,1210682,1660,792386;40650,1212749,1660,793500;40600,1213730,1660,793924;40550,1215237,1660,794696;40500,1217425,1660,795921;40450,1219724,1660,797270;40400,1221751,1660,798447;40350,1223389,1660,799373;40300,1225099,1660,800357;40250,1226777,1660,801347;40200,1228199,1660,802171;40150,1229847,1660,803149;40100,1232005,1660,804453;40050,1234800,1660,806186;40000,1237355,1660,807752;39950,1239623,1660,809143;39900,1241949,1660,810578;39850,1244561,1660,812186;39800,1247329,1660,813903;39750,1249853,1660,815468;39700,1252223,1660,816951;39650,1254794,1660,818561;39600,1257574,1660,820294;39550,1260525,1660,822158;39500,1263184,1660,823849;39450,1265571,1660,825368;39400,1267798,1660,826784;39350,1269949,1660,828177;39300,1272228,1660,829635;39250,1274867,1660,831355;39200,1277533,1660,833120;39150,1279917,1660,834674;39100,1282071,1660,836086;39050,1284251,1660,837501;39000,1286593,1660,839034;38950,1288998,1660,840612;38900,1291039,1660,841934;38850,1293327,1660,843449;38800,1295778,1660,845057;38750,1298358,1660,846734;38700,1300698,1660,848246;38650,1303012,1660,849773;38600,1305354,1660,851308;38550,1307769,1660,852884;38500,1310101,1660,854409;38450,1312180,1660,855784;38400,1314137,1660,857103;38350,1315808,1660,858235;38300,1317499,1660,859395;38250,1318710,1660,860241;38200,1319696,1660,860965;38150,1321388,1660,862093;38100,1323361,1660,863404;38050,1326909,1660,866274;38000,1330258,1660,868766;37950,1333266,1660,870650;37900,1335800,1660,872265;37850,1337739,1660,873533;37800,1340013,1660,874980;37750,1342788,1660,876789;37700,1345420,1660,878526;37650,1347242,1660,879719;37600,1348939,1660,880847;37550,1350778,1660,882061;37500,1352308,1660,883079;37450,1353329,1660,883732;37400,1354800,1660,884661;37350,1357216,1660,886291;37300,1359037,1660,887535;37250,1359902,1660,888138;37200,1360617,1660,888614;37150,1361857,1660,889453;37100,1363134,1660,890329;37050,1364091,1660,890982;37000,1365397,1660,891842;36950,1367155,1660,893036;36900,1368804,1660,894155;36850,1370086,1660,895022;36800,1371259,1660,895815;36750,1372400,1660,896563;36700,1373582,1660,897319;36650,1375229,1660,898383;36600,1377226,1660,899706;36550,1379169,1660,901023;36500,1380637,1660,902019;36450,1381464,1660,902598;36400,1382044,1660,903026;36350,1382796,1660,903562;36300,1384060,1660,904426;36250,1385524,1660,905431;36200,1386874,1660,906362;36150,1387884,1660,907052;36100,1388611,1660,907563;36050,1389344,1660,908093;36000,1390126,1660,908665;35950,1390838,1660,909179;35900,1391998,1660,909970;35850,1393834,1660,911220;35800,1395671,1660,912487;35750,1397142,1660,913507;35700,1398862,1660,914684;35650,1401285,1660,916357;35600,1403897,1660,918170;35550,1406293,1660,919845;35500,1408467,1660,921387;35450,1410364,1660,922746;35400,1411862,1660,923831;35350,1413673,1660,925102;35300,1416945,1660,927413;35250,1420998,1660,930333;35200,1423813,1660,932383;35150,1425021,1660,933336;35100,1425833,1660,934062;35050,1427753,1660,935558;35000,1431259,1660,938146;34950,1435085,1660,940939;34900,1438505,1660,943461;34850,1442402,1660,946366;34800,1447034,1660,949816;34750,1452165,1660,953612;34700,1457490,1660,957526;34650,1463281,1660,961764;34600,1470243,1660,966837;34550,1478656,1660,972994;34500,1487861,1660,979734;34450,1496829,1660,986287;34400,1506361,1660,993301;34350,1516963,1660,1001167;34300,1528920,1660,1010062;34250,1541748,1660,1019624;34200,1554790,1660,1029371;34150,1569602,1660,1040403;34100,1587118,1660,1053395;34050,1607709,1660,1068653;34000,1630600,1660,1085613;33950,1655035,1660,1103694;33900,1683756,1660,1124949;33850,1718975,1660,1151051;33800,1761293,1660,1182476;33750,1809406,1660,1218233;33700,1861011,1660,1256547;33650,1921753,1660,1301590;33600,1996239,1660,1356845;33550,2087843,1660,1424861;33500,2191488,1660,1501923;33450,2296799,1660,1580356;33400,2408537,1660,1663709;33350,2531155,1660,1755374;33300,2656659,1660,1849419;33250,2762163,1660,1928753;33200,2831132,1660,1980902;33150,2861102,1660,2004049;33100,2844064,1660,1992265;33050,2771360,1660,1938933;33000,2654960,1660,1852923;32950,2519563,1660,1752568;32900,2371507,1660,1642561;32850,2210262,1660,1522729;32800,2046697,1660,1401211;32750,1898437,1660,1291073;32700,1770680,1660,1196317;32650,1655508,1660,1110983;32600,1574234,1660,1050699;32550,1545876,1660,1029585;32500,1541926,1660,1026613;32450,1537685,1660,1023472;32400,1532312,1660,1019542;32350,1526373,1660,1015199;32300,1519644,1660,1010291;32250,1512574,1660,1005198;32200,1506330,1660,1000700;32150,1500929,1660,996781;32100,1495461,1660,992840;32050,1488624,1660,988001;32000,1481197,1660,982775;31950,1474771,1660,978254;31900,1469206,1660,974279;31850,1463846,1660,970452;31800,1458163,1660,966411;31750,1452605,1660,962440;31700,1447871,1660,959078;31650,1443200,1660,955777;31600,1438039,1660,952132;31550,1432446,1660,948165;31500,1427224,1660,944459;31450,1422705,1660,941266;31400,1418144,1660,938072;31350,1412890,1660,934401;31300,1407366,1660,930565;31250,1402512,1660,927223;31200,1397893,1660,924058;31150,1392410,1660,920304;31100,1386475,1660,916254;31050,1380755,1660,912369;31000,1375624,1660,908877;30950,1370984,1660,905689;30900,1366330,1660,902500;30850,1361850,1660,899435;30800,1357041,1660,896141;30750,1351723,1660,892534;30700,1346630,1660,889086;30650,1341617,1660,885661;30600,1337035,1660,882532;30550,1332542,1660,879482;30500,1327602,1660,876122;30450,1322584,1660,872713;30400,1317778,1660,869492;30350,1312876,1660,866220;30300,1307589,1660,862680;30250,1302331,1660,859166;30200,1297705,1660,856080;30150,1293090,1660,853005;30100,1287902,1660,849538;30050,1282600,1660,845981;30000,1277882,1660,842853;29950,1273698,1660,840096;29900,1268964,1660,836919;29850,1263601,1660,833323;29800,1258401,1660,829878;29750,1253349,1660,826553;29700,1248346,1660,823258;29650,1243509,1660,820056;29600,1238778,1660,816918;29550,1233860,1660,813664;29500,1228649,1660,810209;29450,1223631,1660,806880;29400,1218753,1660,803664;29350,1213769,1660,800412;29300,1208099,1660,796699;29250,1202127,1660,792776;29200,1196641,1660,789176;29150,1191509,1660,785801;29100,1186873,1660,782758;29050,1182049,1660,779631;29000,1176559,1660,776074;28950,1170985,1660,772414;28900,1166170,1660,769270;28850,1161869,1660,766504;28800,1156625,1660,763099;28750,1150723,1660,759239;28700,1145371,1660,755730;28650,1140654,1660,752650;28600,1136161,1660,749744;28550,1130798,1660,746246;28500,1124798,1660,742325;28450,1119158,1660,738659;28400,1113737,1660,735150;28350,1108278,1660,731624;28300,1102684,1660,728020;28250,1097271,1660,724533;28200,1091893,1660,721057;28150,1086232,1660,717385;28100,1080533,1660,713679;28050,1074986,1660,710092;28000,1069564,1660,706604;27950,1064358,1660,703234;27900,1059451,1660,700049;27850,1054508,1660,696864;27800,1049040,1660,693355;27750,970666,1660,642305;27700,885742,1660,586993;27650,886025,1660,587252;27600,886193,1660,587443;27550,886222,1660,587551;27500,2062041,1680,1388012;27450,3417735,1704,2311036;27400,3412058,1704,2307533;27350,3404628,1704,2302905;27300,3398165,1704,2299029;27250,3393870,1704,2296686;27200,3388567,1704,2293649;27150,3379083,1704,2287771;27100,3367569,1704,2280516;27050,3357022,1704,2273877;27000,3347624,1704,2267933;26950,3339195,1704,2262583;26900,3330661,1704,2257328;26850,3320728,1704,2251143;26800,3308765,1704,2243506;26750,3298263,1704,2236975;26700,3289980,1704,2231952;26650,3280021,1704,2225700;26600,3266883,1704,2217368;26550,3250989,1704,2207226;26500,3235415,1704,2197437;26450,3221785,1704,2188919;26400,3208533,1704,2180586;26350,3193187,1704,2170807;26300,3177491,1704,2160862;26250,3162387,1704,2151321;26200,3149149,1704,2143070;26150,3135024,1704,2134202;26100,3119830,1704,2124651;26050,3104664,1704,2115149;26000,3089439,1704,2105757;25950,3074076,1704,2096056;25900,3059088,1704,2086588;25850,3044153,1704,2077244;25800,3029963,1704,2068573;25750,3015688,1704,2059873;25700,3001156,1704,2050946;25650,2985698,1704,2041389;25600,2968778,1704,2030948;25550,2953180,1704,2021462;25500,2937792,1704,2012243;25450,2924358,1704,2004291;25400,2911033,1704,1996485;25350,2896386,1704,1987686;25300,2882573,1704,1979690;25250,2870467,1704,1973057;25200,2858541,1704,1966439;25150,2846186,1704,1959577;25100,2834462,1704,1953276;25050,2824203,1704,1947990;25000,2815539,1704,1944017;24950,2809764,1704,1942002;24900,2804571,1704,1940542;24850,2798418,1704,1938475;24800,2792755,1704,1937196;24750,2789554,1704,1937823;24700,2788937,1704,1940184;24650,2790564,1704,1944152;24600,2795230,1704,1950662;24550,2802897,1704,1959767;24500,2813762,1704,1971683;24450,2825174,1704,1983856;24400,2838496,1704,1997551;24350,2855203,1704,2013982;24300,2878964,1704,2036097;24250,2908228,1704,2063051;24200,2936023,1704,2088655;24150,2961386,1704,2112178;24100,2990202,1704,2138900;24050,3020420,1704,2166733;24000,3051297,1704,2195435;23950,3075496,1704,2218491;23900,3093115,1704,2236292;23850,3100538,1704,2246219;23800,3095826,1704,2246812;23750,3075536,1704,2234764;23700,3041621,1704,2211331;23650,2995132,1704,2177654;23600,2928839,1704,2128254;23550,2849582,1704,2068311;23500,2754854,1704,1996033;23450,2662712,1704,1925368;23400,2575839,1704,1858542;23350,2487658,1704,1790703;23300,2397430,1704,1721343;23250,2305340,1704,1650737;23200,2226155,1704,1590160;23150,2159409,1704,1539131;23100,2093919,1704,1489259;23050,2030874,1704,1441439;23000,1967147,1704,1393290;22950,1912287,1704,1352044;22900,1864455,1704,1316274;22850,1817531,1704,1281140;22800,1769514,1704,1245370;22750,1720488,1704,1208940;22700,1676137,1704,1176122;22650,1637049,1704,1147178;22600,1610694,1704,1128303;22550,1596111,1704,1118980;22500,1579958,1704,1108609;22450,1562494,1704,1096995;22400,1543229,1704,1083979;22350,1523419,1704,1070597;22300,1502610,1704,1056472;22250,1481114,1704,1041851;22200,1461418,1704,1028483;22150,1443225,1704,1016072;22100,1424790,1704,1003553;22050,1405837,1704,990665;22000,1384183,1704,975877;21950,1365211,1704,962992;21900,1348011,1704,951269;21850,1329499,1704,938672;21800,1310099,1704,925437;21750,1290935,1704,912444;21700,1273710,1704,900808;21650,1257042,1704,889465;21600,1239361,1704,877467;21550,1221743,1704,865540;21500,1202475,1704,852540;21450,1185327,1704,840965;21400,1169398,1704,830230;21350,1153018,1704,819251;21300,1136608,1704,808301;21250,1119889,1704,797196;21200,1104771,1704,787159;21150,1090437,1704,777596;21100,1075712,1704,767844;21050,1061959,1704,758871;21000,1048477,1704,750208;20950,1036544,1704,742575;20900,1024548,1704,734719;20850,1011257,1704,725936;20800,996821,1704,716344;20750,981370,1704,706065;20700,966348,1704,695787;20650,949529,1704,683887;20600,927042,1704,667401;20550,899912,1704,647076;20500,867651,1704,622594;20450,836610,1704,598948;20400,807446,1704,576722;20350,777305,1704,553715;20300,746580,1704,530273;20250,716989,1704,507802;20200,693113,1704,489944;20150,673686,1704,475631;20100,655091,1704,462072;20050,637783,1704,449630;20000,620574,1704,437416;19950,605630,1704,426932;19900,592210,1704,417630;19850,578495,1704,408047;19800,564305,1704,398089;19750,551355,1704,389295;19700,540966,1704,382480;19650,531059,1704,375747;19600,519144,1704,367371;19550,507009,1704,358949;19500,493429,1704,349718;19450,480490,1704,340695;19400,468770,1704,332490;19350,456677,1704,324054;19300,443739,1704,315226;19250,430244,1704,305922;19200,418236,1704,297429;19150,407630,1704,289941;19100,396193,1704,282019;19050,384444,1704,273906;19000,372410,1704,265356;18950,846864,1740,578119;18900,898021,1746,611434;18850,869974,1746,593028;18800,843348,1746,575543;18750,817297,1746,558077;18700,793313,1746,542017;18650,769169,1746,525844;18600,747487,1746,511353;18550,724724,1746,496130;18500,703717,1746,482093;18450,683756,1746,468692;18400,664339,1746,455717;18350,645266,1746,442960;18300,627739,1746,431218;18250,610193,1746,419470;18200,593867,1746,408532;18150,578249,1746,398039;18100,563221,1746,387903;18050,367538,1746,256617;18000,314970,1746,221587;17950,320791,1746,225796;17900,326868,1746,230181;17850,332956,1746,234596;17800,339353,1746,239237;17750,345905,1746,243985;17700,352171,1746,248549;17650,358844,1746,253413;17600,365532,1746,258274;17550,372370,1746,263271;17500,379220,1746,268302;17450,386323,1746,273505;17400,393659,1746,278906;17350,400490,1746,283954;17300,407017,1746,288793;17250,413822,1746,293850;17200,421027,1746,299210;17150,428243,1746,304581;17100,435221,1746,309749;17050,442100,1746,314921;17000,449013,1746,320112;16950,455634,1746,325123;16900,462601,1746,330367;16850,469942,1746,335913;16800,477658,1746,341716;16750,485190,1746,347406;16700,492615,1746,353024;16650,500659,1746,359169;16600,508871,1746,365407;16550,517755,1746,372168;16500,526746,1746,379038;16450,535324,1746,385581;16400,544500,1746,392623;16350,553788,1746,399779;16300,564206,1746,407769;16250,574469,1746,415688;16200,584159,1746,423155;16150,594450,1746,431101;16100,604789,1746,439157;16050,615717,1746,447633;16000,626513,1746,456049;15950,636934,1746,464149;15900,648132,1746,472847;15850,659370,1746,481609;15800,670373,1746,490209;15750,681642,1746,499023;15700,692417,1746,507407;15650,703687,1746,516157;15600,714635,1746,524704;15550,725270,1746,532992;15500,736393,1746,541596;15450,746296,1746,549227;15400,756114,1746,556817;15350,764860,1746,563554;15300,773635,1746,570279;15250,782249,1746,576914;15200,789405,1746,582368;15150,796248,1746,587510;15100,800949,1746,590896;15050,804141,1746,592934;15000,805131,1746,593084;14950,804000,1746,591505;14900,801476,1746,588743;14850,797186,1746,584515;14800,792619,1746,580068;14750,787221,1746,575018;14700,782813,1746,570834;14650,778122,1746,566551;14600,774365,1746,563080;14550,771790,1746,560642;14500,770221,1746,559153;14450,770291,1746,559065;14400,772187,1746,560375;14350,775629,1746,562968;14300,780750,1746,566853;14250,787016,1746,571703;14200,794263,1746,577312;14150,803251,1746,584472;14100,813467,1746,592612;14050,824188,1746,601137;14000,834246,1746,609187;13950,844819,1746,617549;13900,854859,1746,625422;13850,866390,1746,634492;13800,879958,1746,645153;13750,896037,1746,657674;13700,912504,1746,670470;13650,929680,1746,683728;13600,951471,1746,700521;13550,975919,1746,719359;13500,1005701,1746,742335;13450,1035053,1746,764990;13400,1063466,1746,786848;13350,1095342,1746,811203;13300,1130673,1746,838251;13250,1169948,1746,868286;13200,1206982,1746,896602;13150,1242535,1746,923828;13100,1282182,1746,954195;13050,1322274,1746,985054;13000,1365278,1746,1018213;12950,1405578,1746,1049185;12900,1444344,1746,1079089;12850,1486112,1746,1111412;12800,1531140,1746,1146372;12750,1580176,1746,1184439;12700,1624670,1746,1218941;12650,1666423,1746,1251350;12600,1714311,1746,1288486;12550,1763069,1746,1326126;12500,1814849,1746,1365997;12450,1861907,1746,1401979;12400,1905092,1746,1434771;12350,1949101,1746,1467872;12300,1994252,1746,1501520;12250,2041115,1746,1536063;12200,2082453,1746,1566116;12150,2118624,1746,1591966;12100,2154573,1746,1617134;12050,2187019,1746,1638997;12000,2216733,1746,1658122;11950,2238583,1746,1671171;11900,2254363,1746,1679427;11850,2265481,1746,1683557;11800,2271414,1746,1683151;11750,2271769,1746,1678173;11700,2267346,1746,1670058;11650,2259055,1746,1659480;11600,2245707,1746,1644844;11550,2229585,1746,1627943;11500,2211049,1746,1609001;11450,2194737,1746,1592416;11400,2180053,1746,1577627;11350,2164704,1746,1562541;11300,2149957,1746,1547929;11250,2136185,1746,1534296;11200,2123967,1746,1522539;11150,2111992,1746,1511697;11100,2099325,1746,1501087;11050,2086596,1746,1491201;11000,2073226,1746,1481592;10950,2059566,1746,1472574;10900,2044197,1746,1463435;10850,2025086,1746,1452785;10800,2003079,1746,1439969;10750,1977996,1746,1425294;10700,1950351,1746,1410449;10650,1918557,1746,1394854;10600,1884296,1746,1376880;10550,1852911,1746,1358181;10500,1806380,1746,1333295;10450,1749943,1746,1305985;10400,1704364,1746,1280331;10350,1663846,1746,1252915;10300,1600943,1746,1216666;10250,1517307,1746,1172468;10200,1458559,1746,1133155;10150,1407438,1746,1095280;10100,1325753,1746,1046884;10050,1238139,1746,994581;10000,1172110,1746,942569</t>
  </si>
  <si>
    <t>17532,33542,1693,110549;17532,33558,1693,110596;17532,33579,1693,110659</t>
  </si>
  <si>
    <t>15677,132497,1693,211822;15677,132536,1693,211892;15677,132566,1693,211931</t>
  </si>
  <si>
    <t>12875,76362,1693,456467;12875,76385,1693,456616;12875,76410,1693,456757</t>
  </si>
  <si>
    <t>656.12</t>
  </si>
  <si>
    <t>656.10</t>
  </si>
  <si>
    <t>0.00</t>
  </si>
  <si>
    <t>486.02</t>
  </si>
  <si>
    <t>486.00</t>
  </si>
  <si>
    <t>807.40</t>
  </si>
  <si>
    <t>640.80</t>
  </si>
  <si>
    <t>0.10</t>
  </si>
  <si>
    <t>536.80</t>
  </si>
  <si>
    <t>416.50</t>
  </si>
  <si>
    <t>416.60</t>
  </si>
  <si>
    <t>360.90</t>
  </si>
  <si>
    <t>-0.10</t>
  </si>
  <si>
    <t>287.50</t>
  </si>
  <si>
    <t>241.10</t>
  </si>
  <si>
    <t>241.20</t>
  </si>
  <si>
    <t>0.20</t>
  </si>
  <si>
    <t>7.57</t>
  </si>
  <si>
    <t>7.76</t>
  </si>
  <si>
    <t>0.19</t>
  </si>
  <si>
    <t>10.1</t>
  </si>
  <si>
    <t>10.33</t>
  </si>
  <si>
    <t>0.23</t>
  </si>
  <si>
    <t>10.07</t>
  </si>
  <si>
    <t>10.34</t>
  </si>
  <si>
    <t>0.26</t>
  </si>
  <si>
    <t>0.01</t>
  </si>
  <si>
    <t>18.98</t>
  </si>
  <si>
    <t>19.10</t>
  </si>
  <si>
    <t>0.12</t>
  </si>
  <si>
    <t>20.09</t>
  </si>
  <si>
    <t>20.23</t>
  </si>
  <si>
    <t>0.14</t>
  </si>
  <si>
    <t>20.91</t>
  </si>
  <si>
    <t>21.04</t>
  </si>
  <si>
    <t>0.13</t>
  </si>
  <si>
    <t>29.96</t>
  </si>
  <si>
    <t>30.01</t>
  </si>
  <si>
    <t>0.05</t>
  </si>
  <si>
    <t>30.43</t>
  </si>
  <si>
    <t>30.45</t>
  </si>
  <si>
    <t>0.02</t>
  </si>
  <si>
    <t>28.88</t>
  </si>
  <si>
    <t>28.93</t>
  </si>
  <si>
    <t>28.94</t>
  </si>
  <si>
    <t>0.06</t>
  </si>
  <si>
    <t>23.2</t>
  </si>
  <si>
    <t>23.21</t>
  </si>
  <si>
    <t>23.22</t>
  </si>
  <si>
    <t>51.58</t>
  </si>
  <si>
    <t>51.50</t>
  </si>
  <si>
    <t>-0.08</t>
  </si>
  <si>
    <t>14.06</t>
  </si>
  <si>
    <t>14.04</t>
  </si>
  <si>
    <t>-0.02</t>
  </si>
  <si>
    <t>18.42</t>
  </si>
  <si>
    <t>18.28</t>
  </si>
  <si>
    <t>18.29</t>
  </si>
  <si>
    <t>-0.14</t>
  </si>
  <si>
    <t>0.007</t>
  </si>
  <si>
    <t>0.029</t>
  </si>
  <si>
    <t>0.028</t>
  </si>
  <si>
    <t>0.027</t>
  </si>
  <si>
    <t>合格</t>
  </si>
  <si>
    <t>0.00021</t>
  </si>
  <si>
    <t>1.80</t>
  </si>
  <si>
    <t>-10.00</t>
  </si>
  <si>
    <t>0.043</t>
  </si>
  <si>
    <t>0.0004</t>
  </si>
  <si>
    <t>0.011</t>
  </si>
  <si>
    <t>0.0008</t>
  </si>
  <si>
    <t>0.03</t>
  </si>
  <si>
    <t>0.001</t>
  </si>
  <si>
    <t>0.09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</si>
</sst>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64" formatCode="General"/>
    <numFmt numFmtId="165" formatCode="0.00_);[Red]\(0.00\)"/>
    <numFmt numFmtId="166" formatCode="0.0"/>
    <numFmt numFmtId="167" formatCode="#,##0"/>
    <numFmt numFmtId="168" formatCode="0.00 "/>
    <numFmt numFmtId="169" formatCode="0.00000 "/>
    <numFmt numFmtId="170" formatCode="0.0000_);[Red]\(0.0000\)"/>
    <numFmt numFmtId="171" formatCode="0.0_);[Red]\(0.0\)"/>
    <numFmt numFmtId="172" formatCode="0.000_);[Red]\(0.000\)"/>
    <numFmt numFmtId="173" formatCode="[$-10804]yyyy&quot;年&quot;m&quot;月&quot;d&quot;日&quot;"/>
    <numFmt numFmtId="174" formatCode="[$-10804]yyyy/m/d h:mm"/>
    <numFmt numFmtId="175" formatCode="0.00_);[Red]\-0.00\ "/>
    <numFmt numFmtId="176" formatCode="0.0_);[Red]\-0.0\ "/>
    <numFmt numFmtId="177" formatCode="0.0000000_);[Red]\-0.0000000\ "/>
    <numFmt numFmtId="178" formatCode="0.0 "/>
    <numFmt numFmtId="179" formatCode="0%"/>
    <numFmt numFmtId="180" formatCode="0.000 "/>
    <numFmt numFmtId="181" formatCode="0.0000 "/>
  </numFmts>
  <fonts>
    <font>
      <b val="0"/>
      <i val="0"/>
      <strike val="0"/>
      <condense val="0"/>
      <extend val="0"/>
      <outline val="0"/>
      <shadow val="0"/>
      <u val="none"/>
      <vertAlign val="baseline"/>
      <sz val="11"/>
      <color auto="1"/>
      <name val="宋体"/>
    </font>
    <font/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family val="1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</font>
    <font>
      <b/>
      <i val="0"/>
      <strike val="0"/>
      <condense val="0"/>
      <extend val="0"/>
      <outline val="0"/>
      <shadow val="0"/>
      <u val="none"/>
      <vertAlign val="baseline"/>
      <sz val="12"/>
      <color theme="1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family val="1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family val="1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2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2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0"/>
      <color rgb="FF000000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family val="1"/>
    </font>
    <font/>
    <font/>
    <font>
      <b val="0"/>
      <i val="0"/>
      <strike val="0"/>
      <condense val="0"/>
      <extend val="0"/>
      <outline val="0"/>
      <shadow val="0"/>
      <u val="none"/>
      <vertAlign val="baseline"/>
      <sz val="18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黑体"/>
      <family val="3"/>
      <charset val="134"/>
    </font>
  </fonts>
  <fills>
    <fill>
      <patternFill patternType="none"/>
    </fill>
    <fill>
      <patternFill patternType="gray125"/>
    </fill>
    <fill/>
    <fill>
      <patternFill patternType="solid">
        <fgColor theme="4" tint="0.7994628742332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 diagonalUp="0" diagonalDown="0">
      <left/>
      <right style="thin">
        <color rgb="FF000000"/>
      </right>
      <top/>
      <bottom style="thin">
        <color rgb="FF000000"/>
      </bottom>
      <diagonal/>
    </border>
    <border diagonalUp="0" diagonalDown="0">
      <left/>
      <right style="thin">
        <color rgb="FF000000"/>
      </right>
      <top style="thin">
        <color rgb="FF000000"/>
      </top>
      <bottom/>
      <diagonal/>
    </border>
    <border/>
    <border diagonalUp="0" diagonalDown="0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/>
    <border diagonalUp="0" diagonalDown="0">
      <left/>
      <right style="thin">
        <color rgb="FF000000"/>
      </right>
      <top/>
      <bottom/>
      <diagonal/>
    </border>
    <border diagonalUp="0" diagonalDown="0">
      <left/>
      <right/>
      <top style="thin">
        <color rgb="FF000000"/>
      </top>
      <bottom style="thin">
        <color rgb="FF000000"/>
      </bottom>
      <diagonal/>
    </border>
    <border diagonalUp="0" diagonalDown="0">
      <left style="thin">
        <color rgb="FF000000"/>
      </left>
      <right/>
      <top/>
      <bottom style="thin">
        <color rgb="FF000000"/>
      </bottom>
      <diagonal/>
    </border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0" diagonalDown="0">
      <left/>
      <right/>
      <top style="thin">
        <color rgb="FF000000"/>
      </top>
      <bottom/>
      <diagonal/>
    </border>
    <border diagonalUp="0" diagonalDown="0">
      <left/>
      <right/>
      <top/>
      <bottom style="thin">
        <color rgb="FF000000"/>
      </bottom>
      <diagonal/>
    </border>
    <border diagonalUp="0" diagonalDown="0">
      <left style="thin">
        <color rgb="FF000000"/>
      </left>
      <right style="thin">
        <color rgb="FF000000"/>
      </right>
      <top/>
      <bottom/>
      <diagonal/>
    </border>
    <border diagonalUp="0" diagonalDown="0">
      <left style="thin">
        <color rgb="FF000000"/>
      </left>
      <right/>
      <top/>
      <bottom/>
      <diagonal/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</border>
    <border diagonalUp="0" diagonalDown="0">
      <left style="thin">
        <color rgb="FF000000"/>
      </left>
      <right style="thin">
        <color rgb="FF000000"/>
      </right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</border>
  </borders>
  <cellStyleXfs>
    <xf numFmtId="0" fontId="0" fillId="0" borderId="0">
      <alignment vertical="top"/>
    </xf>
    <xf numFmtId="164" fontId="12" fillId="0" borderId="0"/>
    <xf numFmtId="164" fontId="16" fillId="0" borderId="0"/>
  </cellStyleXfs>
  <cellXfs count="360"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/>
    <xf numFmtId="172" fontId="8" fillId="0" borderId="1" xfId="0" applyNumberFormat="1" applyFont="1" applyFill="1" applyBorder="1" applyAlignment="1" applyProtection="1">
      <alignment horizontal="center" vertical="center" wrapText="1"/>
    </xf>
    <xf numFmtId="172" fontId="8" fillId="3" borderId="1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horizontal="center" vertical="bottom"/>
    </xf>
    <xf numFmtId="0" fontId="13" fillId="0" borderId="0" xfId="0" applyNumberFormat="1" applyFont="1" applyFill="1" applyBorder="1" applyAlignment="1" applyProtection="1"/>
    <xf numFmtId="170" fontId="8" fillId="3" borderId="1" xfId="0" applyNumberFormat="1" applyFont="1" applyFill="1" applyBorder="1" applyAlignment="1" applyProtection="1">
      <alignment vertical="center" wrapText="1"/>
    </xf>
    <xf numFmtId="49" fontId="15" fillId="0" borderId="0" xfId="0" applyNumberFormat="1" applyFont="1" applyFill="1" applyBorder="1" applyAlignment="1" applyProtection="1">
      <alignment horizontal="center" vertical="center" wrapText="1"/>
    </xf>
    <xf numFmtId="0" fontId="7" fillId="5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168" fontId="8" fillId="3" borderId="10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bottom"/>
    </xf>
    <xf numFmtId="168" fontId="0" fillId="0" borderId="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vertical="center" wrapText="1"/>
    </xf>
    <xf numFmtId="168" fontId="3" fillId="0" borderId="1" xfId="0" applyNumberFormat="1" applyFont="1" applyFill="1" applyBorder="1" applyAlignment="1" applyProtection="1">
      <alignment horizontal="center" vertical="bottom"/>
    </xf>
    <xf numFmtId="171" fontId="8" fillId="9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5" fontId="8" fillId="3" borderId="10" xfId="0" applyNumberFormat="1" applyFont="1" applyFill="1" applyBorder="1" applyAlignment="1" applyProtection="1">
      <alignment horizontal="center" vertical="center" wrapText="1"/>
    </xf>
    <xf numFmtId="165" fontId="15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/>
    <xf numFmtId="0" fontId="0" fillId="0" borderId="0" xfId="0"/>
    <xf numFmtId="169" fontId="3" fillId="0" borderId="1" xfId="0" applyNumberFormat="1" applyFont="1" applyFill="1" applyBorder="1" applyAlignment="1" applyProtection="1"/>
    <xf numFmtId="170" fontId="3" fillId="0" borderId="1" xfId="0" applyNumberFormat="1" applyFont="1" applyFill="1" applyBorder="1" applyAlignment="1" applyProtection="1"/>
    <xf numFmtId="169" fontId="0" fillId="0" borderId="0" xfId="0" applyNumberFormat="1" applyFont="1" applyFill="1" applyBorder="1" applyAlignment="1" applyProtection="1"/>
    <xf numFmtId="165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/>
    <xf numFmtId="172" fontId="8" fillId="9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vertical="bottom"/>
    </xf>
    <xf numFmtId="165" fontId="3" fillId="0" borderId="0" xfId="0" applyNumberFormat="1" applyFont="1" applyFill="1" applyBorder="1" applyAlignment="1" applyProtection="1"/>
    <xf numFmtId="168" fontId="3" fillId="0" borderId="0" xfId="0" applyNumberFormat="1" applyFont="1" applyFill="1" applyBorder="1" applyAlignment="1" applyProtection="1"/>
    <xf numFmtId="171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center" vertical="bottom"/>
    </xf>
    <xf numFmtId="49" fontId="3" fillId="0" borderId="0" xfId="0" applyNumberFormat="1" applyFont="1" applyFill="1" applyBorder="1" applyAlignment="1" applyProtection="1"/>
    <xf numFmtId="0" fontId="8" fillId="9" borderId="2" xfId="0" applyNumberFormat="1" applyFont="1" applyFill="1" applyBorder="1" applyAlignment="1" applyProtection="1">
      <alignment horizontal="center" vertical="center" wrapText="1"/>
    </xf>
    <xf numFmtId="0" fontId="8" fillId="3" borderId="2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172" fontId="3" fillId="0" borderId="0" xfId="0" applyNumberFormat="1" applyFont="1" applyFill="1" applyBorder="1" applyAlignment="1" applyProtection="1"/>
    <xf numFmtId="168" fontId="8" fillId="9" borderId="1" xfId="0" applyNumberFormat="1" applyFont="1" applyFill="1" applyBorder="1" applyAlignment="1" applyProtection="1">
      <alignment horizontal="center" vertical="center" wrapText="1"/>
    </xf>
    <xf numFmtId="0" fontId="8" fillId="3" borderId="1" xfId="0" applyNumberFormat="1" applyFont="1" applyFill="1" applyBorder="1" applyAlignment="1" applyProtection="1">
      <alignment vertical="center" wrapText="1"/>
    </xf>
    <xf numFmtId="171" fontId="5" fillId="0" borderId="1" xfId="0" applyNumberFormat="1" applyFont="1" applyFill="1" applyBorder="1" applyAlignment="1" applyProtection="1">
      <alignment horizontal="center" vertical="center" wrapText="1"/>
    </xf>
    <xf numFmtId="171" fontId="0" fillId="0" borderId="0" xfId="0" applyNumberFormat="1" applyFont="1" applyFill="1" applyBorder="1" applyAlignment="1" applyProtection="1"/>
    <xf numFmtId="17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8" fontId="2" fillId="0" borderId="0" xfId="0" applyNumberFormat="1" applyFont="1" applyFill="1" applyBorder="1" applyAlignment="1" applyProtection="1"/>
    <xf numFmtId="166" fontId="5" fillId="0" borderId="1" xfId="0" applyNumberFormat="1" applyFont="1" applyFill="1" applyBorder="1" applyAlignment="1" applyProtection="1">
      <alignment horizontal="center" vertical="center" wrapText="1"/>
    </xf>
    <xf numFmtId="171" fontId="3" fillId="0" borderId="0" xfId="0" applyNumberFormat="1" applyFont="1" applyFill="1" applyBorder="1" applyAlignment="1" applyProtection="1">
      <alignment horizontal="center" vertical="bottom"/>
    </xf>
    <xf numFmtId="0" fontId="3" fillId="0" borderId="1" xfId="0" applyNumberFormat="1" applyFont="1" applyFill="1" applyBorder="1" applyAlignment="1" applyProtection="1">
      <alignment horizontal="center" vertical="bottom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171" fontId="8" fillId="3" borderId="1" xfId="0" applyNumberFormat="1" applyFont="1" applyFill="1" applyBorder="1" applyAlignment="1" applyProtection="1">
      <alignment horizontal="center" vertical="center" wrapText="1"/>
    </xf>
    <xf numFmtId="168" fontId="8" fillId="3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bottom"/>
    </xf>
    <xf numFmtId="173" fontId="12" fillId="0" borderId="0" xfId="0" applyNumberFormat="1" applyFont="1" applyFill="1" applyBorder="1" applyAlignment="1" applyProtection="1"/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22" fillId="6" borderId="1" xfId="0" applyNumberFormat="1" applyFont="1" applyFill="1" applyBorder="1" applyAlignment="1" applyProtection="1">
      <alignment horizontal="center" vertical="center" wrapText="1"/>
    </xf>
    <xf numFmtId="172" fontId="20" fillId="6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0" fontId="11" fillId="6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center"/>
    </xf>
    <xf numFmtId="49" fontId="22" fillId="6" borderId="1" xfId="0" applyNumberFormat="1" applyFont="1" applyFill="1" applyBorder="1" applyAlignment="1" applyProtection="1">
      <alignment horizontal="center" vertical="center" wrapText="1"/>
    </xf>
    <xf numFmtId="0" fontId="14" fillId="6" borderId="1" xfId="0" applyNumberFormat="1" applyFont="1" applyFill="1" applyBorder="1" applyAlignment="1" applyProtection="1">
      <alignment horizontal="center" vertical="center" wrapText="1"/>
    </xf>
    <xf numFmtId="170" fontId="0" fillId="6" borderId="1" xfId="0" applyNumberFormat="1" applyFont="1" applyFill="1" applyBorder="1" applyAlignment="1" applyProtection="1">
      <alignment horizontal="center" vertical="bottom"/>
    </xf>
    <xf numFmtId="171" fontId="0" fillId="6" borderId="1" xfId="0" applyNumberFormat="1" applyFont="1" applyFill="1" applyBorder="1" applyAlignment="1" applyProtection="1">
      <alignment horizontal="center" vertical="bottom"/>
    </xf>
    <xf numFmtId="168" fontId="20" fillId="6" borderId="1" xfId="0" applyNumberFormat="1" applyFont="1" applyFill="1" applyBorder="1" applyAlignment="1" applyProtection="1">
      <alignment horizontal="center" vertical="center" wrapText="1"/>
    </xf>
    <xf numFmtId="165" fontId="20" fillId="6" borderId="1" xfId="0" applyNumberFormat="1" applyFont="1" applyFill="1" applyBorder="1" applyAlignment="1" applyProtection="1">
      <alignment horizontal="center" vertical="center" wrapText="1"/>
    </xf>
    <xf numFmtId="165" fontId="11" fillId="6" borderId="1" xfId="0" applyNumberFormat="1" applyFont="1" applyFill="1" applyBorder="1" applyAlignment="1" applyProtection="1">
      <alignment horizontal="center" vertical="center" wrapText="1"/>
    </xf>
    <xf numFmtId="171" fontId="0" fillId="6" borderId="1" xfId="0" applyNumberFormat="1" applyFont="1" applyFill="1" applyBorder="1" applyAlignment="1" applyProtection="1">
      <alignment horizontal="center" vertical="center"/>
    </xf>
    <xf numFmtId="171" fontId="20" fillId="6" borderId="1" xfId="0" applyNumberFormat="1" applyFont="1" applyFill="1" applyBorder="1" applyAlignment="1" applyProtection="1">
      <alignment horizontal="center" vertical="center" wrapText="1"/>
    </xf>
    <xf numFmtId="167" fontId="12" fillId="0" borderId="1" xfId="0" applyNumberFormat="1" applyFont="1" applyFill="1" applyBorder="1" applyAlignment="1" applyProtection="1">
      <alignment horizontal="center" vertical="center"/>
    </xf>
    <xf numFmtId="0" fontId="20" fillId="0" borderId="1" xfId="0" applyNumberFormat="1" applyFont="1" applyFill="1" applyBorder="1" applyAlignment="1" applyProtection="1">
      <alignment horizontal="center" vertical="center" wrapText="1"/>
    </xf>
    <xf numFmtId="0" fontId="3" fillId="6" borderId="1" xfId="0" applyNumberFormat="1" applyFont="1" applyFill="1" applyBorder="1" applyAlignment="1" applyProtection="1">
      <alignment horizontal="center" vertical="bottom"/>
    </xf>
    <xf numFmtId="0" fontId="0" fillId="4" borderId="0" xfId="0" applyNumberFormat="1" applyFont="1" applyFill="1" applyBorder="1" applyAlignment="1" applyProtection="1">
      <alignment horizontal="left" vertical="center"/>
    </xf>
    <xf numFmtId="0" fontId="0" fillId="5" borderId="1" xfId="0" applyNumberFormat="1" applyFont="1" applyFill="1" applyBorder="1" applyAlignment="1" applyProtection="1">
      <alignment horizontal="center" vertical="center" wrapText="1"/>
    </xf>
    <xf numFmtId="49" fontId="0" fillId="6" borderId="1" xfId="0" applyNumberFormat="1" applyFont="1" applyFill="1" applyBorder="1" applyAlignment="1" applyProtection="1">
      <alignment horizontal="center" vertical="bottom"/>
    </xf>
    <xf numFmtId="165" fontId="0" fillId="6" borderId="1" xfId="0" applyNumberFormat="1" applyFont="1" applyFill="1" applyBorder="1" applyAlignment="1" applyProtection="1">
      <alignment horizontal="center" vertical="bottom"/>
    </xf>
    <xf numFmtId="0" fontId="0" fillId="4" borderId="0" xfId="0" applyNumberFormat="1" applyFont="1" applyFill="1" applyBorder="1" applyAlignment="1" applyProtection="1">
      <alignment horizontal="left" vertical="bottom"/>
    </xf>
    <xf numFmtId="0" fontId="0" fillId="0" borderId="1" xfId="0" applyNumberFormat="1" applyFont="1" applyFill="1" applyBorder="1" applyAlignment="1" applyProtection="1">
      <alignment horizontal="center" vertical="bottom"/>
    </xf>
    <xf numFmtId="0" fontId="0" fillId="0" borderId="1" xfId="0" applyNumberFormat="1" applyFont="1" applyFill="1" applyBorder="1" applyAlignment="1" applyProtection="1">
      <alignment horizontal="left" vertical="bottom"/>
    </xf>
    <xf numFmtId="166" fontId="11" fillId="6" borderId="1" xfId="0" applyNumberFormat="1" applyFont="1" applyFill="1" applyBorder="1" applyAlignment="1" applyProtection="1">
      <alignment horizontal="center" vertical="center" wrapText="1"/>
    </xf>
    <xf numFmtId="174" fontId="0" fillId="0" borderId="1" xfId="0" applyNumberFormat="1" applyFont="1" applyFill="1" applyBorder="1" applyAlignment="1" applyProtection="1">
      <alignment horizontal="left" vertical="bottom"/>
    </xf>
    <xf numFmtId="175" fontId="8" fillId="0" borderId="1" xfId="0" applyNumberFormat="1" applyFont="1" applyFill="1" applyBorder="1" applyAlignment="1" applyProtection="1">
      <alignment horizontal="center" vertical="center" wrapText="1"/>
    </xf>
    <xf numFmtId="178" fontId="3" fillId="0" borderId="1" xfId="0" applyNumberFormat="1" applyFont="1" applyFill="1" applyBorder="1" applyAlignment="1" applyProtection="1">
      <alignment horizontal="center" vertical="bottom"/>
    </xf>
    <xf numFmtId="175" fontId="3" fillId="0" borderId="0" xfId="0" applyNumberFormat="1" applyFont="1" applyFill="1" applyBorder="1" applyAlignment="1" applyProtection="1"/>
    <xf numFmtId="49" fontId="0" fillId="0" borderId="1" xfId="0" applyNumberFormat="1" applyFont="1" applyFill="1" applyBorder="1" applyAlignment="1" applyProtection="1">
      <alignment horizontal="center" vertical="center"/>
    </xf>
    <xf numFmtId="0" fontId="22" fillId="0" borderId="1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3" fillId="7" borderId="1" xfId="0" applyNumberFormat="1" applyFont="1" applyFill="1" applyBorder="1" applyAlignment="1" applyProtection="1">
      <alignment horizontal="left" vertical="bottom"/>
    </xf>
    <xf numFmtId="0" fontId="12" fillId="4" borderId="0" xfId="0" applyNumberFormat="1" applyFont="1" applyFill="1" applyBorder="1" applyAlignment="1" applyProtection="1"/>
    <xf numFmtId="175" fontId="8" fillId="3" borderId="1" xfId="0" applyNumberFormat="1" applyFont="1" applyFill="1" applyBorder="1" applyAlignment="1" applyProtection="1">
      <alignment horizontal="center" vertical="center" wrapText="1"/>
    </xf>
    <xf numFmtId="175" fontId="3" fillId="0" borderId="0" xfId="0" applyNumberFormat="1" applyFont="1" applyFill="1" applyBorder="1" applyAlignment="1" applyProtection="1">
      <alignment horizontal="center" vertical="bottom"/>
    </xf>
    <xf numFmtId="177" fontId="3" fillId="0" borderId="0" xfId="0" applyNumberFormat="1" applyFont="1" applyFill="1" applyBorder="1" applyAlignment="1" applyProtection="1"/>
    <xf numFmtId="0" fontId="0" fillId="0" borderId="0" xfId="0"/>
    <xf numFmtId="11" fontId="3" fillId="0" borderId="0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center" vertical="center"/>
    </xf>
    <xf numFmtId="165" fontId="3" fillId="0" borderId="1" xfId="0" applyNumberFormat="1" applyFont="1" applyFill="1" applyBorder="1" applyAlignment="1" applyProtection="1"/>
    <xf numFmtId="175" fontId="3" fillId="0" borderId="0" xfId="0" applyNumberFormat="1" applyFont="1" applyFill="1" applyBorder="1" applyAlignment="1" applyProtection="1">
      <alignment horizontal="center" vertical="center"/>
    </xf>
    <xf numFmtId="0" fontId="8" fillId="0" borderId="16" xfId="0" applyNumberFormat="1" applyFont="1" applyFill="1" applyBorder="1" applyAlignment="1" applyProtection="1">
      <alignment horizontal="center" vertical="center" wrapText="1"/>
    </xf>
    <xf numFmtId="0" fontId="8" fillId="3" borderId="1" xfId="0" applyNumberFormat="1" applyFont="1" applyFill="1" applyBorder="1" applyAlignment="1" applyProtection="1">
      <alignment horizontal="center" vertical="center" wrapText="1"/>
    </xf>
    <xf numFmtId="0" fontId="14" fillId="4" borderId="1" xfId="0" applyNumberFormat="1" applyFont="1" applyFill="1" applyBorder="1" applyAlignment="1" applyProtection="1">
      <alignment horizontal="left" vertical="center" wrapText="1"/>
    </xf>
    <xf numFmtId="0" fontId="12" fillId="0" borderId="1" xfId="0" applyNumberFormat="1" applyFont="1" applyFill="1" applyBorder="1" applyAlignment="1" applyProtection="1"/>
    <xf numFmtId="173" fontId="0" fillId="0" borderId="0" xfId="0" applyNumberFormat="1" applyFont="1" applyFill="1" applyBorder="1" applyAlignment="1" applyProtection="1">
      <alignment horizontal="left" vertical="bottom"/>
    </xf>
    <xf numFmtId="49" fontId="7" fillId="0" borderId="1" xfId="0" applyNumberFormat="1" applyFont="1" applyFill="1" applyBorder="1" applyAlignment="1" applyProtection="1">
      <alignment horizontal="center" vertical="center" wrapText="1"/>
    </xf>
    <xf numFmtId="49" fontId="12" fillId="0" borderId="1" xfId="0" applyNumberFormat="1" applyFont="1" applyFill="1" applyBorder="1" applyAlignment="1" applyProtection="1">
      <alignment vertical="bottom" wrapText="1"/>
    </xf>
    <xf numFmtId="0" fontId="0" fillId="0" borderId="0" xfId="0"/>
    <xf numFmtId="0" fontId="6" fillId="0" borderId="0" xfId="0" applyNumberFormat="1" applyFont="1" applyFill="1" applyBorder="1" applyAlignment="1" applyProtection="1">
      <alignment vertical="bottom" wrapText="1"/>
    </xf>
    <xf numFmtId="0" fontId="0" fillId="0" borderId="1" xfId="0" applyNumberFormat="1" applyFont="1" applyFill="1" applyBorder="1" applyAlignment="1" applyProtection="1"/>
    <xf numFmtId="0" fontId="12" fillId="4" borderId="1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vertical="bottom" wrapText="1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bottom" wrapText="1"/>
    </xf>
    <xf numFmtId="0" fontId="15" fillId="0" borderId="16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0" fillId="4" borderId="1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 vertical="bottom" wrapText="1"/>
    </xf>
    <xf numFmtId="49" fontId="0" fillId="0" borderId="1" xfId="0" applyNumberFormat="1" applyFont="1" applyFill="1" applyBorder="1" applyAlignment="1" applyProtection="1">
      <alignment vertical="bottom" wrapText="1"/>
    </xf>
    <xf numFmtId="0" fontId="12" fillId="0" borderId="1" xfId="0" applyNumberFormat="1" applyFont="1" applyFill="1" applyBorder="1" applyAlignment="1" applyProtection="1">
      <alignment horizontal="center" vertical="bottom"/>
    </xf>
    <xf numFmtId="0" fontId="12" fillId="8" borderId="1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vertical="bottom" wrapText="1"/>
    </xf>
    <xf numFmtId="171" fontId="3" fillId="0" borderId="1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bottom"/>
    </xf>
    <xf numFmtId="165" fontId="5" fillId="0" borderId="1" xfId="0" applyNumberFormat="1" applyFont="1" applyFill="1" applyBorder="1" applyAlignment="1" applyProtection="1">
      <alignment vertical="center" wrapText="1"/>
    </xf>
    <xf numFmtId="171" fontId="3" fillId="0" borderId="1" xfId="0" applyNumberFormat="1" applyFont="1" applyFill="1" applyBorder="1" applyAlignment="1" applyProtection="1"/>
    <xf numFmtId="168" fontId="8" fillId="0" borderId="1" xfId="0" applyNumberFormat="1" applyFont="1" applyFill="1" applyBorder="1" applyAlignment="1" applyProtection="1">
      <alignment horizontal="center" vertical="center" wrapText="1"/>
    </xf>
    <xf numFmtId="165" fontId="8" fillId="0" borderId="1" xfId="0" applyNumberFormat="1" applyFont="1" applyFill="1" applyBorder="1" applyAlignment="1" applyProtection="1">
      <alignment horizontal="center" vertical="center" wrapText="1"/>
    </xf>
    <xf numFmtId="171" fontId="8" fillId="0" borderId="1" xfId="0" applyNumberFormat="1" applyFont="1" applyFill="1" applyBorder="1" applyAlignment="1" applyProtection="1">
      <alignment horizontal="center" vertical="center" wrapText="1"/>
    </xf>
    <xf numFmtId="0" fontId="22" fillId="0" borderId="5" xfId="0" applyNumberFormat="1" applyFont="1" applyFill="1" applyBorder="1" applyAlignment="1" applyProtection="1">
      <alignment vertical="center" wrapText="1"/>
    </xf>
    <xf numFmtId="168" fontId="3" fillId="0" borderId="0" xfId="0" applyNumberFormat="1" applyFont="1" applyFill="1" applyBorder="1" applyAlignment="1" applyProtection="1">
      <alignment horizontal="center" vertical="bottom"/>
    </xf>
    <xf numFmtId="170" fontId="0" fillId="0" borderId="1" xfId="0" applyNumberFormat="1" applyFont="1" applyFill="1" applyBorder="1" applyAlignment="1" applyProtection="1"/>
    <xf numFmtId="165" fontId="8" fillId="9" borderId="1" xfId="0" applyNumberFormat="1" applyFont="1" applyFill="1" applyBorder="1" applyAlignment="1" applyProtection="1">
      <alignment vertical="center" wrapText="1"/>
    </xf>
    <xf numFmtId="170" fontId="0" fillId="0" borderId="0" xfId="0" applyNumberFormat="1" applyFont="1" applyFill="1" applyBorder="1" applyAlignment="1" applyProtection="1"/>
    <xf numFmtId="172" fontId="0" fillId="0" borderId="1" xfId="0" applyNumberFormat="1" applyFont="1" applyFill="1" applyBorder="1" applyAlignment="1" applyProtection="1"/>
    <xf numFmtId="165" fontId="8" fillId="9" borderId="1" xfId="0" applyNumberFormat="1" applyFont="1" applyFill="1" applyBorder="1" applyAlignment="1" applyProtection="1">
      <alignment horizontal="center" vertical="center" wrapText="1"/>
    </xf>
    <xf numFmtId="168" fontId="21" fillId="0" borderId="14" xfId="0" applyNumberFormat="1" applyFont="1" applyFill="1" applyBorder="1" applyAlignment="1" applyProtection="1">
      <alignment horizontal="center" vertical="center" wrapText="1"/>
    </xf>
    <xf numFmtId="168" fontId="21" fillId="0" borderId="11" xfId="0" applyNumberFormat="1" applyFont="1" applyFill="1" applyBorder="1" applyAlignment="1" applyProtection="1">
      <alignment horizontal="center" vertical="center" wrapText="1"/>
    </xf>
    <xf numFmtId="168" fontId="12" fillId="4" borderId="18" xfId="0" applyNumberFormat="1" applyFont="1" applyFill="1" applyBorder="1" applyAlignment="1" applyProtection="1">
      <alignment horizontal="center" vertical="center" wrapText="1"/>
    </xf>
    <xf numFmtId="168" fontId="12" fillId="0" borderId="11" xfId="0" applyNumberFormat="1" applyFont="1" applyFill="1" applyBorder="1" applyAlignment="1" applyProtection="1">
      <alignment horizontal="center" vertical="center" wrapText="1"/>
    </xf>
    <xf numFmtId="175" fontId="12" fillId="0" borderId="5" xfId="0" applyNumberFormat="1" applyFont="1" applyFill="1" applyBorder="1" applyAlignment="1" applyProtection="1">
      <alignment horizontal="center" vertical="center" wrapText="1"/>
    </xf>
    <xf numFmtId="179" fontId="12" fillId="0" borderId="7" xfId="0" applyNumberFormat="1" applyFont="1" applyFill="1" applyBorder="1" applyAlignment="1" applyProtection="1">
      <alignment horizontal="center" vertical="center" wrapText="1"/>
    </xf>
    <xf numFmtId="0" fontId="12" fillId="0" borderId="20" xfId="0" applyNumberFormat="1" applyFont="1" applyFill="1" applyBorder="1" applyAlignment="1" applyProtection="1">
      <alignment horizontal="center" vertical="center" wrapText="1"/>
    </xf>
    <xf numFmtId="0" fontId="15" fillId="4" borderId="1" xfId="0" applyNumberFormat="1" applyFont="1" applyFill="1" applyBorder="1" applyAlignment="1" applyProtection="1">
      <alignment horizontal="center" vertical="center" wrapText="1"/>
    </xf>
    <xf numFmtId="0" fontId="8" fillId="0" borderId="18" xfId="0" applyNumberFormat="1" applyFont="1" applyFill="1" applyBorder="1" applyAlignment="1" applyProtection="1">
      <alignment horizontal="center" vertical="center" wrapText="1"/>
    </xf>
    <xf numFmtId="172" fontId="8" fillId="3" borderId="10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80" fontId="12" fillId="0" borderId="1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8" fontId="12" fillId="0" borderId="4" xfId="0" applyNumberFormat="1" applyFont="1" applyFill="1" applyBorder="1" applyAlignment="1" applyProtection="1">
      <alignment horizontal="center" vertical="center" wrapText="1"/>
    </xf>
    <xf numFmtId="168" fontId="12" fillId="0" borderId="5" xfId="0" applyNumberFormat="1" applyFont="1" applyFill="1" applyBorder="1" applyAlignment="1" applyProtection="1">
      <alignment horizontal="center" vertical="center" wrapText="1"/>
    </xf>
    <xf numFmtId="0" fontId="22" fillId="0" borderId="11" xfId="0" applyNumberFormat="1" applyFont="1" applyFill="1" applyBorder="1" applyAlignment="1" applyProtection="1">
      <alignment vertical="center" wrapText="1"/>
    </xf>
    <xf numFmtId="0" fontId="22" fillId="0" borderId="17" xfId="0" applyNumberFormat="1" applyFont="1" applyFill="1" applyBorder="1" applyAlignment="1" applyProtection="1">
      <alignment vertical="center" wrapText="1"/>
    </xf>
    <xf numFmtId="0" fontId="12" fillId="0" borderId="3" xfId="0" applyNumberFormat="1" applyFont="1" applyFill="1" applyBorder="1" applyAlignment="1" applyProtection="1">
      <alignment horizontal="center" vertical="center" wrapText="1"/>
    </xf>
    <xf numFmtId="0" fontId="18" fillId="0" borderId="18" xfId="0" applyNumberFormat="1" applyFont="1" applyFill="1" applyBorder="1" applyAlignment="1" applyProtection="1">
      <alignment horizontal="center" vertical="center" wrapText="1"/>
    </xf>
    <xf numFmtId="0" fontId="12" fillId="0" borderId="19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1" fillId="0" borderId="10" xfId="0" applyNumberFormat="1" applyFont="1" applyFill="1" applyBorder="1" applyAlignment="1" applyProtection="1">
      <alignment horizontal="center" vertical="center" wrapText="1"/>
    </xf>
    <xf numFmtId="165" fontId="12" fillId="4" borderId="18" xfId="0" applyNumberFormat="1" applyFont="1" applyFill="1" applyBorder="1" applyAlignment="1" applyProtection="1">
      <alignment horizontal="center" vertical="center" wrapText="1"/>
    </xf>
    <xf numFmtId="180" fontId="12" fillId="0" borderId="7" xfId="0" applyNumberFormat="1" applyFont="1" applyFill="1" applyBorder="1" applyAlignment="1" applyProtection="1">
      <alignment horizontal="center" vertical="center" wrapText="1"/>
    </xf>
    <xf numFmtId="180" fontId="10" fillId="0" borderId="18" xfId="0" applyNumberFormat="1" applyFont="1" applyFill="1" applyBorder="1" applyAlignment="1" applyProtection="1">
      <alignment horizontal="center" vertical="center" wrapText="1"/>
    </xf>
    <xf numFmtId="0" fontId="3" fillId="6" borderId="10" xfId="0" applyNumberFormat="1" applyFont="1" applyFill="1" applyBorder="1" applyAlignment="1" applyProtection="1">
      <alignment horizontal="center" vertical="center"/>
    </xf>
    <xf numFmtId="0" fontId="8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79" fontId="21" fillId="0" borderId="18" xfId="0" applyNumberFormat="1" applyFont="1" applyFill="1" applyBorder="1" applyAlignment="1" applyProtection="1">
      <alignment horizontal="center" vertical="center" wrapText="1"/>
    </xf>
    <xf numFmtId="0" fontId="21" fillId="0" borderId="11" xfId="0" applyNumberFormat="1" applyFont="1" applyFill="1" applyBorder="1" applyAlignment="1" applyProtection="1">
      <alignment horizontal="left" vertical="center" wrapText="1"/>
    </xf>
    <xf numFmtId="179" fontId="12" fillId="0" borderId="18" xfId="0" applyNumberFormat="1" applyFont="1" applyFill="1" applyBorder="1" applyAlignment="1" applyProtection="1">
      <alignment horizontal="center" vertical="center" wrapText="1"/>
    </xf>
    <xf numFmtId="172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 vertical="center" wrapText="1"/>
    </xf>
    <xf numFmtId="166" fontId="21" fillId="0" borderId="11" xfId="0" applyNumberFormat="1" applyFont="1" applyFill="1" applyBorder="1" applyAlignment="1" applyProtection="1">
      <alignment horizontal="center" vertical="center" wrapText="1"/>
    </xf>
    <xf numFmtId="181" fontId="12" fillId="4" borderId="18" xfId="0" applyNumberFormat="1" applyFont="1" applyFill="1" applyBorder="1" applyAlignment="1" applyProtection="1">
      <alignment horizontal="center" vertical="center" wrapText="1"/>
    </xf>
    <xf numFmtId="168" fontId="12" fillId="0" borderId="7" xfId="0" applyNumberFormat="1" applyFont="1" applyFill="1" applyBorder="1" applyAlignment="1" applyProtection="1">
      <alignment horizontal="center" vertical="center" wrapText="1"/>
    </xf>
    <xf numFmtId="165" fontId="15" fillId="0" borderId="1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168" fontId="21" fillId="0" borderId="18" xfId="0" applyNumberFormat="1" applyFont="1" applyFill="1" applyBorder="1" applyAlignment="1" applyProtection="1">
      <alignment horizontal="center" vertical="center" wrapText="1"/>
    </xf>
    <xf numFmtId="0" fontId="12" fillId="0" borderId="10" xfId="0" applyNumberFormat="1" applyFont="1" applyFill="1" applyBorder="1" applyAlignment="1" applyProtection="1">
      <alignment horizontal="center" vertical="center" wrapText="1"/>
    </xf>
    <xf numFmtId="166" fontId="21" fillId="0" borderId="14" xfId="0" applyNumberFormat="1" applyFont="1" applyFill="1" applyBorder="1" applyAlignment="1" applyProtection="1">
      <alignment horizontal="center" vertical="center" wrapText="1"/>
    </xf>
    <xf numFmtId="165" fontId="3" fillId="0" borderId="0" xfId="0" applyNumberFormat="1" applyFont="1" applyFill="1" applyBorder="1" applyAlignment="1" applyProtection="1">
      <alignment horizontal="center" vertical="bottom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78" fontId="21" fillId="0" borderId="10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6" fontId="21" fillId="0" borderId="17" xfId="0" applyNumberFormat="1" applyFont="1" applyFill="1" applyBorder="1" applyAlignment="1" applyProtection="1">
      <alignment horizontal="center" vertical="center" wrapText="1"/>
    </xf>
    <xf numFmtId="180" fontId="21" fillId="0" borderId="18" xfId="0" applyNumberFormat="1" applyFont="1" applyFill="1" applyBorder="1" applyAlignment="1" applyProtection="1">
      <alignment horizontal="center" vertical="center" wrapText="1"/>
    </xf>
    <xf numFmtId="180" fontId="21" fillId="0" borderId="10" xfId="0" applyNumberFormat="1" applyFont="1" applyFill="1" applyBorder="1" applyAlignment="1" applyProtection="1">
      <alignment horizontal="center" vertical="center" wrapText="1"/>
    </xf>
    <xf numFmtId="178" fontId="21" fillId="0" borderId="18" xfId="0" applyNumberFormat="1" applyFont="1" applyFill="1" applyBorder="1" applyAlignment="1" applyProtection="1">
      <alignment horizontal="center" vertical="center" wrapText="1"/>
    </xf>
    <xf numFmtId="169" fontId="21" fillId="0" borderId="11" xfId="0" applyNumberFormat="1" applyFont="1" applyFill="1" applyBorder="1" applyAlignment="1" applyProtection="1">
      <alignment horizontal="center" vertical="center" wrapText="1"/>
    </xf>
    <xf numFmtId="168" fontId="21" fillId="0" borderId="5" xfId="0" applyNumberFormat="1" applyFont="1" applyFill="1" applyBorder="1" applyAlignment="1" applyProtection="1">
      <alignment horizontal="center" vertical="center" wrapText="1"/>
    </xf>
    <xf numFmtId="0" fontId="19" fillId="0" borderId="17" xfId="0" applyNumberFormat="1" applyFont="1" applyFill="1" applyBorder="1" applyAlignment="1" applyProtection="1">
      <alignment horizontal="left" vertical="center" wrapText="1"/>
    </xf>
    <xf numFmtId="0" fontId="21" fillId="0" borderId="18" xfId="0" applyNumberFormat="1" applyFont="1" applyFill="1" applyBorder="1" applyAlignment="1" applyProtection="1">
      <alignment horizontal="left" vertical="center" wrapText="1"/>
    </xf>
    <xf numFmtId="0" fontId="25" fillId="0" borderId="10" xfId="0" applyNumberFormat="1" applyFont="1" applyFill="1" applyBorder="1" applyAlignment="1" applyProtection="1">
      <alignment horizontal="center" vertical="center" wrapText="1"/>
    </xf>
    <xf numFmtId="0" fontId="26" fillId="0" borderId="11" xfId="0" applyNumberFormat="1" applyFont="1" applyFill="1" applyBorder="1" applyAlignment="1" applyProtection="1">
      <alignment horizontal="center" vertical="center" wrapText="1"/>
    </xf>
    <xf numFmtId="0" fontId="20" fillId="0" borderId="18" xfId="0" applyNumberFormat="1" applyFont="1" applyFill="1" applyBorder="1" applyAlignment="1" applyProtection="1">
      <alignment horizontal="center" vertical="center" wrapText="1"/>
    </xf>
    <xf numFmtId="0" fontId="18" fillId="0" borderId="13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2" fillId="0" borderId="10" xfId="0" applyNumberFormat="1" applyFont="1" applyFill="1" applyBorder="1" applyAlignment="1" applyProtection="1">
      <alignment horizontal="center" vertical="bottom"/>
    </xf>
    <xf numFmtId="0" fontId="17" fillId="0" borderId="13" xfId="0" applyNumberFormat="1" applyFont="1" applyFill="1" applyBorder="1" applyAlignment="1" applyProtection="1">
      <alignment horizontal="center" vertical="center" wrapText="1"/>
    </xf>
    <xf numFmtId="0" fontId="12" fillId="0" borderId="11" xfId="0" applyNumberFormat="1" applyFont="1" applyFill="1" applyBorder="1" applyAlignment="1" applyProtection="1">
      <alignment horizontal="center" vertical="center" wrapText="1"/>
    </xf>
    <xf numFmtId="49" fontId="9" fillId="0" borderId="1" xfId="0" applyNumberFormat="1" applyFont="1" applyFill="1" applyBorder="1" applyAlignment="1" applyProtection="1">
      <alignment horizontal="center" vertical="center" wrapText="1"/>
    </xf>
    <xf numFmtId="0" fontId="25" fillId="0" borderId="18" xfId="0" applyNumberFormat="1" applyFont="1" applyFill="1" applyBorder="1" applyAlignment="1" applyProtection="1">
      <alignment horizontal="center" vertical="center" wrapText="1"/>
    </xf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3" fillId="6" borderId="13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8" fillId="9" borderId="1" xfId="0" applyNumberFormat="1" applyFont="1" applyFill="1" applyBorder="1" applyAlignment="1" applyProtection="1">
      <alignment horizontal="center" vertical="center" wrapText="1"/>
    </xf>
    <xf numFmtId="168" fontId="8" fillId="3" borderId="13" xfId="0" applyNumberFormat="1" applyFont="1" applyFill="1" applyBorder="1" applyAlignment="1" applyProtection="1">
      <alignment horizontal="center" vertical="center" wrapText="1"/>
    </xf>
    <xf numFmtId="168" fontId="15" fillId="0" borderId="1" xfId="0" applyNumberFormat="1" applyFont="1" applyFill="1" applyBorder="1" applyAlignment="1" applyProtection="1">
      <alignment vertical="center" wrapText="1"/>
    </xf>
    <xf numFmtId="172" fontId="8" fillId="3" borderId="13" xfId="0" applyNumberFormat="1" applyFont="1" applyFill="1" applyBorder="1" applyAlignment="1" applyProtection="1">
      <alignment horizontal="center" vertical="center" wrapText="1"/>
    </xf>
    <xf numFmtId="172" fontId="8" fillId="3" borderId="18" xfId="0" applyNumberFormat="1" applyFont="1" applyFill="1" applyBorder="1" applyAlignment="1" applyProtection="1">
      <alignment horizontal="center" vertical="center" wrapText="1"/>
    </xf>
    <xf numFmtId="169" fontId="8" fillId="3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171" fontId="3" fillId="0" borderId="1" xfId="0" applyNumberFormat="1" applyFont="1" applyFill="1" applyBorder="1" applyAlignment="1" applyProtection="1">
      <alignment horizontal="center" vertical="bottom"/>
    </xf>
    <xf numFmtId="176" fontId="3" fillId="0" borderId="1" xfId="0" applyNumberFormat="1" applyFont="1" applyFill="1" applyBorder="1" applyAlignment="1" applyProtection="1">
      <alignment horizontal="center" vertical="bottom"/>
    </xf>
    <xf numFmtId="0" fontId="26" fillId="0" borderId="14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Alignment="1" applyProtection="1"/>
    <xf numFmtId="0" fontId="0" fillId="0" borderId="0" xfId="0"/>
    <xf numFmtId="0" fontId="3" fillId="6" borderId="18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21" fillId="0" borderId="15" xfId="0" applyNumberFormat="1" applyFont="1" applyFill="1" applyBorder="1" applyAlignment="1" applyProtection="1">
      <alignment horizontal="center" vertical="center" wrapText="1"/>
    </xf>
    <xf numFmtId="168" fontId="3" fillId="0" borderId="1" xfId="0" applyNumberFormat="1" applyFont="1" applyFill="1" applyBorder="1" applyAlignment="1" applyProtection="1"/>
    <xf numFmtId="180" fontId="10" fillId="0" borderId="7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bottom"/>
    </xf>
    <xf numFmtId="181" fontId="12" fillId="4" borderId="11" xfId="0" applyNumberFormat="1" applyFont="1" applyFill="1" applyBorder="1" applyAlignment="1" applyProtection="1">
      <alignment horizontal="center" vertical="center" wrapText="1"/>
    </xf>
    <xf numFmtId="175" fontId="12" fillId="0" borderId="11" xfId="0" applyNumberFormat="1" applyFont="1" applyFill="1" applyBorder="1" applyAlignment="1" applyProtection="1">
      <alignment horizontal="center" vertical="center" wrapText="1"/>
    </xf>
    <xf numFmtId="175" fontId="12" fillId="0" borderId="4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bottom"/>
    </xf>
    <xf numFmtId="169" fontId="2" fillId="0" borderId="0" xfId="0" applyNumberFormat="1" applyFont="1" applyFill="1" applyBorder="1" applyAlignment="1" applyProtection="1"/>
    <xf numFmtId="165" fontId="8" fillId="3" borderId="13" xfId="0" applyNumberFormat="1" applyFont="1" applyFill="1" applyBorder="1" applyAlignment="1" applyProtection="1">
      <alignment horizontal="center" vertical="center" wrapText="1"/>
    </xf>
    <xf numFmtId="0" fontId="21" fillId="0" borderId="11" xfId="0" applyNumberFormat="1" applyFont="1" applyFill="1" applyBorder="1" applyAlignment="1" applyProtection="1">
      <alignment horizontal="center" vertical="center"/>
    </xf>
    <xf numFmtId="179" fontId="21" fillId="0" borderId="7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 wrapText="1"/>
    </xf>
    <xf numFmtId="168" fontId="12" fillId="0" borderId="13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/>
    </xf>
    <xf numFmtId="165" fontId="12" fillId="0" borderId="13" xfId="0" applyNumberFormat="1" applyFont="1" applyFill="1" applyBorder="1" applyAlignment="1" applyProtection="1">
      <alignment horizontal="center" vertical="center" wrapText="1"/>
    </xf>
    <xf numFmtId="168" fontId="12" fillId="0" borderId="10" xfId="0" applyNumberFormat="1" applyFont="1" applyFill="1" applyBorder="1" applyAlignment="1" applyProtection="1">
      <alignment horizontal="center" vertical="center" wrapText="1"/>
    </xf>
    <xf numFmtId="0" fontId="26" fillId="0" borderId="18" xfId="0" applyNumberFormat="1" applyFont="1" applyFill="1" applyBorder="1" applyAlignment="1" applyProtection="1">
      <alignment horizontal="center" vertical="center" wrapText="1"/>
    </xf>
    <xf numFmtId="165" fontId="12" fillId="0" borderId="7" xfId="0" applyNumberFormat="1" applyFont="1" applyFill="1" applyBorder="1" applyAlignment="1" applyProtection="1">
      <alignment horizontal="center" vertical="center" wrapText="1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165" fontId="12" fillId="0" borderId="11" xfId="0" applyNumberFormat="1" applyFont="1" applyFill="1" applyBorder="1" applyAlignment="1" applyProtection="1">
      <alignment horizontal="center" vertical="center" wrapText="1"/>
    </xf>
    <xf numFmtId="165" fontId="12" fillId="0" borderId="5" xfId="0" applyNumberFormat="1" applyFont="1" applyFill="1" applyBorder="1" applyAlignment="1" applyProtection="1">
      <alignment horizontal="center" vertical="center" wrapText="1"/>
    </xf>
    <xf numFmtId="165" fontId="12" fillId="0" borderId="4" xfId="0" applyNumberFormat="1" applyFont="1" applyFill="1" applyBorder="1" applyAlignment="1" applyProtection="1">
      <alignment horizontal="center" vertical="center" wrapText="1"/>
    </xf>
    <xf numFmtId="0" fontId="8" fillId="0" borderId="20" xfId="0" applyNumberFormat="1" applyFont="1" applyFill="1" applyBorder="1" applyAlignment="1" applyProtection="1">
      <alignment horizontal="center" vertical="center" wrapText="1"/>
    </xf>
    <xf numFmtId="0" fontId="12" fillId="4" borderId="11" xfId="0" applyNumberFormat="1" applyFont="1" applyFill="1" applyBorder="1" applyAlignment="1" applyProtection="1">
      <alignment horizontal="center" vertical="center" wrapText="1"/>
    </xf>
    <xf numFmtId="0" fontId="12" fillId="4" borderId="14" xfId="0" applyNumberFormat="1" applyFont="1" applyFill="1" applyBorder="1" applyAlignment="1" applyProtection="1">
      <alignment horizontal="center" vertical="center" wrapText="1"/>
    </xf>
    <xf numFmtId="0" fontId="12" fillId="4" borderId="15" xfId="0" applyNumberFormat="1" applyFont="1" applyFill="1" applyBorder="1" applyAlignment="1" applyProtection="1">
      <alignment horizontal="center" vertical="center" wrapText="1"/>
    </xf>
    <xf numFmtId="0" fontId="12" fillId="4" borderId="5" xfId="0" applyNumberFormat="1" applyFont="1" applyFill="1" applyBorder="1" applyAlignment="1" applyProtection="1">
      <alignment horizontal="center" vertical="center" wrapText="1"/>
    </xf>
    <xf numFmtId="0" fontId="12" fillId="4" borderId="4" xfId="0" applyNumberFormat="1" applyFont="1" applyFill="1" applyBorder="1" applyAlignment="1" applyProtection="1">
      <alignment horizontal="center" vertical="center" wrapText="1"/>
    </xf>
    <xf numFmtId="166" fontId="21" fillId="0" borderId="18" xfId="0" applyNumberFormat="1" applyFont="1" applyFill="1" applyBorder="1" applyAlignment="1" applyProtection="1">
      <alignment horizontal="center" vertical="center" wrapText="1"/>
    </xf>
    <xf numFmtId="0" fontId="12" fillId="4" borderId="13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8" fontId="12" fillId="4" borderId="13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5" fontId="12" fillId="4" borderId="13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9" fontId="21" fillId="0" borderId="18" xfId="0" applyNumberFormat="1" applyFont="1" applyFill="1" applyBorder="1" applyAlignment="1" applyProtection="1">
      <alignment horizontal="center" vertical="center" wrapText="1"/>
    </xf>
    <xf numFmtId="175" fontId="12" fillId="0" borderId="10" xfId="0" applyNumberFormat="1" applyFont="1" applyFill="1" applyBorder="1" applyAlignment="1" applyProtection="1">
      <alignment horizontal="center" vertical="center" wrapText="1"/>
    </xf>
    <xf numFmtId="175" fontId="12" fillId="0" borderId="13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12" fillId="0" borderId="4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center" wrapText="1"/>
    </xf>
    <xf numFmtId="0" fontId="12" fillId="0" borderId="9" xfId="0" applyNumberFormat="1" applyFont="1" applyFill="1" applyBorder="1" applyAlignment="1" applyProtection="1">
      <alignment horizontal="center" vertical="center" wrapText="1"/>
    </xf>
    <xf numFmtId="165" fontId="12" fillId="0" borderId="10" xfId="0" applyNumberFormat="1" applyFont="1" applyFill="1" applyBorder="1" applyAlignment="1" applyProtection="1">
      <alignment horizontal="center" vertical="center" wrapText="1"/>
    </xf>
    <xf numFmtId="165" fontId="8" fillId="3" borderId="18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 vertical="bottom"/>
    </xf>
    <xf numFmtId="0" fontId="12" fillId="0" borderId="13" xfId="0" applyNumberFormat="1" applyFont="1" applyFill="1" applyBorder="1" applyAlignment="1" applyProtection="1">
      <alignment horizontal="center" vertical="bottom"/>
    </xf>
    <xf numFmtId="0" fontId="22" fillId="0" borderId="9" xfId="0" applyNumberFormat="1" applyFont="1" applyFill="1" applyBorder="1" applyAlignment="1" applyProtection="1">
      <alignment vertical="center" wrapText="1"/>
    </xf>
    <xf numFmtId="0" fontId="22" fillId="0" borderId="4" xfId="0" applyNumberFormat="1" applyFont="1" applyFill="1" applyBorder="1" applyAlignment="1" applyProtection="1">
      <alignment vertical="center" wrapText="1"/>
    </xf>
    <xf numFmtId="0" fontId="22" fillId="0" borderId="18" xfId="0" applyNumberFormat="1" applyFont="1" applyFill="1" applyBorder="1" applyAlignment="1" applyProtection="1">
      <alignment vertical="center" wrapText="1"/>
    </xf>
    <xf numFmtId="0" fontId="26" fillId="0" borderId="5" xfId="0" applyNumberFormat="1" applyFont="1" applyFill="1" applyBorder="1" applyAlignment="1" applyProtection="1">
      <alignment horizontal="center" vertical="center" wrapText="1"/>
    </xf>
    <xf numFmtId="0" fontId="25" fillId="0" borderId="13" xfId="0" applyNumberFormat="1" applyFont="1" applyFill="1" applyBorder="1" applyAlignment="1" applyProtection="1">
      <alignment horizontal="center" vertical="center" wrapText="1"/>
    </xf>
    <xf numFmtId="0" fontId="26" fillId="0" borderId="4" xfId="0" applyNumberFormat="1" applyFont="1" applyFill="1" applyBorder="1" applyAlignment="1" applyProtection="1">
      <alignment horizontal="center" vertical="center" wrapText="1"/>
    </xf>
    <xf numFmtId="0" fontId="18" fillId="0" borderId="18" xfId="0" applyNumberFormat="1" applyFont="1" applyFill="1" applyBorder="1" applyAlignment="1" applyProtection="1">
      <alignment horizontal="center" vertical="center"/>
    </xf>
    <xf numFmtId="0" fontId="18" fillId="0" borderId="13" xfId="0" applyNumberFormat="1" applyFont="1" applyFill="1" applyBorder="1" applyAlignment="1" applyProtection="1">
      <alignment horizontal="center" vertical="center"/>
    </xf>
    <xf numFmtId="0" fontId="21" fillId="0" borderId="16" xfId="0" applyNumberFormat="1" applyFont="1" applyFill="1" applyBorder="1" applyAlignment="1" applyProtection="1">
      <alignment horizontal="center" vertical="center" wrapText="1"/>
    </xf>
    <xf numFmtId="0" fontId="21" fillId="0" borderId="7" xfId="0" applyNumberFormat="1" applyFont="1" applyFill="1" applyBorder="1" applyAlignment="1" applyProtection="1">
      <alignment horizontal="center" vertical="center" wrapText="1"/>
    </xf>
    <xf numFmtId="0" fontId="15" fillId="0" borderId="18" xfId="0" applyNumberFormat="1" applyFont="1" applyFill="1" applyBorder="1" applyAlignment="1" applyProtection="1">
      <alignment horizontal="center" vertical="center" wrapText="1"/>
    </xf>
    <xf numFmtId="0" fontId="21" fillId="0" borderId="11" xfId="0" applyNumberFormat="1" applyFont="1" applyFill="1" applyBorder="1" applyAlignment="1" applyProtection="1">
      <alignment horizontal="center" vertical="center" wrapText="1"/>
    </xf>
    <xf numFmtId="0" fontId="21" fillId="0" borderId="5" xfId="0" applyNumberFormat="1" applyFont="1" applyFill="1" applyBorder="1" applyAlignment="1" applyProtection="1">
      <alignment horizontal="center" vertical="center" wrapText="1"/>
    </xf>
    <xf numFmtId="0" fontId="21" fillId="0" borderId="4" xfId="0" applyNumberFormat="1" applyFont="1" applyFill="1" applyBorder="1" applyAlignment="1" applyProtection="1">
      <alignment horizontal="center" vertical="center" wrapText="1"/>
    </xf>
    <xf numFmtId="0" fontId="21" fillId="0" borderId="14" xfId="0" applyNumberFormat="1" applyFont="1" applyFill="1" applyBorder="1" applyAlignment="1" applyProtection="1">
      <alignment horizontal="center" vertical="center" wrapText="1"/>
    </xf>
    <xf numFmtId="0" fontId="21" fillId="0" borderId="15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1" fillId="0" borderId="7" xfId="0" applyNumberFormat="1" applyFont="1" applyFill="1" applyBorder="1" applyAlignment="1" applyProtection="1">
      <alignment horizontal="center" vertical="center"/>
    </xf>
    <xf numFmtId="0" fontId="12" fillId="0" borderId="19" xfId="0" applyNumberFormat="1" applyFont="1" applyFill="1" applyBorder="1" applyAlignment="1" applyProtection="1">
      <alignment horizontal="center" vertical="bottom"/>
    </xf>
    <xf numFmtId="175" fontId="12" fillId="0" borderId="7" xfId="0" applyNumberFormat="1" applyFont="1" applyFill="1" applyBorder="1" applyAlignment="1" applyProtection="1">
      <alignment horizontal="center" vertical="center" wrapText="1"/>
    </xf>
    <xf numFmtId="180" fontId="12" fillId="0" borderId="5" xfId="0" applyNumberFormat="1" applyFont="1" applyFill="1" applyBorder="1" applyAlignment="1" applyProtection="1">
      <alignment horizontal="center" vertical="center" wrapText="1"/>
    </xf>
    <xf numFmtId="180" fontId="12" fillId="0" borderId="4" xfId="0" applyNumberFormat="1" applyFont="1" applyFill="1" applyBorder="1" applyAlignment="1" applyProtection="1">
      <alignment horizontal="center" vertical="center" wrapText="1"/>
    </xf>
    <xf numFmtId="0" fontId="21" fillId="0" borderId="13" xfId="0" applyNumberFormat="1" applyFont="1" applyFill="1" applyBorder="1" applyAlignment="1" applyProtection="1">
      <alignment horizontal="center" vertical="center" wrapText="1"/>
    </xf>
    <xf numFmtId="0" fontId="19" fillId="0" borderId="18" xfId="0" applyNumberFormat="1" applyFont="1" applyFill="1" applyBorder="1" applyAlignment="1" applyProtection="1">
      <alignment horizontal="left" vertical="center" wrapText="1"/>
    </xf>
    <xf numFmtId="178" fontId="21" fillId="0" borderId="13" xfId="0" applyNumberFormat="1" applyFont="1" applyFill="1" applyBorder="1" applyAlignment="1" applyProtection="1">
      <alignment horizontal="center" vertical="center" wrapText="1"/>
    </xf>
    <xf numFmtId="180" fontId="21" fillId="0" borderId="13" xfId="0" applyNumberFormat="1" applyFont="1" applyFill="1" applyBorder="1" applyAlignment="1" applyProtection="1">
      <alignment horizontal="center" vertical="center" wrapText="1"/>
    </xf>
    <xf numFmtId="166" fontId="21" fillId="0" borderId="10" xfId="0" applyNumberFormat="1" applyFont="1" applyFill="1" applyBorder="1" applyAlignment="1" applyProtection="1">
      <alignment horizontal="center" vertical="center" wrapText="1"/>
    </xf>
    <xf numFmtId="166" fontId="21" fillId="0" borderId="13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1" fillId="0" borderId="14" xfId="0" applyNumberFormat="1" applyFont="1" applyFill="1" applyBorder="1" applyAlignment="1" applyProtection="1">
      <alignment horizontal="center" vertical="center"/>
    </xf>
    <xf numFmtId="0" fontId="21" fillId="0" borderId="15" xfId="0" applyNumberFormat="1" applyFont="1" applyFill="1" applyBorder="1" applyAlignment="1" applyProtection="1">
      <alignment horizontal="center" vertical="center"/>
    </xf>
    <xf numFmtId="0" fontId="21" fillId="0" borderId="5" xfId="0" applyNumberFormat="1" applyFont="1" applyFill="1" applyBorder="1" applyAlignment="1" applyProtection="1">
      <alignment horizontal="center" vertical="center"/>
    </xf>
    <xf numFmtId="0" fontId="21" fillId="0" borderId="4" xfId="0" applyNumberFormat="1" applyFont="1" applyFill="1" applyBorder="1" applyAlignment="1" applyProtection="1">
      <alignment horizontal="center" vertical="center"/>
    </xf>
    <xf numFmtId="0" fontId="21" fillId="0" borderId="5" xfId="0" applyNumberFormat="1" applyFont="1" applyFill="1" applyBorder="1" applyAlignment="1" applyProtection="1">
      <alignment horizontal="left" vertical="center" wrapText="1"/>
    </xf>
    <xf numFmtId="0" fontId="21" fillId="0" borderId="4" xfId="0" applyNumberFormat="1" applyFont="1" applyFill="1" applyBorder="1" applyAlignment="1" applyProtection="1">
      <alignment horizontal="left" vertical="center" wrapText="1"/>
    </xf>
    <xf numFmtId="0" fontId="19" fillId="0" borderId="11" xfId="0" applyNumberFormat="1" applyFont="1" applyFill="1" applyBorder="1" applyAlignment="1" applyProtection="1">
      <alignment horizontal="left" vertical="center" wrapText="1"/>
    </xf>
    <xf numFmtId="0" fontId="19" fillId="0" borderId="14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15" xfId="0" applyNumberFormat="1" applyFont="1" applyFill="1" applyBorder="1" applyAlignment="1" applyProtection="1">
      <alignment horizontal="left" vertical="center" wrapText="1"/>
    </xf>
    <xf numFmtId="0" fontId="19" fillId="0" borderId="5" xfId="0" applyNumberFormat="1" applyFont="1" applyFill="1" applyBorder="1" applyAlignment="1" applyProtection="1">
      <alignment horizontal="left" vertical="center" wrapText="1"/>
    </xf>
    <xf numFmtId="0" fontId="19" fillId="0" borderId="9" xfId="0" applyNumberFormat="1" applyFont="1" applyFill="1" applyBorder="1" applyAlignment="1" applyProtection="1">
      <alignment horizontal="left" vertical="center" wrapText="1"/>
    </xf>
    <xf numFmtId="0" fontId="19" fillId="0" borderId="4" xfId="0" applyNumberFormat="1" applyFont="1" applyFill="1" applyBorder="1" applyAlignment="1" applyProtection="1">
      <alignment horizontal="left" vertical="center" wrapText="1"/>
    </xf>
    <xf numFmtId="168" fontId="21" fillId="0" borderId="4" xfId="0" applyNumberFormat="1" applyFont="1" applyFill="1" applyBorder="1" applyAlignment="1" applyProtection="1">
      <alignment horizontal="center" vertical="center" wrapText="1"/>
    </xf>
    <xf numFmtId="181" fontId="12" fillId="4" borderId="5" xfId="0" applyNumberFormat="1" applyFont="1" applyFill="1" applyBorder="1" applyAlignment="1" applyProtection="1">
      <alignment horizontal="center" vertical="center" wrapText="1"/>
    </xf>
    <xf numFmtId="181" fontId="12" fillId="4" borderId="4" xfId="0" applyNumberFormat="1" applyFont="1" applyFill="1" applyBorder="1" applyAlignment="1" applyProtection="1">
      <alignment horizontal="center" vertical="center" wrapText="1"/>
    </xf>
    <xf numFmtId="0" fontId="12" fillId="0" borderId="11" xfId="0" applyNumberFormat="1" applyFont="1" applyFill="1" applyBorder="1" applyAlignment="1" applyProtection="1">
      <alignment horizontal="center" vertical="bottom"/>
    </xf>
    <xf numFmtId="0" fontId="12" fillId="0" borderId="4" xfId="0" applyNumberFormat="1" applyFont="1" applyFill="1" applyBorder="1" applyAlignment="1" applyProtection="1">
      <alignment horizontal="center" vertical="bottom"/>
    </xf>
    <xf numFmtId="0" fontId="12" fillId="4" borderId="18" xfId="0" applyNumberFormat="1" applyFont="1" applyFill="1" applyBorder="1" applyAlignment="1" applyProtection="1">
      <alignment horizontal="center" vertical="center" wrapText="1"/>
    </xf>
    <xf numFmtId="169" fontId="21" fillId="0" borderId="14" xfId="0" applyNumberFormat="1" applyFont="1" applyFill="1" applyBorder="1" applyAlignment="1" applyProtection="1">
      <alignment horizontal="center" vertical="center" wrapText="1"/>
    </xf>
    <xf numFmtId="169" fontId="21" fillId="0" borderId="15" xfId="0" applyNumberFormat="1" applyFont="1" applyFill="1" applyBorder="1" applyAlignment="1" applyProtection="1">
      <alignment horizontal="center" vertical="center" wrapText="1"/>
    </xf>
    <xf numFmtId="169" fontId="21" fillId="0" borderId="5" xfId="0" applyNumberFormat="1" applyFont="1" applyFill="1" applyBorder="1" applyAlignment="1" applyProtection="1">
      <alignment horizontal="center" vertical="center" wrapText="1"/>
    </xf>
    <xf numFmtId="169" fontId="21" fillId="0" borderId="4" xfId="0" applyNumberFormat="1" applyFont="1" applyFill="1" applyBorder="1" applyAlignment="1" applyProtection="1">
      <alignment horizontal="center" vertical="center" wrapText="1"/>
    </xf>
    <xf numFmtId="166" fontId="21" fillId="0" borderId="0" xfId="0" applyNumberFormat="1" applyFont="1" applyFill="1" applyBorder="1" applyAlignment="1" applyProtection="1">
      <alignment horizontal="center" vertical="center" wrapText="1"/>
    </xf>
    <xf numFmtId="166" fontId="21" fillId="0" borderId="15" xfId="0" applyNumberFormat="1" applyFont="1" applyFill="1" applyBorder="1" applyAlignment="1" applyProtection="1">
      <alignment horizontal="center" vertical="center" wrapText="1"/>
    </xf>
    <xf numFmtId="166" fontId="21" fillId="0" borderId="5" xfId="0" applyNumberFormat="1" applyFont="1" applyFill="1" applyBorder="1" applyAlignment="1" applyProtection="1">
      <alignment horizontal="center" vertical="center" wrapText="1"/>
    </xf>
    <xf numFmtId="166" fontId="21" fillId="0" borderId="9" xfId="0" applyNumberFormat="1" applyFont="1" applyFill="1" applyBorder="1" applyAlignment="1" applyProtection="1">
      <alignment horizontal="center" vertical="center" wrapText="1"/>
    </xf>
    <xf numFmtId="166" fontId="21" fillId="0" borderId="4" xfId="0" applyNumberFormat="1" applyFont="1" applyFill="1" applyBorder="1" applyAlignment="1" applyProtection="1">
      <alignment horizontal="center" vertical="center" wrapText="1"/>
    </xf>
    <xf numFmtId="0" fontId="26" fillId="0" borderId="15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167" fontId="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49" fontId="12" fillId="0" borderId="1" xfId="0" applyNumberFormat="1" applyFont="1" applyFill="1" applyBorder="1" applyAlignment="1" applyProtection="1">
      <alignment horizontal="center" vertical="center"/>
    </xf>
    <xf numFmtId="0" fontId="20" fillId="6" borderId="1" xfId="0" applyNumberFormat="1" applyFont="1" applyFill="1" applyBorder="1" applyAlignment="1" applyProtection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center" vertical="center"/>
    </xf>
    <xf numFmtId="0" fontId="3" fillId="7" borderId="1" xfId="0" applyNumberFormat="1" applyFont="1" applyFill="1" applyBorder="1" applyAlignment="1" applyProtection="1">
      <alignment horizontal="left" vertical="center"/>
    </xf>
    <xf numFmtId="0" fontId="12" fillId="0" borderId="1" xfId="0" applyNumberFormat="1" applyFont="1" applyFill="1" applyBorder="1" applyAlignment="1" applyProtection="1">
      <alignment horizontal="left" vertical="bottom"/>
    </xf>
    <xf numFmtId="173" fontId="3" fillId="7" borderId="1" xfId="0" applyNumberFormat="1" applyFont="1" applyFill="1" applyBorder="1" applyAlignment="1" applyProtection="1">
      <alignment horizontal="left" vertical="bottom"/>
    </xf>
    <xf numFmtId="0" fontId="0" fillId="0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Alignment="1" applyProtection="1">
      <alignment vertical="bottom" wrapText="1"/>
    </xf>
    <xf numFmtId="0" fontId="12" fillId="5" borderId="1" xfId="0" applyNumberFormat="1" applyFont="1" applyFill="1" applyBorder="1" applyAlignment="1" applyProtection="1">
      <alignment horizontal="center" vertical="center" wrapText="1"/>
    </xf>
    <xf numFmtId="0" fontId="15" fillId="0" borderId="7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168" fontId="8" fillId="3" borderId="18" xfId="0" applyNumberFormat="1" applyFont="1" applyFill="1" applyBorder="1" applyAlignment="1" applyProtection="1">
      <alignment horizontal="center" vertical="center" wrapText="1"/>
    </xf>
    <xf numFmtId="0" fontId="8" fillId="0" borderId="9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49" fontId="15" fillId="0" borderId="1" xfId="0" applyNumberFormat="1" applyFont="1" applyFill="1" applyBorder="1" applyAlignment="1" applyProtection="1">
      <alignment horizontal="center" vertical="center" wrapText="1"/>
    </xf>
    <xf numFmtId="165" fontId="8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168" fontId="12" fillId="0" borderId="18" xfId="0" applyNumberFormat="1" applyFont="1" applyFill="1" applyBorder="1" applyAlignment="1" applyProtection="1">
      <alignment horizontal="center" vertical="center" wrapText="1"/>
    </xf>
    <xf numFmtId="165" fontId="12" fillId="0" borderId="18" xfId="0" applyNumberFormat="1" applyFont="1" applyFill="1" applyBorder="1" applyAlignment="1" applyProtection="1">
      <alignment horizontal="center" vertical="center" wrapText="1"/>
    </xf>
    <xf numFmtId="175" fontId="12" fillId="0" borderId="18" xfId="0" applyNumberFormat="1" applyFont="1" applyFill="1" applyBorder="1" applyAlignment="1" applyProtection="1">
      <alignment horizontal="center" vertical="center" wrapText="1"/>
    </xf>
    <xf numFmtId="0" fontId="17" fillId="0" borderId="18" xfId="0" applyNumberFormat="1" applyFont="1" applyFill="1" applyBorder="1" applyAlignment="1" applyProtection="1">
      <alignment horizontal="center" vertical="center" wrapText="1"/>
    </xf>
    <xf numFmtId="180" fontId="12" fillId="0" borderId="18" xfId="0" applyNumberFormat="1" applyFont="1" applyFill="1" applyBorder="1" applyAlignment="1" applyProtection="1">
      <alignment horizontal="center" vertical="center" wrapText="1"/>
    </xf>
  </cellXfs>
  <cellStyles>
    <cellStyle xfId="0" builtinId="0" name="常规"/>
    <cellStyle xfId="1" name="常规 2"/>
    <cellStyle xfId="2" name="常规 3"/>
  </cellStyles>
  <dxfs>
    <dxf/>
    <dxf>
      <fill>
        <patternFill>
          <fgColor rgb="FFFF0000"/>
          <bgColor rgb="FFFF0000"/>
        </patternFill>
      </fill>
      <protection locked="0" hidden="0"/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worksheet" Target="worksheets/sheet11.xml" Id="rId12" /><Relationship Type="http://schemas.openxmlformats.org/officeDocument/2006/relationships/worksheet" Target="worksheets/sheet12.xml" Id="rId13" /><Relationship Type="http://schemas.openxmlformats.org/officeDocument/2006/relationships/worksheet" Target="worksheets/sheet13.xml" Id="rId14" /><Relationship Type="http://schemas.openxmlformats.org/officeDocument/2006/relationships/worksheet" Target="worksheets/sheet14.xml" Id="rId15" /><Relationship Type="http://schemas.openxmlformats.org/officeDocument/2006/relationships/worksheet" Target="worksheets/sheet15.xml" Id="rId16" /><Relationship Type="http://schemas.openxmlformats.org/officeDocument/2006/relationships/worksheet" Target="worksheets/sheet16.xml" Id="rId17" /><Relationship Type="http://schemas.openxmlformats.org/officeDocument/2006/relationships/worksheet" Target="worksheets/sheet17.xml" Id="rId18" /><Relationship Type="http://schemas.openxmlformats.org/officeDocument/2006/relationships/worksheet" Target="worksheets/sheet18.xml" Id="rId19" /><Relationship Type="http://schemas.openxmlformats.org/officeDocument/2006/relationships/sharedStrings" Target="sharedStrings.xml" Id="rId20" /><Relationship Type="http://schemas.openxmlformats.org/officeDocument/2006/relationships/styles" Target="styles.xml" Id="rId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xsi="http://www.w3.org/2001/XMLSchema-instance" xmlns:xsd="http://www.w3.org/2001/XMLSchema" xmlns="http://schemas.openxmlformats.org/drawingml/2006/spreadsheetDrawing">
  <twoCellAnchor>
    <from>
      <col>0</col>
      <colOff>38100</colOff>
      <row>0</row>
      <rowOff>57150</rowOff>
    </from>
    <to>
      <col>1</col>
      <colOff>571500</colOff>
      <row>2</row>
      <rowOff>180975</rowOff>
    </to>
    <sp>
      <nvSpPr>
        <cNvPr id="2" name="图片 1"/>
        <cNvSpPr/>
      </nvSpPr>
      <spPr>
        <xfrm xmlns="http://schemas.openxmlformats.org/drawingml/2006/main">
          <off x="38100" y="57150"/>
          <ext cx="94297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1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</wsDr>
</file>

<file path=xl/theme/theme1.xml><?xml version="1.0" encoding="utf-8"?>
<a:theme xmlns:a="http://schemas.openxmlformats.org/drawingml/2006/main" xmlns:gc="http://schemas.grapecity.com/office/spreadsheet/2018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O112"/>
  <sheetViews>
    <sheetView topLeftCell="A1" tabSelected="1" workbookViewId="0" zoomScale="70" showGridLines="0" zoomScaleNormal="70" zoomScalePageLayoutView="80">
      <pane topLeftCell="A1"/>
      <selection activeCellId="0" activeCell="A1" sqref="A1"/>
    </sheetView>
  </sheetViews>
  <sheetFormatPr defaultColWidth="9" defaultRowHeight="14.25" customHeight="1"/>
  <cols>
    <col min="1" max="1" width="5.38" customWidth="1" style="11"/>
    <col min="2" max="2" width="8.75" customWidth="1" style="11"/>
    <col min="3" max="3" width="8.13" customWidth="1" style="11"/>
    <col min="4" max="5" width="8.5" customWidth="1" style="11"/>
    <col min="6" max="6" width="3.38" customWidth="1" style="11"/>
    <col min="7" max="7" width="3.5" customWidth="1" style="11"/>
    <col min="8" max="8" width="7.13" customWidth="1" style="11"/>
    <col min="9" max="9" width="3.75" customWidth="1" style="11"/>
    <col min="10" max="10" width="6.75" customWidth="1" style="11"/>
    <col min="11" max="11" width="7.5" customWidth="1" style="11"/>
    <col min="12" max="12" width="6.88" customWidth="1" style="11"/>
    <col min="13" max="13" width="8.5" customWidth="1" style="11"/>
    <col min="14" max="14" width="4.75" customWidth="1" style="11"/>
    <col min="15" max="15" width="4.63" customWidth="1" style="92"/>
    <col min="16" max="16384" width="9" style="11"/>
  </cols>
  <sheetData>
    <row r="1" ht="20.25" customHeight="1">
      <c r="A1" s="276"/>
      <c s="130"/>
      <c s="200" t="s">
        <v>0</v>
      </c>
      <c s="190"/>
      <c s="190"/>
      <c s="190"/>
      <c s="190"/>
      <c s="190"/>
      <c s="190"/>
      <c s="190"/>
      <c s="278"/>
      <c s="155" t="s">
        <v>1</v>
      </c>
      <c s="193"/>
      <c s="358"/>
      <c s="197"/>
    </row>
    <row r="2" ht="20.25" customHeight="1">
      <c r="A2" s="153"/>
      <c s="274"/>
      <c s="243" t="s">
        <v>258</v>
      </c>
      <c s="216"/>
      <c s="216"/>
      <c s="216"/>
      <c s="216"/>
      <c s="216"/>
      <c s="216"/>
      <c s="216"/>
      <c s="277"/>
      <c s="155" t="s">
        <v>2</v>
      </c>
      <c s="193"/>
      <c s="358"/>
      <c s="197"/>
    </row>
    <row r="3" ht="20.25" customHeight="1">
      <c r="A3" s="152"/>
      <c s="275"/>
      <c s="191"/>
      <c s="331"/>
      <c s="331"/>
      <c s="331"/>
      <c s="331"/>
      <c s="331"/>
      <c s="331"/>
      <c s="331"/>
      <c s="279"/>
      <c s="280" t="s">
        <v>3</v>
      </c>
      <c s="281"/>
      <c s="192"/>
      <c s="202"/>
    </row>
    <row r="4" ht="18" customHeight="1">
      <c r="A4" s="354" t="s">
        <v>4</v>
      </c>
      <c s="176"/>
      <c s="201"/>
      <c s="354" t="s">
        <v>5</v>
      </c>
      <c s="176"/>
      <c s="176"/>
      <c s="201"/>
      <c s="354" t="s">
        <v>6</v>
      </c>
      <c s="176"/>
      <c s="176"/>
      <c s="201"/>
      <c s="354" t="s">
        <v>7</v>
      </c>
      <c s="201"/>
      <c s="354" t="s">
        <v>8</v>
      </c>
      <c s="201"/>
    </row>
    <row r="5" ht="18" customHeight="1">
      <c r="A5" s="354" t="str">
        <f>IFERROR(VLOOKUP(MID(D5,3,5),'对应信息'!A:B,2,0),"")</f>
        <v>T600A</v>
      </c>
      <c s="176"/>
      <c s="201"/>
      <c s="354" t="s">
        <v>356</v>
      </c>
      <c s="176"/>
      <c s="176"/>
      <c s="201"/>
      <c s="156" t="s">
        <v>86</v>
      </c>
      <c s="174"/>
      <c s="174"/>
      <c s="203"/>
      <c s="354"/>
      <c s="201"/>
      <c s="354"/>
      <c s="201"/>
    </row>
    <row r="6" ht="18" customHeight="1">
      <c r="A6" s="156" t="s">
        <v>239</v>
      </c>
      <c s="203"/>
      <c s="156"/>
      <c s="203"/>
      <c s="245" t="s">
        <v>259</v>
      </c>
      <c s="194"/>
      <c s="269"/>
      <c s="292"/>
      <c s="233"/>
      <c s="233"/>
      <c s="272"/>
      <c s="156" t="s">
        <v>9</v>
      </c>
      <c s="203"/>
      <c s="156"/>
      <c s="203"/>
    </row>
    <row r="7" ht="18" customHeight="1">
      <c r="A7" s="354" t="s">
        <v>350</v>
      </c>
      <c s="201"/>
      <c s="354"/>
      <c s="176"/>
      <c s="176"/>
      <c s="176"/>
      <c s="201"/>
      <c s="354" t="s">
        <v>351</v>
      </c>
      <c s="176"/>
      <c s="201"/>
      <c s="16"/>
      <c s="196"/>
      <c s="196"/>
      <c s="196"/>
      <c s="273"/>
    </row>
    <row r="8" ht="19.5" customHeight="1">
      <c r="A8" s="154" t="s">
        <v>10</v>
      </c>
      <c s="143" t="s">
        <v>11</v>
      </c>
      <c s="232"/>
      <c s="266"/>
      <c s="143" t="s">
        <v>12</v>
      </c>
      <c s="232"/>
      <c s="232"/>
      <c s="232"/>
      <c s="232"/>
      <c s="232"/>
      <c s="232"/>
      <c s="232"/>
      <c s="232"/>
      <c s="232"/>
      <c s="266"/>
    </row>
    <row r="9" ht="19.5" customHeight="1">
      <c r="A9" s="354">
        <v>1</v>
      </c>
      <c s="354" t="s">
        <v>238</v>
      </c>
      <c s="354" t="s">
        <v>240</v>
      </c>
      <c s="203"/>
      <c s="354" t="s">
        <v>13</v>
      </c>
      <c s="176"/>
      <c s="201"/>
      <c s="354" t="s">
        <v>260</v>
      </c>
      <c s="176"/>
      <c s="176"/>
      <c s="176"/>
      <c s="176"/>
      <c s="176"/>
      <c s="176"/>
      <c s="201"/>
    </row>
    <row r="10" ht="19.5" customHeight="1">
      <c r="A10" s="267"/>
      <c s="267"/>
      <c s="195"/>
      <c s="269"/>
      <c s="354" t="s">
        <v>14</v>
      </c>
      <c s="176"/>
      <c s="201"/>
      <c s="354" t="s">
        <v>15</v>
      </c>
      <c s="176"/>
      <c s="201"/>
      <c s="356" t="s">
        <v>16</v>
      </c>
      <c s="241"/>
      <c s="354" t="s">
        <v>16</v>
      </c>
      <c s="176"/>
      <c s="201"/>
    </row>
    <row r="11" ht="19.5" customHeight="1">
      <c r="A11" s="267"/>
      <c s="267"/>
      <c s="195"/>
      <c s="269"/>
      <c s="354" t="s">
        <v>235</v>
      </c>
      <c s="176"/>
      <c s="201"/>
      <c s="356" t="s">
        <v>109</v>
      </c>
      <c s="270"/>
      <c s="241"/>
      <c s="356" t="s">
        <v>113</v>
      </c>
      <c s="241"/>
      <c s="356" t="s">
        <v>194</v>
      </c>
      <c s="270"/>
      <c s="241"/>
    </row>
    <row r="12" ht="19.5" customHeight="1">
      <c r="A12" s="267"/>
      <c s="267"/>
      <c s="195"/>
      <c s="269"/>
      <c s="354" t="s">
        <v>180</v>
      </c>
      <c s="174"/>
      <c s="203"/>
      <c s="355" t="s">
        <v>367</v>
      </c>
      <c s="242"/>
      <c s="239"/>
      <c s="355" t="s">
        <v>362</v>
      </c>
      <c s="239"/>
      <c s="355" t="s">
        <v>365</v>
      </c>
      <c s="242"/>
      <c s="239"/>
    </row>
    <row r="13" ht="19.5" customHeight="1">
      <c r="A13" s="267"/>
      <c s="267"/>
      <c s="195"/>
      <c s="269"/>
      <c s="195"/>
      <c s="194"/>
      <c s="269"/>
      <c s="355" t="s">
        <v>367</v>
      </c>
      <c s="242"/>
      <c s="239"/>
      <c s="355" t="s">
        <v>362</v>
      </c>
      <c s="239"/>
      <c s="355" t="s">
        <v>365</v>
      </c>
      <c s="242"/>
      <c s="239"/>
    </row>
    <row r="14" ht="19.5" customHeight="1">
      <c r="A14" s="267"/>
      <c s="267"/>
      <c s="195"/>
      <c s="269"/>
      <c s="198"/>
      <c s="232"/>
      <c s="266"/>
      <c s="355" t="s">
        <v>367</v>
      </c>
      <c s="242"/>
      <c s="239"/>
      <c s="355" t="s">
        <v>363</v>
      </c>
      <c s="239"/>
      <c s="355" t="s">
        <v>365</v>
      </c>
      <c s="242"/>
      <c s="239"/>
    </row>
    <row r="15" ht="19.5" customHeight="1">
      <c r="A15" s="267"/>
      <c s="267"/>
      <c s="195"/>
      <c s="269"/>
      <c s="354" t="s">
        <v>234</v>
      </c>
      <c s="176"/>
      <c s="201"/>
      <c s="355" t="s">
        <v>367</v>
      </c>
      <c s="242"/>
      <c s="239"/>
      <c s="355" t="s">
        <v>363</v>
      </c>
      <c s="239"/>
      <c s="355" t="s">
        <v>366</v>
      </c>
      <c s="242"/>
      <c s="239"/>
    </row>
    <row r="16" ht="19.5" customHeight="1">
      <c r="A16" s="267"/>
      <c s="267"/>
      <c s="195"/>
      <c s="269"/>
      <c s="354" t="s">
        <v>233</v>
      </c>
      <c s="176"/>
      <c s="201"/>
      <c s="355" t="s">
        <v>364</v>
      </c>
      <c s="242"/>
      <c s="239"/>
      <c s="355" t="s">
        <v>364</v>
      </c>
      <c s="239"/>
      <c s="355" t="s">
        <v>364</v>
      </c>
      <c s="242"/>
      <c s="239"/>
    </row>
    <row r="17" ht="19.5" customHeight="1">
      <c r="A17" s="267"/>
      <c s="268"/>
      <c s="198"/>
      <c s="266"/>
      <c s="354" t="s">
        <v>232</v>
      </c>
      <c s="176"/>
      <c s="201"/>
      <c s="357" t="s">
        <v>364</v>
      </c>
      <c s="263"/>
      <c s="264"/>
      <c s="355" t="s">
        <v>364</v>
      </c>
      <c s="239"/>
      <c s="357" t="s">
        <v>364</v>
      </c>
      <c s="263"/>
      <c s="264"/>
    </row>
    <row r="18" ht="19.5" customHeight="1">
      <c r="A18" s="267"/>
      <c s="354" t="s">
        <v>237</v>
      </c>
      <c s="354" t="s">
        <v>236</v>
      </c>
      <c s="203"/>
      <c s="354" t="s">
        <v>14</v>
      </c>
      <c s="176"/>
      <c s="201"/>
      <c s="354" t="s">
        <v>193</v>
      </c>
      <c s="176"/>
      <c s="176"/>
      <c s="176" t="s">
        <v>254</v>
      </c>
      <c s="176"/>
      <c s="176"/>
      <c s="176"/>
      <c s="201"/>
    </row>
    <row r="19" ht="19.5" customHeight="1">
      <c r="A19" s="267"/>
      <c s="267"/>
      <c s="195"/>
      <c s="269"/>
      <c s="354" t="s">
        <v>235</v>
      </c>
      <c s="174"/>
      <c s="203"/>
      <c s="356" t="s">
        <v>252</v>
      </c>
      <c s="247"/>
      <c s="356" t="s">
        <v>253</v>
      </c>
      <c s="356" t="str">
        <f>'波长示值误差与重复性校验'!B7</f>
        <v>416.5</v>
      </c>
      <c s="356" t="s">
        <v>255</v>
      </c>
      <c s="356" t="s">
        <v>256</v>
      </c>
      <c s="356" t="s">
        <v>257</v>
      </c>
      <c s="247"/>
    </row>
    <row r="20" hidden="1" ht="19.5" customHeight="1">
      <c r="A20" s="267"/>
      <c s="267"/>
      <c s="195"/>
      <c s="269"/>
      <c s="198"/>
      <c s="232"/>
      <c s="266"/>
      <c s="246"/>
      <c s="248"/>
      <c s="244"/>
      <c s="244"/>
      <c s="244"/>
      <c s="244"/>
      <c s="246"/>
      <c s="248"/>
    </row>
    <row r="21" ht="19.5" customHeight="1">
      <c r="A21" s="267"/>
      <c s="267"/>
      <c s="195"/>
      <c s="269"/>
      <c s="354" t="s">
        <v>180</v>
      </c>
      <c s="174"/>
      <c s="203"/>
      <c s="355" t="s">
        <v>368</v>
      </c>
      <c s="151"/>
      <c s="355" t="s">
        <v>370</v>
      </c>
      <c s="355" t="s">
        <v>371</v>
      </c>
      <c s="355" t="s">
        <v>373</v>
      </c>
      <c s="355" t="s">
        <v>375</v>
      </c>
      <c s="355" t="s">
        <v>376</v>
      </c>
      <c s="151"/>
    </row>
    <row r="22" hidden="1" ht="19.5" customHeight="1">
      <c r="A22" s="267"/>
      <c s="267"/>
      <c s="195"/>
      <c s="269"/>
      <c s="195"/>
      <c s="194"/>
      <c s="269"/>
      <c s="140"/>
      <c s="150"/>
      <c s="172"/>
      <c s="172"/>
      <c s="172"/>
      <c s="172"/>
      <c s="140"/>
      <c s="150"/>
    </row>
    <row r="23" ht="19.5" customHeight="1">
      <c r="A23" s="267"/>
      <c s="267"/>
      <c s="195"/>
      <c s="269"/>
      <c s="195"/>
      <c s="194"/>
      <c s="269"/>
      <c s="355">
        <f>'波长示值误差与重复性校验'!D5</f>
        <v>640.8</v>
      </c>
      <c s="151"/>
      <c s="355" t="s">
        <v>370</v>
      </c>
      <c s="355" t="s">
        <v>372</v>
      </c>
      <c s="355" t="s">
        <v>373</v>
      </c>
      <c s="355" t="s">
        <v>375</v>
      </c>
      <c s="355" t="s">
        <v>377</v>
      </c>
      <c s="151"/>
    </row>
    <row r="24" hidden="1" ht="19.5" customHeight="1">
      <c r="A24" s="267"/>
      <c s="267"/>
      <c s="195"/>
      <c s="269"/>
      <c s="195"/>
      <c s="194"/>
      <c s="269"/>
      <c s="140"/>
      <c s="150"/>
      <c s="172"/>
      <c s="172"/>
      <c s="172"/>
      <c s="172"/>
      <c s="140"/>
      <c s="150"/>
    </row>
    <row r="25" ht="19.5" customHeight="1">
      <c r="A25" s="267"/>
      <c s="267"/>
      <c s="195"/>
      <c s="269"/>
      <c s="195"/>
      <c s="194"/>
      <c s="269"/>
      <c s="355" t="s">
        <v>368</v>
      </c>
      <c s="151"/>
      <c s="355" t="s">
        <v>370</v>
      </c>
      <c s="355" t="s">
        <v>372</v>
      </c>
      <c s="355" t="s">
        <v>373</v>
      </c>
      <c s="355" t="s">
        <v>375</v>
      </c>
      <c s="355" t="s">
        <v>377</v>
      </c>
      <c s="151"/>
    </row>
    <row r="26" hidden="1" ht="19.5" customHeight="1">
      <c r="A26" s="267"/>
      <c s="267"/>
      <c s="195"/>
      <c s="269"/>
      <c s="198"/>
      <c s="232"/>
      <c s="266"/>
      <c s="140"/>
      <c s="150"/>
      <c s="172"/>
      <c s="172"/>
      <c s="172"/>
      <c s="172"/>
      <c s="140"/>
      <c s="150"/>
    </row>
    <row r="27" ht="19.5" customHeight="1">
      <c r="A27" s="267"/>
      <c s="267"/>
      <c s="195"/>
      <c s="269"/>
      <c s="354" t="s">
        <v>234</v>
      </c>
      <c s="174"/>
      <c s="203"/>
      <c s="355" t="s">
        <v>368</v>
      </c>
      <c s="151"/>
      <c s="355" t="s">
        <v>370</v>
      </c>
      <c s="355" t="s">
        <v>372</v>
      </c>
      <c s="355" t="s">
        <v>373</v>
      </c>
      <c s="355" t="s">
        <v>375</v>
      </c>
      <c s="355" t="s">
        <v>377</v>
      </c>
      <c s="151"/>
    </row>
    <row r="28" hidden="1" ht="19.5" customHeight="1">
      <c r="A28" s="267"/>
      <c s="267"/>
      <c s="195"/>
      <c s="269"/>
      <c s="198"/>
      <c s="232"/>
      <c s="266"/>
      <c s="140"/>
      <c s="150"/>
      <c s="172"/>
      <c s="172"/>
      <c s="172"/>
      <c s="172"/>
      <c s="140"/>
      <c s="150"/>
    </row>
    <row r="29" ht="19.5" customHeight="1">
      <c r="A29" s="267"/>
      <c s="267"/>
      <c s="195"/>
      <c s="269"/>
      <c s="354" t="s">
        <v>233</v>
      </c>
      <c s="174"/>
      <c s="203"/>
      <c s="355" t="s">
        <v>369</v>
      </c>
      <c s="151"/>
      <c s="355" t="s">
        <v>364</v>
      </c>
      <c s="355" t="s">
        <v>369</v>
      </c>
      <c s="355" t="s">
        <v>374</v>
      </c>
      <c s="355" t="s">
        <v>369</v>
      </c>
      <c s="355" t="s">
        <v>378</v>
      </c>
      <c s="151"/>
    </row>
    <row r="30" hidden="1" ht="18" customHeight="1">
      <c r="A30" s="267"/>
      <c s="267"/>
      <c s="195"/>
      <c s="269"/>
      <c s="198"/>
      <c s="232"/>
      <c s="266"/>
      <c s="140"/>
      <c s="150"/>
      <c s="172"/>
      <c s="172"/>
      <c s="172"/>
      <c s="172"/>
      <c s="140"/>
      <c s="150"/>
    </row>
    <row r="31" ht="19.5" customHeight="1">
      <c r="A31" s="267"/>
      <c s="267"/>
      <c s="195"/>
      <c s="269"/>
      <c s="354" t="s">
        <v>232</v>
      </c>
      <c s="174"/>
      <c s="203"/>
      <c s="357" t="s">
        <v>364</v>
      </c>
      <c s="141"/>
      <c s="357" t="s">
        <v>364</v>
      </c>
      <c s="357" t="s">
        <v>369</v>
      </c>
      <c s="357" t="s">
        <v>364</v>
      </c>
      <c s="357" t="s">
        <v>364</v>
      </c>
      <c s="357" t="s">
        <v>369</v>
      </c>
      <c s="141"/>
    </row>
    <row r="32" hidden="1" ht="19.5" customHeight="1">
      <c r="A32" s="268"/>
      <c s="268"/>
      <c s="198"/>
      <c s="266"/>
      <c s="198"/>
      <c s="232"/>
      <c s="266"/>
      <c s="230"/>
      <c s="231"/>
      <c s="293"/>
      <c s="293"/>
      <c s="293"/>
      <c s="293"/>
      <c s="230"/>
      <c s="231"/>
    </row>
    <row r="33" ht="15" customHeight="1">
      <c r="A33" s="354">
        <v>2</v>
      </c>
      <c s="354" t="s">
        <v>231</v>
      </c>
      <c s="354" t="s">
        <v>286</v>
      </c>
      <c s="203"/>
      <c s="354" t="s">
        <v>14</v>
      </c>
      <c s="174"/>
      <c s="203"/>
      <c s="354" t="s">
        <v>261</v>
      </c>
      <c s="174"/>
      <c s="174"/>
      <c s="174"/>
      <c s="174"/>
      <c s="174"/>
      <c s="174"/>
      <c s="203"/>
    </row>
    <row r="34" ht="15" customHeight="1">
      <c r="A34" s="267"/>
      <c s="267"/>
      <c s="195"/>
      <c s="269"/>
      <c s="198"/>
      <c s="232"/>
      <c s="266"/>
      <c s="198"/>
      <c s="232"/>
      <c s="232"/>
      <c s="232"/>
      <c s="232"/>
      <c s="232"/>
      <c s="232"/>
      <c s="266"/>
    </row>
    <row r="35" ht="19.5" customHeight="1">
      <c r="A35" s="267"/>
      <c s="267"/>
      <c s="195"/>
      <c s="269"/>
      <c s="354" t="s">
        <v>17</v>
      </c>
      <c s="201"/>
      <c s="354" t="s">
        <v>18</v>
      </c>
      <c s="201"/>
      <c s="354">
        <f>'透射比示值误差与重复性校验'!B6</f>
        <v>635</v>
      </c>
      <c s="176"/>
      <c s="201"/>
      <c s="354">
        <f>'透射比示值误差与重复性校验'!B7</f>
        <v>546</v>
      </c>
      <c s="201"/>
      <c s="354">
        <f>'透射比示值误差与重复性校验'!B8</f>
        <v>440</v>
      </c>
      <c s="201"/>
    </row>
    <row r="36" ht="19.5" customHeight="1">
      <c r="A36" s="267"/>
      <c s="267"/>
      <c s="195"/>
      <c s="269"/>
      <c s="354" t="s">
        <v>80</v>
      </c>
      <c s="203"/>
      <c s="354" t="s">
        <v>262</v>
      </c>
      <c s="201"/>
      <c s="356" t="s">
        <v>379</v>
      </c>
      <c s="270"/>
      <c s="241"/>
      <c s="356" t="s">
        <v>382</v>
      </c>
      <c s="241"/>
      <c s="356" t="s">
        <v>385</v>
      </c>
      <c s="241"/>
    </row>
    <row r="37" ht="19.5" customHeight="1">
      <c r="A37" s="267"/>
      <c s="267"/>
      <c s="195"/>
      <c s="269"/>
      <c s="195"/>
      <c s="269"/>
      <c s="354" t="s">
        <v>263</v>
      </c>
      <c s="203"/>
      <c s="355" t="s">
        <v>380</v>
      </c>
      <c s="242"/>
      <c s="239"/>
      <c s="355" t="s">
        <v>383</v>
      </c>
      <c s="239"/>
      <c s="355" t="s">
        <v>386</v>
      </c>
      <c s="239"/>
    </row>
    <row r="38" ht="19.5" customHeight="1">
      <c r="A38" s="267"/>
      <c s="267"/>
      <c s="195"/>
      <c s="269"/>
      <c s="195"/>
      <c s="269"/>
      <c s="195"/>
      <c s="269"/>
      <c s="355" t="s">
        <v>380</v>
      </c>
      <c s="242"/>
      <c s="239"/>
      <c s="355" t="s">
        <v>383</v>
      </c>
      <c s="239"/>
      <c s="355" t="s">
        <v>383</v>
      </c>
      <c s="239"/>
    </row>
    <row r="39" ht="19.5" customHeight="1">
      <c r="A39" s="267"/>
      <c s="267"/>
      <c s="195"/>
      <c s="269"/>
      <c s="195"/>
      <c s="269"/>
      <c s="198"/>
      <c s="266"/>
      <c s="355" t="s">
        <v>380</v>
      </c>
      <c s="242"/>
      <c s="239"/>
      <c s="355" t="s">
        <v>383</v>
      </c>
      <c s="239"/>
      <c s="355" t="s">
        <v>383</v>
      </c>
      <c s="239"/>
    </row>
    <row r="40" ht="19.5" customHeight="1">
      <c r="A40" s="267"/>
      <c s="267"/>
      <c s="195"/>
      <c s="269"/>
      <c s="195"/>
      <c s="269"/>
      <c s="354" t="s">
        <v>264</v>
      </c>
      <c s="201"/>
      <c s="355" t="s">
        <v>380</v>
      </c>
      <c s="242"/>
      <c s="239"/>
      <c s="355" t="s">
        <v>383</v>
      </c>
      <c s="239"/>
      <c s="355" t="s">
        <v>383</v>
      </c>
      <c s="239"/>
    </row>
    <row r="41" ht="19.5" customHeight="1">
      <c r="A41" s="267"/>
      <c s="267"/>
      <c s="195"/>
      <c s="269"/>
      <c s="195"/>
      <c s="269"/>
      <c s="354" t="s">
        <v>265</v>
      </c>
      <c s="201"/>
      <c s="355" t="s">
        <v>381</v>
      </c>
      <c s="242"/>
      <c s="239"/>
      <c s="355" t="s">
        <v>384</v>
      </c>
      <c s="239"/>
      <c s="355" t="s">
        <v>387</v>
      </c>
      <c s="239"/>
    </row>
    <row r="42" ht="19.5" customHeight="1">
      <c r="A42" s="267"/>
      <c s="267"/>
      <c s="195"/>
      <c s="269"/>
      <c s="198"/>
      <c s="266"/>
      <c s="354" t="s">
        <v>266</v>
      </c>
      <c s="201"/>
      <c s="355" t="s">
        <v>364</v>
      </c>
      <c s="242"/>
      <c s="239"/>
      <c s="355" t="s">
        <v>364</v>
      </c>
      <c s="239"/>
      <c s="355" t="s">
        <v>388</v>
      </c>
      <c s="239"/>
    </row>
    <row r="43" ht="19.5" customHeight="1">
      <c r="A43" s="267"/>
      <c s="267"/>
      <c s="195"/>
      <c s="269"/>
      <c s="354" t="s">
        <v>84</v>
      </c>
      <c s="203"/>
      <c s="354" t="s">
        <v>262</v>
      </c>
      <c s="201"/>
      <c s="356" t="s">
        <v>389</v>
      </c>
      <c s="270"/>
      <c s="241"/>
      <c s="356" t="s">
        <v>392</v>
      </c>
      <c s="241"/>
      <c s="356" t="s">
        <v>395</v>
      </c>
      <c s="241"/>
    </row>
    <row r="44" ht="19.5" customHeight="1">
      <c r="A44" s="267"/>
      <c s="267"/>
      <c s="195"/>
      <c s="269"/>
      <c s="195"/>
      <c s="269"/>
      <c s="354" t="s">
        <v>263</v>
      </c>
      <c s="203"/>
      <c s="355" t="s">
        <v>390</v>
      </c>
      <c s="242"/>
      <c s="239"/>
      <c s="355" t="s">
        <v>393</v>
      </c>
      <c s="239"/>
      <c s="355" t="s">
        <v>396</v>
      </c>
      <c s="239"/>
    </row>
    <row r="45" ht="19.5" customHeight="1">
      <c r="A45" s="267"/>
      <c s="267"/>
      <c s="195"/>
      <c s="269"/>
      <c s="195"/>
      <c s="269"/>
      <c s="195"/>
      <c s="269"/>
      <c s="355" t="s">
        <v>390</v>
      </c>
      <c s="242"/>
      <c s="239"/>
      <c s="355" t="s">
        <v>393</v>
      </c>
      <c s="239"/>
      <c s="355" t="s">
        <v>396</v>
      </c>
      <c s="239"/>
    </row>
    <row r="46" ht="19.5" customHeight="1">
      <c r="A46" s="267"/>
      <c s="267"/>
      <c s="195"/>
      <c s="269"/>
      <c s="195"/>
      <c s="269"/>
      <c s="198"/>
      <c s="266"/>
      <c s="355" t="s">
        <v>390</v>
      </c>
      <c s="242"/>
      <c s="239"/>
      <c s="355" t="s">
        <v>393</v>
      </c>
      <c s="239"/>
      <c s="355" t="s">
        <v>396</v>
      </c>
      <c s="239"/>
    </row>
    <row r="47" ht="19.5" customHeight="1">
      <c r="A47" s="267"/>
      <c s="267"/>
      <c s="195"/>
      <c s="269"/>
      <c s="195"/>
      <c s="269"/>
      <c s="354" t="s">
        <v>264</v>
      </c>
      <c s="201"/>
      <c s="355" t="s">
        <v>390</v>
      </c>
      <c s="242"/>
      <c s="239"/>
      <c s="355" t="s">
        <v>393</v>
      </c>
      <c s="239"/>
      <c s="355" t="s">
        <v>396</v>
      </c>
      <c s="239"/>
    </row>
    <row r="48" ht="19.5" customHeight="1">
      <c r="A48" s="267"/>
      <c s="267"/>
      <c s="195"/>
      <c s="269"/>
      <c s="195"/>
      <c s="269"/>
      <c s="354" t="s">
        <v>265</v>
      </c>
      <c s="201"/>
      <c s="355" t="s">
        <v>391</v>
      </c>
      <c s="242"/>
      <c s="239"/>
      <c s="355" t="s">
        <v>394</v>
      </c>
      <c s="239"/>
      <c s="355" t="s">
        <v>397</v>
      </c>
      <c s="239"/>
    </row>
    <row r="49" ht="19.5" customHeight="1">
      <c r="A49" s="268"/>
      <c s="268"/>
      <c s="198"/>
      <c s="266"/>
      <c s="198"/>
      <c s="266"/>
      <c s="354" t="s">
        <v>266</v>
      </c>
      <c s="201"/>
      <c s="356" t="s">
        <v>364</v>
      </c>
      <c s="270"/>
      <c s="241"/>
      <c s="355" t="s">
        <v>364</v>
      </c>
      <c s="239"/>
      <c s="356" t="s">
        <v>364</v>
      </c>
      <c s="241"/>
    </row>
    <row r="50" ht="19.5" customHeight="1">
      <c r="A50" s="354">
        <v>2</v>
      </c>
      <c s="354" t="s">
        <v>231</v>
      </c>
      <c s="354" t="s">
        <v>287</v>
      </c>
      <c s="203"/>
      <c s="354" t="s">
        <v>87</v>
      </c>
      <c s="203"/>
      <c s="354" t="s">
        <v>262</v>
      </c>
      <c s="201"/>
      <c s="356" t="s">
        <v>398</v>
      </c>
      <c s="270"/>
      <c s="241"/>
      <c s="356" t="s">
        <v>401</v>
      </c>
      <c s="241"/>
      <c s="356" t="s">
        <v>404</v>
      </c>
      <c s="241"/>
    </row>
    <row r="51" ht="19.5" customHeight="1">
      <c r="A51" s="267"/>
      <c s="267"/>
      <c s="195"/>
      <c s="269"/>
      <c s="195"/>
      <c s="269"/>
      <c s="354" t="s">
        <v>263</v>
      </c>
      <c s="203"/>
      <c s="355" t="s">
        <v>399</v>
      </c>
      <c s="242"/>
      <c s="239"/>
      <c s="355" t="s">
        <v>402</v>
      </c>
      <c s="239"/>
      <c s="355" t="s">
        <v>405</v>
      </c>
      <c s="239"/>
    </row>
    <row r="52" ht="19.5" customHeight="1">
      <c r="A52" s="267"/>
      <c s="267"/>
      <c s="195"/>
      <c s="269"/>
      <c s="195"/>
      <c s="269"/>
      <c s="195"/>
      <c s="269"/>
      <c s="355" t="s">
        <v>399</v>
      </c>
      <c s="242"/>
      <c s="239"/>
      <c s="355" t="s">
        <v>402</v>
      </c>
      <c s="239"/>
      <c s="355" t="s">
        <v>406</v>
      </c>
      <c s="239"/>
    </row>
    <row r="53" ht="19.5" customHeight="1">
      <c r="A53" s="267"/>
      <c s="267"/>
      <c s="195"/>
      <c s="269"/>
      <c s="195"/>
      <c s="269"/>
      <c s="198"/>
      <c s="266"/>
      <c s="355" t="s">
        <v>399</v>
      </c>
      <c s="242"/>
      <c s="239"/>
      <c s="355" t="s">
        <v>402</v>
      </c>
      <c s="239"/>
      <c s="355" t="s">
        <v>406</v>
      </c>
      <c s="239"/>
    </row>
    <row r="54" ht="19.5" customHeight="1">
      <c r="A54" s="267"/>
      <c s="267"/>
      <c s="195"/>
      <c s="269"/>
      <c s="195"/>
      <c s="269"/>
      <c s="354" t="s">
        <v>264</v>
      </c>
      <c s="201"/>
      <c s="355" t="s">
        <v>399</v>
      </c>
      <c s="242"/>
      <c s="239"/>
      <c s="355" t="s">
        <v>402</v>
      </c>
      <c s="239"/>
      <c s="355" t="s">
        <v>406</v>
      </c>
      <c s="239"/>
    </row>
    <row r="55" ht="19.5" customHeight="1">
      <c r="A55" s="267"/>
      <c s="267"/>
      <c s="195"/>
      <c s="269"/>
      <c s="195"/>
      <c s="269"/>
      <c s="354" t="s">
        <v>265</v>
      </c>
      <c s="201"/>
      <c s="355" t="s">
        <v>400</v>
      </c>
      <c s="242"/>
      <c s="239"/>
      <c s="355" t="s">
        <v>403</v>
      </c>
      <c s="239"/>
      <c s="355" t="s">
        <v>407</v>
      </c>
      <c s="239"/>
    </row>
    <row r="56" ht="19.5" customHeight="1">
      <c r="A56" s="268"/>
      <c s="268"/>
      <c s="198"/>
      <c s="266"/>
      <c s="198"/>
      <c s="266"/>
      <c s="354" t="s">
        <v>266</v>
      </c>
      <c s="201"/>
      <c s="355" t="s">
        <v>364</v>
      </c>
      <c s="242"/>
      <c s="239"/>
      <c s="355" t="s">
        <v>364</v>
      </c>
      <c s="239"/>
      <c s="355" t="s">
        <v>388</v>
      </c>
      <c s="239"/>
    </row>
    <row r="57" ht="19.5" customHeight="1">
      <c r="A57" s="354">
        <v>3</v>
      </c>
      <c s="354" t="s">
        <v>230</v>
      </c>
      <c s="354" t="s">
        <v>286</v>
      </c>
      <c s="203"/>
      <c s="354" t="s">
        <v>14</v>
      </c>
      <c s="176"/>
      <c s="201"/>
      <c s="354" t="s">
        <v>117</v>
      </c>
      <c s="176"/>
      <c s="176"/>
      <c s="176"/>
      <c s="176"/>
      <c s="176"/>
      <c s="176"/>
      <c s="201"/>
    </row>
    <row r="58" ht="19.5" customHeight="1">
      <c r="A58" s="267"/>
      <c s="267"/>
      <c s="195"/>
      <c s="269"/>
      <c s="354" t="s">
        <v>267</v>
      </c>
      <c s="174"/>
      <c s="203"/>
      <c s="354">
        <f>'透射比示值误差与重复性校验'!B2</f>
        <v>350</v>
      </c>
      <c s="201"/>
      <c s="354">
        <f>'透射比示值误差与重复性校验'!B3</f>
        <v>313</v>
      </c>
      <c s="201"/>
      <c s="321">
        <f>'透射比示值误差与重复性校验'!B4</f>
        <v>257</v>
      </c>
      <c s="256"/>
      <c s="321">
        <f>'透射比示值误差与重复性校验'!B5</f>
        <v>235</v>
      </c>
      <c s="256"/>
    </row>
    <row r="59" ht="19.5" customHeight="1">
      <c r="A59" s="267"/>
      <c s="267"/>
      <c s="195"/>
      <c s="269"/>
      <c s="198"/>
      <c s="232"/>
      <c s="266"/>
      <c s="356" t="s">
        <v>408</v>
      </c>
      <c s="241"/>
      <c s="356" t="s">
        <v>411</v>
      </c>
      <c s="241"/>
      <c s="159" t="s">
        <v>414</v>
      </c>
      <c s="260"/>
      <c s="159" t="s">
        <v>417</v>
      </c>
      <c s="260"/>
    </row>
    <row r="60" ht="19.5" customHeight="1">
      <c r="A60" s="267"/>
      <c s="267"/>
      <c s="195"/>
      <c s="269"/>
      <c s="354" t="s">
        <v>28</v>
      </c>
      <c s="174"/>
      <c s="203"/>
      <c s="355" t="s">
        <v>409</v>
      </c>
      <c s="239"/>
      <c s="355" t="s">
        <v>412</v>
      </c>
      <c s="239"/>
      <c s="139" t="s">
        <v>415</v>
      </c>
      <c s="258"/>
      <c s="139" t="s">
        <v>418</v>
      </c>
      <c s="258"/>
    </row>
    <row r="61" ht="19.5" customHeight="1">
      <c r="A61" s="267"/>
      <c s="267"/>
      <c s="195"/>
      <c s="269"/>
      <c s="195"/>
      <c s="194"/>
      <c s="269"/>
      <c s="355" t="s">
        <v>410</v>
      </c>
      <c s="239"/>
      <c s="355" t="s">
        <v>412</v>
      </c>
      <c s="239"/>
      <c s="139" t="s">
        <v>415</v>
      </c>
      <c s="258"/>
      <c s="139" t="s">
        <v>418</v>
      </c>
      <c s="258"/>
    </row>
    <row r="62" ht="19.5" customHeight="1">
      <c r="A62" s="267"/>
      <c s="267"/>
      <c s="195"/>
      <c s="269"/>
      <c s="198"/>
      <c s="232"/>
      <c s="266"/>
      <c s="355" t="s">
        <v>410</v>
      </c>
      <c s="239"/>
      <c s="355" t="s">
        <v>412</v>
      </c>
      <c s="239"/>
      <c s="139" t="s">
        <v>415</v>
      </c>
      <c s="258"/>
      <c s="139" t="s">
        <v>419</v>
      </c>
      <c s="258"/>
    </row>
    <row r="63" ht="19.5" customHeight="1">
      <c r="A63" s="267"/>
      <c s="267"/>
      <c s="195"/>
      <c s="269"/>
      <c s="354" t="s">
        <v>264</v>
      </c>
      <c s="176"/>
      <c s="201"/>
      <c s="355" t="s">
        <v>410</v>
      </c>
      <c s="239"/>
      <c s="355" t="s">
        <v>412</v>
      </c>
      <c s="239"/>
      <c s="355" t="s">
        <v>415</v>
      </c>
      <c s="239"/>
      <c s="355" t="s">
        <v>418</v>
      </c>
      <c s="239"/>
    </row>
    <row r="64" ht="19.5" customHeight="1">
      <c r="A64" s="267"/>
      <c s="267"/>
      <c s="195"/>
      <c s="269"/>
      <c s="354" t="s">
        <v>265</v>
      </c>
      <c s="176"/>
      <c s="201"/>
      <c s="355" t="s">
        <v>403</v>
      </c>
      <c s="239"/>
      <c s="355" t="s">
        <v>413</v>
      </c>
      <c s="239"/>
      <c s="355" t="s">
        <v>416</v>
      </c>
      <c s="239"/>
      <c s="355" t="s">
        <v>420</v>
      </c>
      <c s="239"/>
    </row>
    <row r="65" ht="19.5" customHeight="1">
      <c r="A65" s="268"/>
      <c s="268"/>
      <c s="198"/>
      <c s="266"/>
      <c s="354" t="s">
        <v>266</v>
      </c>
      <c s="176"/>
      <c s="201"/>
      <c s="356" t="s">
        <v>388</v>
      </c>
      <c s="241"/>
      <c s="356" t="s">
        <v>364</v>
      </c>
      <c s="241"/>
      <c s="356" t="s">
        <v>364</v>
      </c>
      <c s="241"/>
      <c s="356" t="s">
        <v>388</v>
      </c>
      <c s="241"/>
    </row>
    <row r="66" ht="30" customHeight="1">
      <c r="A66" s="354">
        <v>4</v>
      </c>
      <c s="238" t="s">
        <v>19</v>
      </c>
      <c s="354"/>
      <c s="203"/>
      <c s="238" t="s">
        <v>20</v>
      </c>
      <c s="288"/>
      <c s="286"/>
      <c s="238"/>
      <c s="286"/>
      <c s="354">
        <v>1</v>
      </c>
      <c s="354">
        <v>2</v>
      </c>
      <c s="354">
        <v>3</v>
      </c>
      <c s="321" t="s">
        <v>12</v>
      </c>
      <c s="251"/>
      <c s="253"/>
    </row>
    <row r="67" hidden="1" ht="30" customHeight="1">
      <c r="A67" s="267"/>
      <c s="282"/>
      <c s="198"/>
      <c s="266"/>
      <c s="285"/>
      <c s="289"/>
      <c s="287"/>
      <c s="285"/>
      <c s="287"/>
      <c s="268"/>
      <c s="268"/>
      <c s="268"/>
      <c s="250"/>
      <c s="252"/>
      <c s="254"/>
    </row>
    <row r="68" ht="30" customHeight="1">
      <c r="A68" s="267"/>
      <c s="282"/>
      <c s="240" t="s">
        <v>21</v>
      </c>
      <c s="354" t="s">
        <v>268</v>
      </c>
      <c s="238" t="s">
        <v>22</v>
      </c>
      <c s="288"/>
      <c s="286"/>
      <c s="354" t="s">
        <v>289</v>
      </c>
      <c s="203"/>
      <c s="161" t="s">
        <v>421</v>
      </c>
      <c s="359" t="s">
        <v>421</v>
      </c>
      <c s="161" t="s">
        <v>421</v>
      </c>
      <c s="321" t="s">
        <v>425</v>
      </c>
      <c s="251"/>
      <c s="253"/>
    </row>
    <row r="69" hidden="1" ht="30" customHeight="1">
      <c r="A69" s="267"/>
      <c s="282"/>
      <c s="291"/>
      <c s="268"/>
      <c s="285"/>
      <c s="289"/>
      <c s="287"/>
      <c s="195"/>
      <c s="269"/>
      <c s="227"/>
      <c s="160"/>
      <c s="227"/>
      <c s="250"/>
      <c s="252"/>
      <c s="254"/>
    </row>
    <row r="70" ht="30" customHeight="1">
      <c r="A70" s="267"/>
      <c s="282"/>
      <c s="240" t="s">
        <v>23</v>
      </c>
      <c s="354" t="s">
        <v>34</v>
      </c>
      <c s="238" t="s">
        <v>24</v>
      </c>
      <c s="288"/>
      <c s="286"/>
      <c s="195"/>
      <c s="269"/>
      <c s="161" t="s">
        <v>422</v>
      </c>
      <c s="359" t="s">
        <v>423</v>
      </c>
      <c s="161" t="s">
        <v>424</v>
      </c>
      <c s="321" t="s">
        <v>425</v>
      </c>
      <c s="251"/>
      <c s="253"/>
    </row>
    <row r="71" hidden="1" ht="30" customHeight="1">
      <c r="A71" s="268"/>
      <c s="283"/>
      <c s="291"/>
      <c s="268"/>
      <c s="285"/>
      <c s="289"/>
      <c s="287"/>
      <c s="198"/>
      <c s="266"/>
      <c s="227"/>
      <c s="160"/>
      <c s="227"/>
      <c s="250"/>
      <c s="252"/>
      <c s="254"/>
    </row>
    <row r="72" ht="30" customHeight="1">
      <c r="A72" s="354">
        <v>5</v>
      </c>
      <c s="238" t="s">
        <v>25</v>
      </c>
      <c s="354" t="s">
        <v>337</v>
      </c>
      <c s="174"/>
      <c s="174"/>
      <c s="174"/>
      <c s="203"/>
      <c s="354" t="s">
        <v>26</v>
      </c>
      <c s="174"/>
      <c s="174"/>
      <c s="174"/>
      <c s="203"/>
      <c s="262" t="s">
        <v>426</v>
      </c>
      <c s="322"/>
      <c s="324"/>
    </row>
    <row r="73" hidden="1" ht="30" customHeight="1">
      <c r="A73" s="268"/>
      <c s="283"/>
      <c s="198"/>
      <c s="232"/>
      <c s="232"/>
      <c s="232"/>
      <c s="266"/>
      <c s="198"/>
      <c s="232"/>
      <c s="232"/>
      <c s="232"/>
      <c s="266"/>
      <c s="186"/>
      <c s="323"/>
      <c s="325"/>
    </row>
    <row r="74" ht="30" customHeight="1">
      <c r="A74" s="238">
        <v>6</v>
      </c>
      <c s="238" t="s">
        <v>27</v>
      </c>
      <c s="354" t="s">
        <v>269</v>
      </c>
      <c s="174"/>
      <c s="174"/>
      <c s="174"/>
      <c s="203"/>
      <c s="354" t="s">
        <v>28</v>
      </c>
      <c s="174"/>
      <c s="174"/>
      <c s="174"/>
      <c s="203"/>
      <c s="175" t="s">
        <v>364</v>
      </c>
      <c s="137"/>
      <c s="187"/>
    </row>
    <row r="75" hidden="1" ht="30" customHeight="1">
      <c r="A75" s="283"/>
      <c s="283"/>
      <c s="198"/>
      <c s="232"/>
      <c s="232"/>
      <c s="232"/>
      <c s="266"/>
      <c s="198"/>
      <c s="232"/>
      <c s="232"/>
      <c s="232"/>
      <c s="266"/>
      <c s="138"/>
      <c s="225"/>
      <c s="316"/>
    </row>
    <row r="76" ht="30" customHeight="1">
      <c r="A76" s="238">
        <v>7</v>
      </c>
      <c s="238" t="s">
        <v>29</v>
      </c>
      <c s="354" t="s">
        <v>30</v>
      </c>
      <c s="203"/>
      <c s="238" t="s">
        <v>270</v>
      </c>
      <c s="158"/>
      <c s="296"/>
      <c s="255" t="s">
        <v>127</v>
      </c>
      <c s="300"/>
      <c s="300"/>
      <c s="300"/>
      <c s="301"/>
      <c s="255"/>
      <c s="177"/>
      <c s="328"/>
    </row>
    <row r="77" ht="20.25" customHeight="1">
      <c r="A77" s="282"/>
      <c s="282"/>
      <c s="195"/>
      <c s="269"/>
      <c s="238" t="s">
        <v>271</v>
      </c>
      <c s="158"/>
      <c s="296"/>
      <c s="183" t="s">
        <v>427</v>
      </c>
      <c s="184"/>
      <c s="184"/>
      <c s="184"/>
      <c s="299"/>
      <c s="182"/>
      <c s="326"/>
      <c s="329"/>
    </row>
    <row r="78" ht="20.25" customHeight="1">
      <c r="A78" s="283"/>
      <c s="283"/>
      <c s="198"/>
      <c s="266"/>
      <c s="354" t="s">
        <v>272</v>
      </c>
      <c s="176"/>
      <c s="201"/>
      <c s="185" t="s">
        <v>428</v>
      </c>
      <c s="180"/>
      <c s="180"/>
      <c s="180"/>
      <c s="298"/>
      <c s="170"/>
      <c s="327"/>
      <c s="330"/>
    </row>
    <row r="79" ht="30" customHeight="1">
      <c r="A79" s="238">
        <v>8</v>
      </c>
      <c s="238" t="s">
        <v>273</v>
      </c>
      <c s="167">
        <v>1</v>
      </c>
      <c s="354" t="s">
        <v>31</v>
      </c>
      <c s="238" t="s">
        <v>28</v>
      </c>
      <c s="288"/>
      <c s="286"/>
      <c s="359" t="s">
        <v>429</v>
      </c>
      <c s="294"/>
      <c s="165">
        <v>0</v>
      </c>
      <c s="354" t="s">
        <v>32</v>
      </c>
      <c s="203"/>
      <c s="354" t="s">
        <v>289</v>
      </c>
      <c s="171" t="s">
        <v>430</v>
      </c>
      <c s="317"/>
    </row>
    <row r="80" hidden="1" ht="30" customHeight="1">
      <c r="A80" s="282"/>
      <c s="283"/>
      <c s="142"/>
      <c s="268"/>
      <c s="285"/>
      <c s="289"/>
      <c s="287"/>
      <c s="148"/>
      <c s="295"/>
      <c s="237"/>
      <c s="198"/>
      <c s="266"/>
      <c s="268"/>
      <c s="229"/>
      <c s="318"/>
    </row>
    <row r="81" ht="30" customHeight="1">
      <c r="A81" s="282"/>
      <c s="238" t="s">
        <v>274</v>
      </c>
      <c s="167">
        <v>1</v>
      </c>
      <c s="354" t="s">
        <v>31</v>
      </c>
      <c s="238" t="s">
        <v>28</v>
      </c>
      <c s="288"/>
      <c s="286"/>
      <c s="359" t="s">
        <v>431</v>
      </c>
      <c s="294"/>
      <c s="165">
        <v>0</v>
      </c>
      <c s="354" t="s">
        <v>32</v>
      </c>
      <c s="203"/>
      <c s="354" t="s">
        <v>289</v>
      </c>
      <c s="171" t="s">
        <v>432</v>
      </c>
      <c s="317"/>
    </row>
    <row r="82" hidden="1" ht="30" customHeight="1">
      <c r="A82" s="282"/>
      <c s="283"/>
      <c s="142"/>
      <c s="268"/>
      <c s="285"/>
      <c s="289"/>
      <c s="287"/>
      <c s="148"/>
      <c s="295"/>
      <c s="237"/>
      <c s="198"/>
      <c s="266"/>
      <c s="268"/>
      <c s="229"/>
      <c s="318"/>
    </row>
    <row r="83" ht="45" customHeight="1">
      <c r="A83" s="282"/>
      <c s="238" t="s">
        <v>275</v>
      </c>
      <c s="167">
        <v>1</v>
      </c>
      <c s="354" t="s">
        <v>33</v>
      </c>
      <c s="238" t="s">
        <v>28</v>
      </c>
      <c s="288"/>
      <c s="286"/>
      <c s="355" t="s">
        <v>433</v>
      </c>
      <c s="151"/>
      <c s="165">
        <v>0</v>
      </c>
      <c s="354" t="s">
        <v>34</v>
      </c>
      <c s="203"/>
      <c s="354" t="s">
        <v>289</v>
      </c>
      <c s="171" t="s">
        <v>434</v>
      </c>
      <c s="317"/>
    </row>
    <row r="84" hidden="1" ht="45" customHeight="1">
      <c r="A84" s="282"/>
      <c s="283"/>
      <c s="142"/>
      <c s="268"/>
      <c s="285"/>
      <c s="289"/>
      <c s="287"/>
      <c s="140"/>
      <c s="150"/>
      <c s="237"/>
      <c s="198"/>
      <c s="266"/>
      <c s="268"/>
      <c s="229"/>
      <c s="318"/>
    </row>
    <row r="85" ht="30" customHeight="1">
      <c r="A85" s="282"/>
      <c s="238" t="s">
        <v>288</v>
      </c>
      <c s="167">
        <v>1</v>
      </c>
      <c s="354" t="s">
        <v>33</v>
      </c>
      <c s="238" t="s">
        <v>28</v>
      </c>
      <c s="288"/>
      <c s="286"/>
      <c s="355" t="s">
        <v>388</v>
      </c>
      <c s="151"/>
      <c s="165">
        <v>0</v>
      </c>
      <c s="354" t="s">
        <v>34</v>
      </c>
      <c s="203"/>
      <c s="354" t="s">
        <v>289</v>
      </c>
      <c s="171" t="s">
        <v>434</v>
      </c>
      <c s="317"/>
    </row>
    <row r="86" hidden="1" ht="30" customHeight="1">
      <c r="A86" s="283"/>
      <c s="283"/>
      <c s="142"/>
      <c s="268"/>
      <c s="285"/>
      <c s="289"/>
      <c s="287"/>
      <c s="140"/>
      <c s="150"/>
      <c s="237"/>
      <c s="198"/>
      <c s="266"/>
      <c s="268"/>
      <c s="229"/>
      <c s="318"/>
    </row>
    <row r="87" ht="24.75" customHeight="1">
      <c r="A87" s="238">
        <v>9</v>
      </c>
      <c s="238" t="s">
        <v>35</v>
      </c>
      <c s="238" t="s">
        <v>338</v>
      </c>
      <c s="288"/>
      <c s="288"/>
      <c s="288"/>
      <c s="286"/>
      <c s="240" t="s">
        <v>28</v>
      </c>
      <c s="303"/>
      <c s="303"/>
      <c s="303"/>
      <c s="305"/>
      <c s="175" t="s">
        <v>435</v>
      </c>
      <c s="137"/>
      <c s="187"/>
    </row>
    <row r="88" hidden="1" ht="24.75" customHeight="1">
      <c r="A88" s="283"/>
      <c s="283"/>
      <c s="285"/>
      <c s="289"/>
      <c s="289"/>
      <c s="289"/>
      <c s="287"/>
      <c s="236"/>
      <c s="304"/>
      <c s="304"/>
      <c s="304"/>
      <c s="306"/>
      <c s="138"/>
      <c s="225"/>
      <c s="316"/>
    </row>
    <row r="89" ht="21.75" customHeight="1">
      <c r="A89" s="238">
        <v>10</v>
      </c>
      <c s="238" t="s">
        <v>36</v>
      </c>
      <c s="238" t="s">
        <v>276</v>
      </c>
      <c s="354" t="s">
        <v>20</v>
      </c>
      <c s="203"/>
      <c s="238" t="s">
        <v>37</v>
      </c>
      <c s="288"/>
      <c s="288"/>
      <c s="288"/>
      <c s="288"/>
      <c s="286"/>
      <c s="354" t="s">
        <v>38</v>
      </c>
      <c s="354" t="s">
        <v>39</v>
      </c>
      <c s="321" t="s">
        <v>40</v>
      </c>
      <c s="253"/>
    </row>
    <row r="90" hidden="1" ht="21.75" customHeight="1">
      <c r="A90" s="282"/>
      <c s="282"/>
      <c s="282"/>
      <c s="198"/>
      <c s="266"/>
      <c s="285"/>
      <c s="289"/>
      <c s="289"/>
      <c s="289"/>
      <c s="289"/>
      <c s="287"/>
      <c s="268"/>
      <c s="268"/>
      <c s="250"/>
      <c s="254"/>
    </row>
    <row r="91" ht="21.75" customHeight="1">
      <c r="A91" s="282"/>
      <c s="282"/>
      <c s="282"/>
      <c s="354" t="s">
        <v>354</v>
      </c>
      <c s="203"/>
      <c s="238" t="s">
        <v>277</v>
      </c>
      <c s="288"/>
      <c s="288"/>
      <c s="288"/>
      <c s="288"/>
      <c s="286"/>
      <c s="238"/>
      <c s="238"/>
      <c s="238"/>
      <c s="286"/>
    </row>
    <row r="92" hidden="1" ht="21.75" customHeight="1">
      <c r="A92" s="282"/>
      <c s="282"/>
      <c s="282"/>
      <c s="195"/>
      <c s="269"/>
      <c s="285"/>
      <c s="289"/>
      <c s="289"/>
      <c s="289"/>
      <c s="289"/>
      <c s="287"/>
      <c s="283"/>
      <c s="283"/>
      <c s="285"/>
      <c s="287"/>
    </row>
    <row r="93" ht="21.75" customHeight="1">
      <c r="A93" s="282"/>
      <c s="282"/>
      <c s="282"/>
      <c s="195"/>
      <c s="269"/>
      <c s="238" t="s">
        <v>278</v>
      </c>
      <c s="288"/>
      <c s="288"/>
      <c s="288"/>
      <c s="288"/>
      <c s="286"/>
      <c s="16"/>
      <c s="16"/>
      <c s="16"/>
      <c s="272"/>
    </row>
    <row r="94" hidden="1" ht="21.75" customHeight="1">
      <c r="A94" s="282"/>
      <c s="282"/>
      <c s="282"/>
      <c s="195"/>
      <c s="269"/>
      <c s="285"/>
      <c s="289"/>
      <c s="289"/>
      <c s="289"/>
      <c s="289"/>
      <c s="287"/>
      <c s="228"/>
      <c s="228"/>
      <c s="319"/>
      <c s="320"/>
    </row>
    <row r="95" ht="21.75" customHeight="1">
      <c r="A95" s="282"/>
      <c s="282"/>
      <c s="282"/>
      <c s="195"/>
      <c s="269"/>
      <c s="238" t="s">
        <v>279</v>
      </c>
      <c s="288"/>
      <c s="288"/>
      <c s="288"/>
      <c s="288"/>
      <c s="286"/>
      <c s="238"/>
      <c s="238"/>
      <c s="238"/>
      <c s="286"/>
    </row>
    <row r="96" hidden="1" ht="21.75" customHeight="1">
      <c r="A96" s="282"/>
      <c s="282"/>
      <c s="282"/>
      <c s="195"/>
      <c s="269"/>
      <c s="285"/>
      <c s="289"/>
      <c s="289"/>
      <c s="289"/>
      <c s="289"/>
      <c s="287"/>
      <c s="283"/>
      <c s="283"/>
      <c s="285"/>
      <c s="287"/>
    </row>
    <row r="97" ht="21.75" customHeight="1">
      <c r="A97" s="282"/>
      <c s="282"/>
      <c s="282"/>
      <c s="195"/>
      <c s="269"/>
      <c s="238" t="s">
        <v>280</v>
      </c>
      <c s="288"/>
      <c s="288"/>
      <c s="288"/>
      <c s="288"/>
      <c s="286"/>
      <c s="238"/>
      <c s="238"/>
      <c s="238"/>
      <c s="286"/>
    </row>
    <row r="98" hidden="1" ht="21.75" customHeight="1">
      <c r="A98" s="283"/>
      <c s="283"/>
      <c s="283"/>
      <c s="198"/>
      <c s="266"/>
      <c s="285"/>
      <c s="289"/>
      <c s="289"/>
      <c s="289"/>
      <c s="289"/>
      <c s="287"/>
      <c s="283"/>
      <c s="283"/>
      <c s="285"/>
      <c s="287"/>
    </row>
    <row r="99" ht="30" customHeight="1">
      <c r="A99" s="238">
        <v>11</v>
      </c>
      <c s="238" t="s">
        <v>41</v>
      </c>
      <c s="238" t="s">
        <v>42</v>
      </c>
      <c s="288"/>
      <c s="286"/>
      <c s="238" t="s">
        <v>43</v>
      </c>
      <c s="288"/>
      <c s="288"/>
      <c s="288"/>
      <c s="288"/>
      <c s="286"/>
      <c s="238" t="s">
        <v>251</v>
      </c>
      <c s="288"/>
      <c s="288"/>
      <c s="286"/>
    </row>
    <row r="100" hidden="1" ht="30" customHeight="1">
      <c r="A100" s="283"/>
      <c s="283"/>
      <c s="285"/>
      <c s="289"/>
      <c s="287"/>
      <c s="285"/>
      <c s="289"/>
      <c s="289"/>
      <c s="289"/>
      <c s="289"/>
      <c s="287"/>
      <c s="285"/>
      <c s="289"/>
      <c s="289"/>
      <c s="287"/>
    </row>
    <row r="101" ht="30" customHeight="1">
      <c r="A101" s="238">
        <v>12</v>
      </c>
      <c s="238" t="s">
        <v>44</v>
      </c>
      <c s="238" t="s">
        <v>281</v>
      </c>
      <c s="158"/>
      <c s="296"/>
      <c s="238" t="s">
        <v>45</v>
      </c>
      <c s="288"/>
      <c s="288"/>
      <c s="288"/>
      <c s="288"/>
      <c s="286"/>
      <c s="238" t="s">
        <v>282</v>
      </c>
      <c s="296"/>
      <c s="238"/>
      <c s="296"/>
    </row>
    <row r="102" ht="30" customHeight="1">
      <c r="A102" s="283"/>
      <c s="283"/>
      <c s="238" t="s">
        <v>283</v>
      </c>
      <c s="158"/>
      <c s="296"/>
      <c s="285"/>
      <c s="289"/>
      <c s="289"/>
      <c s="289"/>
      <c s="289"/>
      <c s="287"/>
      <c s="238" t="s">
        <v>282</v>
      </c>
      <c s="296"/>
      <c s="238"/>
      <c s="296"/>
    </row>
    <row r="103" ht="30" customHeight="1">
      <c r="A103" s="238">
        <v>13</v>
      </c>
      <c s="238" t="s">
        <v>46</v>
      </c>
      <c s="238" t="s">
        <v>339</v>
      </c>
      <c s="288"/>
      <c s="286"/>
      <c s="238" t="s">
        <v>47</v>
      </c>
      <c s="288"/>
      <c s="288"/>
      <c s="288"/>
      <c s="288"/>
      <c s="286"/>
      <c s="238" t="s">
        <v>284</v>
      </c>
      <c s="286"/>
      <c s="238"/>
      <c s="286"/>
    </row>
    <row r="104" hidden="1" ht="30" customHeight="1">
      <c r="A104" s="283"/>
      <c s="283"/>
      <c s="285"/>
      <c s="289"/>
      <c s="287"/>
      <c s="285"/>
      <c s="289"/>
      <c s="289"/>
      <c s="289"/>
      <c s="289"/>
      <c s="287"/>
      <c s="285"/>
      <c s="287"/>
      <c s="285"/>
      <c s="287"/>
    </row>
    <row r="105" ht="30" customHeight="1">
      <c r="A105" s="238">
        <v>14</v>
      </c>
      <c s="238" t="s">
        <v>48</v>
      </c>
      <c s="238" t="s">
        <v>340</v>
      </c>
      <c s="288"/>
      <c s="286"/>
      <c s="238" t="s">
        <v>49</v>
      </c>
      <c s="288"/>
      <c s="288"/>
      <c s="288"/>
      <c s="288"/>
      <c s="286"/>
      <c s="238" t="s">
        <v>341</v>
      </c>
      <c s="286"/>
      <c s="238"/>
      <c s="286"/>
    </row>
    <row r="106" hidden="1" ht="30" customHeight="1">
      <c r="A106" s="283"/>
      <c s="283"/>
      <c s="285"/>
      <c s="289"/>
      <c s="287"/>
      <c s="285"/>
      <c s="289"/>
      <c s="289"/>
      <c s="289"/>
      <c s="289"/>
      <c s="287"/>
      <c s="285"/>
      <c s="287"/>
      <c s="285"/>
      <c s="287"/>
    </row>
    <row r="107" ht="77.25" customHeight="1">
      <c r="A107" s="238">
        <v>15</v>
      </c>
      <c s="354" t="s">
        <v>50</v>
      </c>
      <c s="238" t="s">
        <v>242</v>
      </c>
      <c s="288"/>
      <c s="288"/>
      <c s="288"/>
      <c s="288"/>
      <c s="288"/>
      <c s="288"/>
      <c s="288"/>
      <c s="288"/>
      <c s="288"/>
      <c s="286"/>
      <c s="189" t="s">
        <v>250</v>
      </c>
      <c s="307"/>
    </row>
    <row r="108" ht="30" customHeight="1">
      <c r="A108" s="283"/>
      <c s="268"/>
      <c s="285"/>
      <c s="289"/>
      <c s="289"/>
      <c s="289"/>
      <c s="289"/>
      <c s="289"/>
      <c s="289"/>
      <c s="289"/>
      <c s="289"/>
      <c s="289"/>
      <c s="287"/>
      <c s="166"/>
      <c s="308"/>
    </row>
    <row r="109" ht="27.75" customHeight="1">
      <c r="A109" s="238" t="s">
        <v>51</v>
      </c>
      <c s="296"/>
      <c s="238" t="s">
        <v>285</v>
      </c>
      <c s="158"/>
      <c s="158"/>
      <c s="158"/>
      <c s="158"/>
      <c s="158"/>
      <c s="158"/>
      <c s="158"/>
      <c s="158"/>
      <c s="158"/>
      <c s="158"/>
      <c s="158"/>
      <c s="296"/>
    </row>
    <row r="110" ht="14.25" customHeight="1">
      <c r="A110" s="354" t="s">
        <v>52</v>
      </c>
      <c s="203"/>
      <c s="297" t="s">
        <v>342</v>
      </c>
      <c s="310"/>
      <c s="310"/>
      <c s="310"/>
      <c s="310"/>
      <c s="310"/>
      <c s="310"/>
      <c s="310"/>
      <c s="310"/>
      <c s="310"/>
      <c s="310"/>
      <c s="310"/>
      <c s="313"/>
    </row>
    <row r="111" ht="14.25" customHeight="1">
      <c r="A111" s="195"/>
      <c s="269"/>
      <c s="188"/>
      <c s="311"/>
      <c s="311"/>
      <c s="311"/>
      <c s="311"/>
      <c s="311"/>
      <c s="311"/>
      <c s="311"/>
      <c s="311"/>
      <c s="311"/>
      <c s="311"/>
      <c s="311"/>
      <c s="314"/>
    </row>
    <row r="112" ht="27" customHeight="1">
      <c r="A112" s="198"/>
      <c s="266"/>
      <c s="309"/>
      <c s="312"/>
      <c s="312"/>
      <c s="312"/>
      <c s="312"/>
      <c s="312"/>
      <c s="312"/>
      <c s="312"/>
      <c s="312"/>
      <c s="312"/>
      <c s="312"/>
      <c s="312"/>
      <c s="315"/>
    </row>
  </sheetData>
  <mergeCells>
    <mergeCell ref="G42:H42"/>
    <mergeCell ref="G41:H41"/>
    <mergeCell ref="G40:H40"/>
    <mergeCell ref="G37:H39"/>
    <mergeCell ref="I35:K35"/>
    <mergeCell ref="I37:K37"/>
    <mergeCell ref="I41:K41"/>
    <mergeCell ref="I40:K40"/>
    <mergeCell ref="I42:K42"/>
    <mergeCell ref="I39:K39"/>
    <mergeCell ref="I38:K38"/>
    <mergeCell ref="L36:M36"/>
    <mergeCell ref="L37:M37"/>
    <mergeCell ref="L38:M38"/>
    <mergeCell ref="L42:M42"/>
    <mergeCell ref="L41:M41"/>
    <mergeCell ref="L40:M40"/>
    <mergeCell ref="L39:M39"/>
    <mergeCell ref="N42:O42"/>
    <mergeCell ref="N41:O41"/>
    <mergeCell ref="N40:O40"/>
    <mergeCell ref="N39:O39"/>
    <mergeCell ref="N38:O38"/>
    <mergeCell ref="N37:O37"/>
    <mergeCell ref="N36:O36"/>
    <mergeCell ref="N35:O35"/>
    <mergeCell ref="N31:O32"/>
    <mergeCell ref="N29:O30"/>
    <mergeCell ref="N27:O28"/>
    <mergeCell ref="N23:O24"/>
    <mergeCell ref="M23:M24"/>
    <mergeCell ref="L23:L24"/>
    <mergeCell ref="L27:L28"/>
    <mergeCell ref="L25:L26"/>
    <mergeCell ref="M25:M26"/>
    <mergeCell ref="N25:O26"/>
    <mergeCell ref="M31:M32"/>
    <mergeCell ref="L31:L32"/>
    <mergeCell ref="J31:J32"/>
    <mergeCell ref="K31:K32"/>
    <mergeCell ref="J29:J30"/>
    <mergeCell ref="L35:M35"/>
    <mergeCell ref="I36:K36"/>
    <mergeCell ref="G36:H36"/>
    <mergeCell ref="G35:H35"/>
    <mergeCell ref="H33:O34"/>
    <mergeCell ref="H27:I28"/>
    <mergeCell ref="H31:I32"/>
    <mergeCell ref="H29:I30"/>
    <mergeCell ref="K27:K28"/>
    <mergeCell ref="M29:M30"/>
    <mergeCell ref="L29:L30"/>
    <mergeCell ref="K29:K30"/>
    <mergeCell ref="M27:M28"/>
    <mergeCell ref="H25:I26"/>
    <mergeCell ref="J25:J26"/>
    <mergeCell ref="K25:K26"/>
    <mergeCell ref="K23:K24"/>
    <mergeCell ref="J23:J24"/>
    <mergeCell ref="H23:I24"/>
    <mergeCell ref="N21:O22"/>
    <mergeCell ref="M21:M22"/>
    <mergeCell ref="L21:L22"/>
    <mergeCell ref="K21:K22"/>
    <mergeCell ref="J21:J22"/>
    <mergeCell ref="H21:I22"/>
    <mergeCell ref="J27:J28"/>
    <mergeCell ref="E21:G26"/>
    <mergeCell ref="E31:G32"/>
    <mergeCell ref="E29:G30"/>
    <mergeCell ref="E27:G28"/>
    <mergeCell ref="H16:J16"/>
    <mergeCell ref="M17:O17"/>
    <mergeCell ref="K16:L16"/>
    <mergeCell ref="K15:L15"/>
    <mergeCell ref="M16:O16"/>
    <mergeCell ref="H18:O18"/>
    <mergeCell ref="N19:O20"/>
    <mergeCell ref="M19:M20"/>
    <mergeCell ref="L19:L20"/>
    <mergeCell ref="M12:O12"/>
    <mergeCell ref="M11:O11"/>
    <mergeCell ref="M10:O10"/>
    <mergeCell ref="H10:J10"/>
    <mergeCell ref="K13:L13"/>
    <mergeCell ref="K12:L12"/>
    <mergeCell ref="K11:L11"/>
    <mergeCell ref="K10:L10"/>
    <mergeCell ref="M15:O15"/>
    <mergeCell ref="M14:O14"/>
    <mergeCell ref="M13:O13"/>
    <mergeCell ref="K17:L17"/>
    <mergeCell ref="K14:L14"/>
    <mergeCell ref="H7:J7"/>
    <mergeCell ref="K7:O7"/>
    <mergeCell ref="N6:O6"/>
    <mergeCell ref="E8:O8"/>
    <mergeCell ref="H9:O9"/>
    <mergeCell ref="H4:K4"/>
    <mergeCell ref="H5:K5"/>
    <mergeCell ref="H6:K6"/>
    <mergeCell ref="L6:M6"/>
    <mergeCell ref="L5:M5"/>
    <mergeCell ref="L4:M4"/>
    <mergeCell ref="N1:O1"/>
    <mergeCell ref="N2:O2"/>
    <mergeCell ref="N3:O3"/>
    <mergeCell ref="N4:O4"/>
    <mergeCell ref="N5:O5"/>
    <mergeCell ref="L1:M1"/>
    <mergeCell ref="L2:M2"/>
    <mergeCell ref="L3:M3"/>
    <mergeCell ref="E19:G20"/>
    <mergeCell ref="E18:G18"/>
    <mergeCell ref="H11:J11"/>
    <mergeCell ref="H14:J14"/>
    <mergeCell ref="H12:J12"/>
    <mergeCell ref="H13:J13"/>
    <mergeCell ref="H15:J15"/>
    <mergeCell ref="E17:G17"/>
    <mergeCell ref="E16:G16"/>
    <mergeCell ref="H17:J17"/>
    <mergeCell ref="K19:K20"/>
    <mergeCell ref="J19:J20"/>
    <mergeCell ref="H19:I20"/>
    <mergeCell ref="C9:D17"/>
    <mergeCell ref="B9:B17"/>
    <mergeCell ref="C18:D32"/>
    <mergeCell ref="B18:B32"/>
    <mergeCell ref="A9:A32"/>
    <mergeCell ref="E15:G15"/>
    <mergeCell ref="E12:G14"/>
    <mergeCell ref="E11:G11"/>
    <mergeCell ref="E10:G10"/>
    <mergeCell ref="E9:G9"/>
    <mergeCell ref="D4:G4"/>
    <mergeCell ref="C6:D6"/>
    <mergeCell ref="D5:G5"/>
    <mergeCell ref="C7:G7"/>
    <mergeCell ref="E6:G6"/>
    <mergeCell ref="B8:D8"/>
    <mergeCell ref="A7:B7"/>
    <mergeCell ref="A6:B6"/>
    <mergeCell ref="C2:K3"/>
    <mergeCell ref="C1:K1"/>
    <mergeCell ref="A1:B3"/>
    <mergeCell ref="A4:C4"/>
    <mergeCell ref="A5:C5"/>
    <mergeCell ref="J66:J67"/>
    <mergeCell ref="J63:K63"/>
    <mergeCell ref="J64:K64"/>
    <mergeCell ref="J65:K65"/>
    <mergeCell ref="K66:K67"/>
    <mergeCell ref="N64:O64"/>
    <mergeCell ref="N65:O65"/>
    <mergeCell ref="M76:O78"/>
    <mergeCell ref="M74:O75"/>
    <mergeCell ref="M72:O73"/>
    <mergeCell ref="M70:O71"/>
    <mergeCell ref="L70:L71"/>
    <mergeCell ref="J68:J69"/>
    <mergeCell ref="K68:K69"/>
    <mergeCell ref="J70:J71"/>
    <mergeCell ref="K70:K71"/>
    <mergeCell ref="L66:L67"/>
    <mergeCell ref="L68:L69"/>
    <mergeCell ref="M68:O69"/>
    <mergeCell ref="M66:O67"/>
    <mergeCell ref="N62:O62"/>
    <mergeCell ref="N63:O63"/>
    <mergeCell ref="L62:M62"/>
    <mergeCell ref="L65:M65"/>
    <mergeCell ref="L64:M64"/>
    <mergeCell ref="L63:M63"/>
    <mergeCell ref="N61:O61"/>
    <mergeCell ref="N60:O60"/>
    <mergeCell ref="N59:O59"/>
    <mergeCell ref="N54:O54"/>
    <mergeCell ref="N55:O55"/>
    <mergeCell ref="N56:O56"/>
    <mergeCell ref="H57:O57"/>
    <mergeCell ref="N58:O58"/>
    <mergeCell ref="L58:M58"/>
    <mergeCell ref="L60:M60"/>
    <mergeCell ref="L59:M59"/>
    <mergeCell ref="L54:M54"/>
    <mergeCell ref="L56:M56"/>
    <mergeCell ref="L55:M55"/>
    <mergeCell ref="L61:M61"/>
    <mergeCell ref="H59:I59"/>
    <mergeCell ref="H60:I60"/>
    <mergeCell ref="J59:K59"/>
    <mergeCell ref="H58:I58"/>
    <mergeCell ref="G56:H56"/>
    <mergeCell ref="I56:K56"/>
    <mergeCell ref="I54:K54"/>
    <mergeCell ref="I55:K55"/>
    <mergeCell ref="G55:H55"/>
    <mergeCell ref="G54:H54"/>
    <mergeCell ref="J61:K61"/>
    <mergeCell ref="J58:K58"/>
    <mergeCell ref="J60:K60"/>
    <mergeCell ref="J62:K62"/>
    <mergeCell ref="H61:I61"/>
    <mergeCell ref="H62:I62"/>
    <mergeCell ref="H65:I65"/>
    <mergeCell ref="H64:I64"/>
    <mergeCell ref="H63:I63"/>
    <mergeCell ref="G43:H43"/>
    <mergeCell ref="G44:H46"/>
    <mergeCell ref="G47:H47"/>
    <mergeCell ref="G48:H48"/>
    <mergeCell ref="G50:H50"/>
    <mergeCell ref="G49:H49"/>
    <mergeCell ref="G51:H53"/>
    <mergeCell ref="I53:K53"/>
    <mergeCell ref="I52:K52"/>
    <mergeCell ref="I51:K51"/>
    <mergeCell ref="I50:K50"/>
    <mergeCell ref="I49:K49"/>
    <mergeCell ref="I48:K48"/>
    <mergeCell ref="I47:K47"/>
    <mergeCell ref="I44:K44"/>
    <mergeCell ref="I45:K45"/>
    <mergeCell ref="I43:K43"/>
    <mergeCell ref="I46:K46"/>
    <mergeCell ref="L46:M46"/>
    <mergeCell ref="L45:M45"/>
    <mergeCell ref="L44:M44"/>
    <mergeCell ref="L43:M43"/>
    <mergeCell ref="L47:M47"/>
    <mergeCell ref="L48:M48"/>
    <mergeCell ref="L49:M49"/>
    <mergeCell ref="L50:M50"/>
    <mergeCell ref="L53:M53"/>
    <mergeCell ref="L52:M52"/>
    <mergeCell ref="L51:M51"/>
    <mergeCell ref="N53:O53"/>
    <mergeCell ref="N52:O52"/>
    <mergeCell ref="N51:O51"/>
    <mergeCell ref="N47:O47"/>
    <mergeCell ref="N48:O48"/>
    <mergeCell ref="N49:O49"/>
    <mergeCell ref="N50:O50"/>
    <mergeCell ref="N46:O46"/>
    <mergeCell ref="N43:O43"/>
    <mergeCell ref="N44:O44"/>
    <mergeCell ref="N45:O45"/>
    <mergeCell ref="A50:A56"/>
    <mergeCell ref="A66:A71"/>
    <mergeCell ref="A57:A65"/>
    <mergeCell ref="A33:A49"/>
    <mergeCell ref="B33:B49"/>
    <mergeCell ref="C33:D49"/>
    <mergeCell ref="E43:F49"/>
    <mergeCell ref="E50:F56"/>
    <mergeCell ref="C50:D56"/>
    <mergeCell ref="B50:B56"/>
    <mergeCell ref="E60:G62"/>
    <mergeCell ref="E58:G59"/>
    <mergeCell ref="E57:G57"/>
    <mergeCell ref="E33:G34"/>
    <mergeCell ref="E35:F35"/>
    <mergeCell ref="E36:F42"/>
    <mergeCell ref="B57:B65"/>
    <mergeCell ref="B66:B71"/>
    <mergeCell ref="C57:D65"/>
    <mergeCell ref="C66:D67"/>
    <mergeCell ref="D70:D71"/>
    <mergeCell ref="C70:C71"/>
    <mergeCell ref="D68:D69"/>
    <mergeCell ref="C68:C69"/>
    <mergeCell ref="E70:G71"/>
    <mergeCell ref="E68:G69"/>
    <mergeCell ref="E66:G67"/>
    <mergeCell ref="E63:G63"/>
    <mergeCell ref="E64:G64"/>
    <mergeCell ref="E65:G65"/>
    <mergeCell ref="E79:G80"/>
    <mergeCell ref="E78:G78"/>
    <mergeCell ref="E76:G76"/>
    <mergeCell ref="A76:A78"/>
    <mergeCell ref="B76:B78"/>
    <mergeCell ref="C76:D78"/>
    <mergeCell ref="E77:G77"/>
    <mergeCell ref="C72:G73"/>
    <mergeCell ref="B72:B73"/>
    <mergeCell ref="A72:A73"/>
    <mergeCell ref="A74:A75"/>
    <mergeCell ref="B74:B75"/>
    <mergeCell ref="C74:G75"/>
    <mergeCell ref="H74:L75"/>
    <mergeCell ref="H72:L73"/>
    <mergeCell ref="H76:L76"/>
    <mergeCell ref="H77:L77"/>
    <mergeCell ref="H81:I82"/>
    <mergeCell ref="H79:I80"/>
    <mergeCell ref="H66:I67"/>
    <mergeCell ref="H68:I71"/>
    <mergeCell ref="K79:L80"/>
    <mergeCell ref="J79:J80"/>
    <mergeCell ref="J81:J82"/>
    <mergeCell ref="K81:L82"/>
    <mergeCell ref="H78:L78"/>
    <mergeCell ref="C105:E106"/>
    <mergeCell ref="C103:E104"/>
    <mergeCell ref="C99:E100"/>
    <mergeCell ref="L99:O100"/>
    <mergeCell ref="C102:E102"/>
    <mergeCell ref="B101:B102"/>
    <mergeCell ref="B103:B104"/>
    <mergeCell ref="C101:E101"/>
    <mergeCell ref="A101:A102"/>
    <mergeCell ref="A103:A104"/>
    <mergeCell ref="A105:A106"/>
    <mergeCell ref="B105:B106"/>
    <mergeCell ref="A107:A108"/>
    <mergeCell ref="B107:B108"/>
    <mergeCell ref="C107:M108"/>
    <mergeCell ref="C109:O109"/>
    <mergeCell ref="C110:O112"/>
    <mergeCell ref="N107:O108"/>
    <mergeCell ref="C85:C86"/>
    <mergeCell ref="D85:D86"/>
    <mergeCell ref="C87:G88"/>
    <mergeCell ref="E85:G86"/>
    <mergeCell ref="H83:I84"/>
    <mergeCell ref="B83:B84"/>
    <mergeCell ref="E83:G84"/>
    <mergeCell ref="D83:D84"/>
    <mergeCell ref="C83:C84"/>
    <mergeCell ref="B81:B82"/>
    <mergeCell ref="C81:C82"/>
    <mergeCell ref="D81:D82"/>
    <mergeCell ref="E81:G82"/>
    <mergeCell ref="C79:C80"/>
    <mergeCell ref="B79:B80"/>
    <mergeCell ref="A87:A88"/>
    <mergeCell ref="B87:B88"/>
    <mergeCell ref="B85:B86"/>
    <mergeCell ref="A79:A86"/>
    <mergeCell ref="D79:D80"/>
    <mergeCell ref="D91:E98"/>
    <mergeCell ref="D89:E90"/>
    <mergeCell ref="C89:C98"/>
    <mergeCell ref="B89:B98"/>
    <mergeCell ref="A89:A98"/>
    <mergeCell ref="A109:B109"/>
    <mergeCell ref="A110:B112"/>
    <mergeCell ref="A99:A100"/>
    <mergeCell ref="B99:B100"/>
    <mergeCell ref="F89:K90"/>
    <mergeCell ref="H87:L88"/>
    <mergeCell ref="L89:L90"/>
    <mergeCell ref="J83:J84"/>
    <mergeCell ref="J85:J86"/>
    <mergeCell ref="K83:L84"/>
    <mergeCell ref="K85:L86"/>
    <mergeCell ref="H85:I86"/>
    <mergeCell ref="F95:K96"/>
    <mergeCell ref="F93:K94"/>
    <mergeCell ref="F91:K92"/>
    <mergeCell ref="L91:L92"/>
    <mergeCell ref="L93:L94"/>
    <mergeCell ref="L95:L96"/>
    <mergeCell ref="F105:K106"/>
    <mergeCell ref="F103:K104"/>
    <mergeCell ref="L105:M106"/>
    <mergeCell ref="L103:M104"/>
    <mergeCell ref="N101:O101"/>
    <mergeCell ref="N102:O102"/>
    <mergeCell ref="N103:O104"/>
    <mergeCell ref="N105:O106"/>
    <mergeCell ref="F97:K98"/>
    <mergeCell ref="F99:K100"/>
    <mergeCell ref="F101:K102"/>
    <mergeCell ref="L101:M101"/>
    <mergeCell ref="L102:M102"/>
    <mergeCell ref="M97:M98"/>
    <mergeCell ref="L97:L98"/>
    <mergeCell ref="M95:M96"/>
    <mergeCell ref="M93:M94"/>
    <mergeCell ref="M91:M92"/>
    <mergeCell ref="N93:O94"/>
    <mergeCell ref="N97:O98"/>
    <mergeCell ref="N95:O96"/>
    <mergeCell ref="N91:O92"/>
    <mergeCell ref="M89:M90"/>
    <mergeCell ref="N89:O90"/>
    <mergeCell ref="M87:O88"/>
    <mergeCell ref="N83:O84"/>
    <mergeCell ref="N81:O82"/>
    <mergeCell ref="N79:O80"/>
    <mergeCell ref="N85:O86"/>
    <mergeCell ref="M79:M80"/>
    <mergeCell ref="M81:M82"/>
    <mergeCell ref="M83:M84"/>
    <mergeCell ref="M85:M86"/>
  </mergeCells>
  <printOptions horizontalCentered="1"/>
  <pageMargins left="0.511811023622047" right="0.511811023622047" top="0.748031496062992" bottom="0.748031496062992" header="0.196850393700787" footer="0.196850393700787"/>
  <pageSetup paperSize="9" firstPageNumber="4294963191" copies="0" scale="95"/>
  <headerFooter/>
  <drawing r:id="rId1"/>
  <extLst/>
</worksheet>
</file>

<file path=xl/worksheets/sheet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R11"/>
  <sheetViews>
    <sheetView topLeftCell="A1" workbookViewId="0" showGridLines="0" showRowColHeaders="0">
      <pane topLeftCell="A1"/>
      <selection activeCellId="0" activeCell="A1" sqref="A1"/>
    </sheetView>
  </sheetViews>
  <sheetFormatPr defaultColWidth="8.88" defaultRowHeight="14.25" customHeight="1"/>
  <cols>
    <col min="1" max="1" width="18.38" customWidth="1" style="10"/>
    <col min="2" max="2" width="19.38" customWidth="1" style="10"/>
    <col min="3" max="3" width="21.5" customWidth="1" style="10"/>
    <col min="4" max="4" width="7.88" customWidth="1" style="10"/>
    <col min="5" max="7" width="14.13" customWidth="1" style="10"/>
    <col min="8" max="12" width="11" customWidth="1" style="10"/>
    <col min="13" max="13" width="16.38" customWidth="1" style="10"/>
    <col min="14" max="14" width="11" customWidth="1" style="10"/>
    <col min="15" max="15" width="20.13" customWidth="1" style="10"/>
    <col min="16" max="16" width="16.38" customWidth="1" style="90"/>
    <col min="17" max="16384" width="8.88" style="10"/>
  </cols>
  <sheetData>
    <row r="1" ht="32.25" customHeight="1" customFormat="1" s="9">
      <c r="A1" s="332" t="s">
        <v>53</v>
      </c>
      <c s="332" t="s">
        <v>54</v>
      </c>
      <c s="332" t="s">
        <v>55</v>
      </c>
      <c s="332"/>
      <c s="13" t="s">
        <v>56</v>
      </c>
      <c s="13" t="s">
        <v>190</v>
      </c>
      <c s="13" t="s">
        <v>190</v>
      </c>
      <c s="13" t="s">
        <v>57</v>
      </c>
      <c s="13" t="s">
        <v>58</v>
      </c>
      <c s="13" t="s">
        <v>58</v>
      </c>
      <c s="13" t="s">
        <v>59</v>
      </c>
      <c s="13" t="s">
        <v>59</v>
      </c>
      <c s="13" t="s">
        <v>60</v>
      </c>
      <c s="13" t="s">
        <v>61</v>
      </c>
      <c s="13" t="s">
        <v>62</v>
      </c>
      <c s="199" t="s">
        <v>63</v>
      </c>
      <c s="13" t="s">
        <v>64</v>
      </c>
      <c s="13" t="s">
        <v>226</v>
      </c>
    </row>
    <row r="2" customHeight="1">
      <c r="A2" s="12" t="s">
        <v>16</v>
      </c>
      <c s="12">
        <v>656.1</v>
      </c>
      <c s="12">
        <v>656.1</v>
      </c>
      <c s="12"/>
      <c s="12" t="s">
        <v>65</v>
      </c>
      <c s="335" t="s">
        <v>191</v>
      </c>
      <c s="335">
        <v>0</v>
      </c>
      <c s="12"/>
      <c s="12" t="s">
        <v>66</v>
      </c>
      <c s="12">
        <v>0</v>
      </c>
      <c s="12" t="s">
        <v>67</v>
      </c>
      <c s="12">
        <v>0</v>
      </c>
      <c s="12"/>
      <c s="12">
        <v>1</v>
      </c>
      <c r="P2" s="88">
        <v>0.2</v>
      </c>
      <c s="88"/>
      <c s="12"/>
    </row>
    <row r="3" customHeight="1">
      <c r="A3" s="12" t="s">
        <v>68</v>
      </c>
      <c s="12">
        <v>253.7</v>
      </c>
      <c s="12">
        <v>253.7</v>
      </c>
      <c s="12"/>
      <c s="12" t="s">
        <v>69</v>
      </c>
      <c s="335" t="s">
        <v>16</v>
      </c>
      <c s="335">
        <v>1</v>
      </c>
      <c s="12" t="s">
        <v>70</v>
      </c>
      <c s="12" t="s">
        <v>71</v>
      </c>
      <c s="12">
        <v>1</v>
      </c>
      <c s="12" t="s">
        <v>72</v>
      </c>
      <c s="12">
        <v>1</v>
      </c>
      <c s="10">
        <v>0.02</v>
      </c>
      <c s="12">
        <v>2</v>
      </c>
      <c s="12">
        <v>1</v>
      </c>
      <c s="88">
        <v>0.5</v>
      </c>
      <c s="12">
        <v>1</v>
      </c>
      <c s="12">
        <v>0.5</v>
      </c>
    </row>
    <row r="4" customHeight="1">
      <c r="A4" s="12" t="s">
        <v>73</v>
      </c>
      <c s="12" t="s">
        <v>74</v>
      </c>
      <c s="12" t="s">
        <v>74</v>
      </c>
      <c s="12"/>
      <c s="12"/>
      <c s="335" t="s">
        <v>192</v>
      </c>
      <c s="335">
        <v>2</v>
      </c>
      <c s="12"/>
      <c s="12" t="s">
        <v>75</v>
      </c>
      <c s="12">
        <v>2</v>
      </c>
      <c s="12" t="s">
        <v>76</v>
      </c>
      <c s="12">
        <v>2</v>
      </c>
      <c s="12">
        <v>0.1</v>
      </c>
      <c s="12">
        <v>3</v>
      </c>
      <c s="12">
        <v>2</v>
      </c>
      <c s="336" t="s">
        <v>335</v>
      </c>
      <c s="12">
        <v>2</v>
      </c>
      <c s="12">
        <v>1</v>
      </c>
    </row>
    <row r="5" customHeight="1">
      <c r="A5" s="12" t="s">
        <v>15</v>
      </c>
      <c s="12" t="s">
        <v>77</v>
      </c>
      <c s="12" t="s">
        <v>77</v>
      </c>
      <c s="12"/>
      <c s="12"/>
      <c s="12"/>
      <c s="12"/>
      <c s="12"/>
      <c s="12" t="s">
        <v>78</v>
      </c>
      <c s="12">
        <v>3</v>
      </c>
      <c s="12" t="s">
        <v>79</v>
      </c>
      <c s="12">
        <v>3</v>
      </c>
      <c s="12">
        <v>0.2</v>
      </c>
      <c s="12">
        <v>4</v>
      </c>
      <c s="12"/>
      <c s="336" t="s">
        <v>225</v>
      </c>
      <c s="12">
        <v>3</v>
      </c>
      <c s="12">
        <v>2</v>
      </c>
    </row>
    <row r="6" customHeight="1">
      <c r="A6" s="12" t="s">
        <v>80</v>
      </c>
      <c s="12" t="s">
        <v>81</v>
      </c>
      <c s="12"/>
      <c s="12"/>
      <c s="12"/>
      <c s="12"/>
      <c s="12"/>
      <c s="12"/>
      <c s="12" t="s">
        <v>82</v>
      </c>
      <c s="12">
        <v>4</v>
      </c>
      <c s="12" t="s">
        <v>83</v>
      </c>
      <c s="12">
        <v>4</v>
      </c>
      <c s="12">
        <v>0.5</v>
      </c>
      <c s="12">
        <v>5</v>
      </c>
      <c s="12"/>
      <c s="336" t="s">
        <v>336</v>
      </c>
      <c s="12">
        <v>4</v>
      </c>
      <c s="12"/>
    </row>
    <row r="7" customHeight="1">
      <c r="A7" s="12" t="s">
        <v>84</v>
      </c>
      <c s="12" t="s">
        <v>85</v>
      </c>
      <c s="12"/>
      <c s="12"/>
      <c s="12"/>
      <c s="12"/>
      <c s="12"/>
      <c s="12"/>
      <c s="12"/>
      <c s="12"/>
      <c s="12" t="s">
        <v>86</v>
      </c>
      <c s="12"/>
      <c s="12">
        <v>1</v>
      </c>
      <c s="12"/>
      <c s="12"/>
      <c s="88"/>
      <c s="12">
        <v>5</v>
      </c>
      <c s="12"/>
    </row>
    <row r="8" customHeight="1">
      <c r="A8" s="12" t="s">
        <v>87</v>
      </c>
      <c s="12" t="s">
        <v>88</v>
      </c>
      <c s="12"/>
      <c s="12"/>
      <c s="12"/>
      <c s="12"/>
      <c s="12"/>
      <c s="12"/>
      <c s="12"/>
      <c s="12"/>
      <c s="12"/>
      <c s="12"/>
      <c s="12">
        <v>2</v>
      </c>
      <c s="12"/>
      <c s="12"/>
      <c s="88"/>
      <c s="12"/>
      <c s="12"/>
    </row>
    <row r="9" customHeight="1">
      <c r="A9" s="333" t="s">
        <v>89</v>
      </c>
      <c s="334">
        <v>350313257235</v>
      </c>
      <c s="12" t="s">
        <v>90</v>
      </c>
      <c s="334"/>
      <c s="12"/>
      <c s="12"/>
      <c s="12"/>
      <c s="12"/>
      <c s="12"/>
      <c s="12"/>
      <c s="12"/>
      <c s="12"/>
      <c s="12">
        <v>5</v>
      </c>
      <c s="12"/>
      <c s="12"/>
      <c s="88"/>
      <c s="12"/>
      <c s="12"/>
    </row>
    <row r="10" customHeight="1">
      <c r="A10" s="12" t="s">
        <v>91</v>
      </c>
      <c s="12">
        <v>220</v>
      </c>
      <c s="12"/>
      <c s="12"/>
      <c s="12"/>
      <c s="12"/>
      <c s="12"/>
      <c s="12"/>
      <c s="12"/>
      <c s="12"/>
      <c s="12"/>
      <c s="12"/>
      <c s="12"/>
      <c s="12"/>
      <c s="12"/>
      <c s="88"/>
      <c s="12"/>
      <c s="12"/>
    </row>
    <row r="11" customHeight="1">
      <c r="A11" s="12" t="s">
        <v>92</v>
      </c>
      <c s="334">
        <v>340360</v>
      </c>
      <c s="12"/>
      <c s="12"/>
      <c s="12"/>
      <c s="12"/>
      <c s="12"/>
      <c s="12"/>
      <c s="12"/>
      <c s="12"/>
      <c s="12"/>
      <c s="12"/>
      <c s="12"/>
      <c s="12"/>
      <c s="12"/>
      <c s="88"/>
      <c s="12"/>
      <c s="12"/>
    </row>
  </sheetData>
  <printOptions/>
  <pageMargins left="0.7" right="0.7" top="0.75" bottom="0.75" header="0.3" footer="0.3"/>
  <pageSetup firstPageNumber="4294963191" copies="0"/>
  <headerFooter/>
  <extLst/>
</worksheet>
</file>

<file path=xl/worksheets/sheet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38"/>
  <sheetViews>
    <sheetView workbookViewId="0" zoomScale="85" showGridLines="0" showRowColHeaders="0" zoomScaleNormal="85">
      <pane topLeftCell="A2" activePane="bottomLeft" state="frozen" ySplit="1"/>
      <selection activeCellId="0" pane="bottomLeft" activeCell="P80" sqref="P80"/>
    </sheetView>
  </sheetViews>
  <sheetFormatPr defaultColWidth="9" defaultRowHeight="14.25" customHeight="1"/>
  <cols>
    <col min="1" max="1" width="10" customWidth="1" style="4"/>
    <col min="2" max="2" width="13.63" customWidth="1" style="4"/>
    <col min="3" max="3" width="7.88" customWidth="1" style="4"/>
    <col min="4" max="4" width="15.38" customWidth="1" style="61"/>
    <col min="5" max="8" width="9" style="217"/>
    <col min="9" max="9" width="17.25" customWidth="1" style="217"/>
    <col min="10" max="10" width="9" style="217"/>
    <col min="11" max="11" width="10" customWidth="1" style="217"/>
    <col min="12" max="13" width="9" style="217"/>
    <col min="14" max="14" width="10" customWidth="1" style="4"/>
    <col min="15" max="15" width="5.75" customWidth="1" style="217"/>
    <col min="16" max="16" width="36.63" customWidth="1" style="4"/>
    <col min="17" max="17" width="11.63" customWidth="1" style="217"/>
    <col min="18" max="16384" width="9" style="217"/>
  </cols>
  <sheetData>
    <row r="1" customHeight="1">
      <c r="A1" s="338" t="s">
        <v>203</v>
      </c>
      <c s="338" t="s">
        <v>202</v>
      </c>
      <c s="338" t="s">
        <v>55</v>
      </c>
      <c s="339" t="s">
        <v>180</v>
      </c>
      <c s="339" t="s">
        <v>204</v>
      </c>
      <c s="339" t="s">
        <v>222</v>
      </c>
      <c s="339" t="s">
        <v>210</v>
      </c>
      <c s="91" t="s">
        <v>6</v>
      </c>
      <c s="341" t="s">
        <v>7</v>
      </c>
      <c s="91" t="s">
        <v>8</v>
      </c>
      <c s="91" t="s">
        <v>205</v>
      </c>
      <c s="91" t="s">
        <v>206</v>
      </c>
      <c s="91" t="s">
        <v>207</v>
      </c>
      <c s="338" t="s">
        <v>170</v>
      </c>
      <c s="339" t="s">
        <v>208</v>
      </c>
      <c s="338" t="s">
        <v>290</v>
      </c>
      <c s="11"/>
    </row>
    <row r="2" ht="27.75">
      <c r="A2" s="89">
        <v>1001</v>
      </c>
      <c s="89" t="str">
        <f ca="1" ref="B2:B37" t="shared" si="0">MID(CELL("filename"),FIND("[",CELL("filename"),1)+1,FIND(".",CELL("filename"),1)-FIND("[",CELL("filename"),1)-1)</f>
        <v>31U1602-96-0021</v>
      </c>
      <c s="81"/>
      <c s="82" t="str">
        <f>'波长示值误差与重复性校验'!$C2&amp;";"&amp;'波长示值误差与重复性校验'!$D2&amp;";"&amp;'波长示值误差与重复性校验'!$E2</f>
        <v>656.12;656.12;656.1</v>
      </c>
      <c s="82">
        <f>'波长示值误差与重复性校验'!$F2</f>
        <v>656.1133333333333</v>
      </c>
      <c s="82">
        <f>'波长示值误差与重复性校验'!$G2</f>
        <v>0.013333333333321207</v>
      </c>
      <c s="82">
        <f>'波长示值误差与重复性校验'!$H2</f>
        <v>0.01999999999998181</v>
      </c>
      <c s="82">
        <f>Report!$F$5</f>
        <v>0</v>
      </c>
      <c s="84">
        <f ca="1" ref="I2:I37" t="shared" si="1">NOW()</f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'波长示值误差与重复性校验'!$K2</f>
        <v>合格</v>
      </c>
      <c s="82"/>
      <c s="335">
        <v>1001</v>
      </c>
    </row>
    <row r="3" ht="27.75">
      <c r="A3" s="81">
        <v>1002</v>
      </c>
      <c s="89" t="str">
        <f ca="1" t="shared" si="0"/>
        <v>31U1602-96-0021</v>
      </c>
      <c s="81"/>
      <c s="82" t="str">
        <f>'波长示值误差与重复性校验'!$C3&amp;";"&amp;'波长示值误差与重复性校验'!$D3&amp;";"&amp;'波长示值误差与重复性校验'!$E3</f>
        <v>486.02;486.02;486.02</v>
      </c>
      <c s="82">
        <f>'波长示值误差与重复性校验'!$F3</f>
        <v>486.02</v>
      </c>
      <c s="82">
        <f>'波长示值误差与重复性校验'!$G3</f>
        <v>0.01999999999998181</v>
      </c>
      <c s="82">
        <f>'波长示值误差与重复性校验'!$H3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'波长示值误差与重复性校验'!$K3</f>
        <v>合格</v>
      </c>
      <c s="82"/>
      <c s="335">
        <v>1002</v>
      </c>
    </row>
    <row r="4" ht="27.75">
      <c r="A4" s="81">
        <v>1003</v>
      </c>
      <c s="89" t="str">
        <f ca="1" t="shared" si="0"/>
        <v>31U1602-96-0021</v>
      </c>
      <c s="81"/>
      <c s="82" t="str">
        <f>'波长示值误差与重复性校验'!$C4&amp;";"&amp;'波长示值误差与重复性校验'!$D4&amp;";"&amp;'波长示值误差与重复性校验'!$E4</f>
        <v>807.4;807.4;807.4</v>
      </c>
      <c s="82">
        <f>'波长示值误差与重复性校验'!$F4</f>
        <v>807.4</v>
      </c>
      <c s="82">
        <f>'波长示值误差与重复性校验'!$G4</f>
        <v>0</v>
      </c>
      <c s="82">
        <f>'波长示值误差与重复性校验'!$H4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'波长示值误差与重复性校验'!$K4</f>
        <v>合格</v>
      </c>
      <c s="82"/>
      <c s="335">
        <v>1003</v>
      </c>
    </row>
    <row r="5" ht="27.75">
      <c r="A5" s="81">
        <v>1008</v>
      </c>
      <c s="89" t="str">
        <f ca="1" t="shared" si="0"/>
        <v>31U1602-96-0021</v>
      </c>
      <c s="81"/>
      <c s="82" t="str">
        <f>'波长示值误差与重复性校验'!$C5&amp;";"&amp;'波长示值误差与重复性校验'!$D5&amp;";"&amp;'波长示值误差与重复性校验'!$E5</f>
        <v>640.8;640.8;640.8</v>
      </c>
      <c s="82">
        <f>'波长示值误差与重复性校验'!$F5</f>
        <v>640.8</v>
      </c>
      <c s="82">
        <f>'波长示值误差与重复性校验'!$G5</f>
        <v>0.09999999999990905</v>
      </c>
      <c s="82">
        <f>'波长示值误差与重复性校验'!$H5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'波长示值误差与重复性校验'!$K5</f>
        <v>合格</v>
      </c>
      <c s="82"/>
      <c s="335">
        <v>1004</v>
      </c>
    </row>
    <row r="6" ht="27.75">
      <c r="A6" s="81">
        <v>1009</v>
      </c>
      <c s="89" t="str">
        <f ca="1" t="shared" si="0"/>
        <v>31U1602-96-0021</v>
      </c>
      <c s="81"/>
      <c s="82" t="str">
        <f>'波长示值误差与重复性校验'!$C6&amp;";"&amp;'波长示值误差与重复性校验'!$D6&amp;";"&amp;'波长示值误差与重复性校验'!$E6</f>
        <v>536.8;536.8;536.8</v>
      </c>
      <c s="82">
        <f>'波长示值误差与重复性校验'!$F6</f>
        <v>536.8</v>
      </c>
      <c s="82">
        <f>'波长示值误差与重复性校验'!$G6</f>
        <v>0</v>
      </c>
      <c s="82">
        <f>'波长示值误差与重复性校验'!$H6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'波长示值误差与重复性校验'!$K6</f>
        <v>合格</v>
      </c>
      <c s="82"/>
      <c s="335">
        <v>1004</v>
      </c>
    </row>
    <row r="7" ht="27.75">
      <c r="A7" s="81">
        <v>1010</v>
      </c>
      <c s="89" t="str">
        <f ca="1" t="shared" si="0"/>
        <v>31U1602-96-0021</v>
      </c>
      <c s="81"/>
      <c s="82" t="str">
        <f>'波长示值误差与重复性校验'!$C7&amp;";"&amp;'波长示值误差与重复性校验'!$D7&amp;";"&amp;'波长示值误差与重复性校验'!$E7</f>
        <v>416.5;416.6;416.6</v>
      </c>
      <c s="82">
        <f>'波长示值误差与重复性校验'!$F7</f>
        <v>416.56666666666666</v>
      </c>
      <c s="82">
        <f>'波长示值误差与重复性校验'!$G7</f>
        <v>0.06666666666666288</v>
      </c>
      <c s="82">
        <f>'波长示值误差与重复性校验'!$H7</f>
        <v>0.10000000000002274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'波长示值误差与重复性校验'!$K7</f>
        <v>合格</v>
      </c>
      <c s="82"/>
      <c s="335">
        <v>1004</v>
      </c>
    </row>
    <row r="8" ht="27.75">
      <c r="A8" s="81">
        <v>1011</v>
      </c>
      <c s="89" t="str">
        <f ca="1" t="shared" si="0"/>
        <v>31U1602-96-0021</v>
      </c>
      <c s="81"/>
      <c s="82" t="str">
        <f>'波长示值误差与重复性校验'!$C8&amp;";"&amp;'波长示值误差与重复性校验'!$D8&amp;";"&amp;'波长示值误差与重复性校验'!$E8</f>
        <v>360.9;360.9;360.9</v>
      </c>
      <c s="82">
        <f>'波长示值误差与重复性校验'!$F8</f>
        <v>360.8999999999999</v>
      </c>
      <c s="82">
        <f>'波长示值误差与重复性校验'!$G8</f>
        <v>-0.10000000000007958</v>
      </c>
      <c s="82">
        <f>'波长示值误差与重复性校验'!$H8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'波长示值误差与重复性校验'!$K8</f>
        <v>合格</v>
      </c>
      <c s="82"/>
      <c s="335">
        <v>1004</v>
      </c>
    </row>
    <row r="9" ht="27.75">
      <c r="A9" s="81">
        <v>1012</v>
      </c>
      <c s="89" t="str">
        <f ca="1" t="shared" si="0"/>
        <v>31U1602-96-0021</v>
      </c>
      <c s="81"/>
      <c s="82" t="str">
        <f>'波长示值误差与重复性校验'!$C9&amp;";"&amp;'波长示值误差与重复性校验'!$D9&amp;";"&amp;'波长示值误差与重复性校验'!$E9</f>
        <v>287.5;287.5;287.5</v>
      </c>
      <c s="82">
        <f>'波长示值误差与重复性校验'!$F9</f>
        <v>287.5</v>
      </c>
      <c s="82">
        <f>'波长示值误差与重复性校验'!$G9</f>
        <v>0.10000000000002274</v>
      </c>
      <c s="82">
        <f>'波长示值误差与重复性校验'!$H9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'波长示值误差与重复性校验'!$K9</f>
        <v>合格</v>
      </c>
      <c s="82"/>
      <c s="335">
        <v>1004</v>
      </c>
    </row>
    <row r="10" ht="27.75">
      <c r="A10" s="81">
        <v>1013</v>
      </c>
      <c s="89" t="str">
        <f ca="1" t="shared" si="0"/>
        <v>31U1602-96-0021</v>
      </c>
      <c s="81"/>
      <c s="82" t="str">
        <f>'波长示值误差与重复性校验'!$C10&amp;";"&amp;'波长示值误差与重复性校验'!$D10&amp;";"&amp;'波长示值误差与重复性校验'!$E10</f>
        <v>241.1;241.2;241.2</v>
      </c>
      <c s="82">
        <f>'波长示值误差与重复性校验'!$F10</f>
        <v>241.16666666666666</v>
      </c>
      <c s="82">
        <f>'波长示值误差与重复性校验'!$G10</f>
        <v>0.1666666666666572</v>
      </c>
      <c s="82">
        <f>'波长示值误差与重复性校验'!$H10</f>
        <v>0.09999999999999432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'波长示值误差与重复性校验'!$K10</f>
        <v>合格</v>
      </c>
      <c s="82"/>
      <c s="335">
        <v>1004</v>
      </c>
    </row>
    <row r="11" ht="27.75">
      <c r="A11" s="81">
        <v>2001</v>
      </c>
      <c s="89" t="str">
        <f ca="1" t="shared" si="0"/>
        <v>31U1602-96-0021</v>
      </c>
      <c s="81">
        <f>'透射比示值误差与重复性校验'!$C2</f>
        <v>23.2</v>
      </c>
      <c s="82" t="str">
        <f>'透射比示值误差与重复性校验'!$D2&amp;";"&amp;'透射比示值误差与重复性校验'!$E2&amp;";"&amp;'透射比示值误差与重复性校验'!$F2</f>
        <v>23.2135060352138;23.2151443754189;23.2170128988327</v>
      </c>
      <c s="82">
        <f>'透射比示值误差与重复性校验'!$G2</f>
        <v>23.21522110315513</v>
      </c>
      <c s="82">
        <f>'透射比示值误差与重复性校验'!$H2</f>
        <v>0.015221103155131033</v>
      </c>
      <c s="82">
        <f>'透射比示值误差与重复性校验'!$I2</f>
        <v>0.00999999999999801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'透射比示值误差与重复性校验'!$L2</f>
        <v>合格</v>
      </c>
      <c s="82"/>
      <c s="81">
        <v>2001</v>
      </c>
    </row>
    <row r="12" ht="27.75">
      <c r="A12" s="81">
        <v>2002</v>
      </c>
      <c s="89" t="str">
        <f ca="1" t="shared" si="0"/>
        <v>31U1602-96-0021</v>
      </c>
      <c s="81">
        <f>'透射比示值误差与重复性校验'!$C3</f>
        <v>51.58</v>
      </c>
      <c s="82" t="str">
        <f>'透射比示值误差与重复性校验'!$D3&amp;";"&amp;'透射比示值误差与重复性校验'!$E3&amp;";"&amp;'透射比示值误差与重复性校验'!$F3</f>
        <v>51.502426941261;51.5006263633203;51.5028787865693</v>
      </c>
      <c s="82">
        <f>'透射比示值误差与重复性校验'!$G3</f>
        <v>51.50197736371687</v>
      </c>
      <c s="82">
        <f>'透射比示值误差与重复性校验'!$H3</f>
        <v>-0.07802263628313</v>
      </c>
      <c s="82">
        <f>'透射比示值误差与重复性校验'!$I3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'透射比示值误差与重复性校验'!$L3</f>
        <v>合格</v>
      </c>
      <c s="82"/>
      <c s="81">
        <v>2001</v>
      </c>
    </row>
    <row r="13" ht="27.75">
      <c r="A13" s="81">
        <v>2003</v>
      </c>
      <c s="89" t="str">
        <f ca="1" t="shared" si="0"/>
        <v>31U1602-96-0021</v>
      </c>
      <c s="81">
        <f>'透射比示值误差与重复性校验'!$C4</f>
        <v>14.06</v>
      </c>
      <c s="82" t="str">
        <f>'透射比示值误差与重复性校验'!$D4&amp;";"&amp;'透射比示值误差与重复性校验'!$E4&amp;";"&amp;'透射比示值误差与重复性校验'!$F4</f>
        <v>14.0387140915443;14.038438894086;14.0387864525875</v>
      </c>
      <c s="82">
        <f>'透射比示值误差与重复性校验'!$G4</f>
        <v>14.038646479405934</v>
      </c>
      <c s="82">
        <f>'透射比示值误差与重复性校验'!$H4</f>
        <v>-0.02135352059406692</v>
      </c>
      <c s="82">
        <f>'透射比示值误差与重复性校验'!$I4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'透射比示值误差与重复性校验'!$L4</f>
        <v>合格</v>
      </c>
      <c s="82"/>
      <c s="81">
        <v>2001</v>
      </c>
    </row>
    <row r="14" ht="27.75">
      <c r="A14" s="81">
        <v>2004</v>
      </c>
      <c s="89" t="str">
        <f ca="1" t="shared" si="0"/>
        <v>31U1602-96-0021</v>
      </c>
      <c s="81">
        <f>'透射比示值误差与重复性校验'!$C5</f>
        <v>18.42</v>
      </c>
      <c s="82" t="str">
        <f>'透射比示值误差与重复性校验'!$D5&amp;";"&amp;'透射比示值误差与重复性校验'!$E5&amp;";"&amp;'透射比示值误差与重复性校验'!$F5</f>
        <v>18.2830644689972;18.2849694108196;18.2859724458848</v>
      </c>
      <c s="82">
        <f>'透射比示值误差与重复性校验'!$G5</f>
        <v>18.284668775233865</v>
      </c>
      <c s="82">
        <f>'透射比示值误差与重复性校验'!$H5</f>
        <v>-0.13533122476613713</v>
      </c>
      <c s="82">
        <f>'透射比示值误差与重复性校验'!$I5</f>
        <v>0.00999999999999801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'透射比示值误差与重复性校验'!$L5</f>
        <v>合格</v>
      </c>
      <c s="82"/>
      <c s="81">
        <v>2001</v>
      </c>
    </row>
    <row r="15" ht="27.75">
      <c r="A15" s="81">
        <v>2005</v>
      </c>
      <c s="89" t="str">
        <f ca="1" t="shared" si="0"/>
        <v>31U1602-96-0021</v>
      </c>
      <c s="81">
        <f>'透射比示值误差与重复性校验'!$C6</f>
        <v>7.57</v>
      </c>
      <c s="82" t="str">
        <f>'透射比示值误差与重复性校验'!$D6&amp;";"&amp;'透射比示值误差与重复性校验'!$E6&amp;";"&amp;'透射比示值误差与重复性校验'!$F6</f>
        <v>7.75716016411304;7.75779615373729;7.75763983257119</v>
      </c>
      <c s="82">
        <f>'透射比示值误差与重复性校验'!$G6</f>
        <v>7.757532050140507</v>
      </c>
      <c s="82">
        <f>'透射比示值误差与重复性校验'!$H6</f>
        <v>0.1875320501405069</v>
      </c>
      <c s="82">
        <f>'透射比示值误差与重复性校验'!$I6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'透射比示值误差与重复性校验'!$L6</f>
        <v>合格</v>
      </c>
      <c s="82"/>
      <c s="81">
        <v>2002</v>
      </c>
    </row>
    <row r="16" ht="27.75">
      <c r="A16" s="81">
        <v>2006</v>
      </c>
      <c s="89" t="str">
        <f ca="1" t="shared" si="0"/>
        <v>31U1602-96-0021</v>
      </c>
      <c s="81">
        <f>'透射比示值误差与重复性校验'!$C7</f>
        <v>10.1</v>
      </c>
      <c s="82" t="str">
        <f>'透射比示值误差与重复性校验'!$D7&amp;";"&amp;'透射比示值误差与重复性校验'!$E7&amp;";"&amp;'透射比示值误差与重复性校验'!$F7</f>
        <v>10.3311628130996;10.331663378631;10.3309513211052</v>
      </c>
      <c s="82">
        <f>'透射比示值误差与重复性校验'!$G7</f>
        <v>10.331259170945266</v>
      </c>
      <c s="82">
        <f>'透射比示值误差与重复性校验'!$H7</f>
        <v>0.2312591709452665</v>
      </c>
      <c s="82">
        <f>'透射比示值误差与重复性校验'!$I7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'透射比示值误差与重复性校验'!$L7</f>
        <v>合格</v>
      </c>
      <c s="82"/>
      <c s="81">
        <v>2002</v>
      </c>
    </row>
    <row r="17" ht="27.75">
      <c r="A17" s="81">
        <v>2007</v>
      </c>
      <c s="89" t="str">
        <f ca="1" t="shared" si="0"/>
        <v>31U1602-96-0021</v>
      </c>
      <c s="81">
        <f>'透射比示值误差与重复性校验'!$C8</f>
        <v>10.07</v>
      </c>
      <c s="82" t="str">
        <f>'透射比示值误差与重复性校验'!$D8&amp;";"&amp;'透射比示值误差与重复性校验'!$E8&amp;";"&amp;'透射比示值误差与重复性校验'!$F8</f>
        <v>10.3352789294261;10.3339329088939;10.3336953991921</v>
      </c>
      <c s="82">
        <f>'透射比示值误差与重复性校验'!$G8</f>
        <v>10.334302412504032</v>
      </c>
      <c s="82">
        <f>'透射比示值误差与重复性校验'!$H8</f>
        <v>0.26430241250403164</v>
      </c>
      <c s="82">
        <f>'透射比示值误差与重复性校验'!$I8</f>
        <v>0.009999999999999787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'透射比示值误差与重复性校验'!$L8</f>
        <v>合格</v>
      </c>
      <c s="82"/>
      <c s="81">
        <v>2002</v>
      </c>
    </row>
    <row r="18" ht="27.75">
      <c r="A18" s="81">
        <v>2008</v>
      </c>
      <c s="89" t="str">
        <f ca="1" t="shared" si="0"/>
        <v>31U1602-96-0021</v>
      </c>
      <c s="81">
        <f>'透射比示值误差与重复性校验'!$C9</f>
        <v>18.98</v>
      </c>
      <c s="82" t="str">
        <f>'透射比示值误差与重复性校验'!$D9&amp;";"&amp;'透射比示值误差与重复性校验'!$E9&amp;";"&amp;'透射比示值误差与重复性校验'!$F9</f>
        <v>19.0992477912635;19.1009195927094;19.1005893975044</v>
      </c>
      <c s="82">
        <f>'透射比示值误差与重复性校验'!$G9</f>
        <v>19.100252260492432</v>
      </c>
      <c s="82">
        <f>'透射比示值误差与重复性校验'!$H9</f>
        <v>0.12025226049243187</v>
      </c>
      <c s="82">
        <f>'透射比示值误差与重复性校验'!$I9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'透射比示值误差与重复性校验'!$L9</f>
        <v>合格</v>
      </c>
      <c s="82"/>
      <c s="120">
        <v>2003</v>
      </c>
    </row>
    <row r="19" ht="27.75">
      <c r="A19" s="81">
        <v>2009</v>
      </c>
      <c s="89" t="str">
        <f ca="1" t="shared" si="0"/>
        <v>31U1602-96-0021</v>
      </c>
      <c s="81">
        <f>'透射比示值误差与重复性校验'!$C10</f>
        <v>20.09</v>
      </c>
      <c s="82" t="str">
        <f>'透射比示值误差与重复性校验'!$D10&amp;";"&amp;'透射比示值误差与重复性校验'!$E10&amp;";"&amp;'透射比示值误差与重复性校验'!$F10</f>
        <v>20.2279522460132;20.2277353591663;20.2279705763321</v>
      </c>
      <c s="82">
        <f>'透射比示值误差与重复性校验'!$G10</f>
        <v>20.227886060503867</v>
      </c>
      <c s="82">
        <f>'透射比示值误差与重复性校验'!$H10</f>
        <v>0.13788606050386676</v>
      </c>
      <c s="82">
        <f>'透射比示值误差与重复性校验'!$I10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'透射比示值误差与重复性校验'!$L10</f>
        <v>合格</v>
      </c>
      <c s="82"/>
      <c s="120">
        <v>2003</v>
      </c>
    </row>
    <row r="20" ht="27.75">
      <c r="A20" s="81">
        <v>2010</v>
      </c>
      <c s="89" t="str">
        <f ca="1" t="shared" si="0"/>
        <v>31U1602-96-0021</v>
      </c>
      <c s="81">
        <f>'透射比示值误差与重复性校验'!$C11</f>
        <v>20.91</v>
      </c>
      <c s="82" t="str">
        <f>'透射比示值误差与重复性校验'!$D11&amp;";"&amp;'透射比示值误差与重复性校验'!$E11&amp;";"&amp;'透射比示值误差与重复性校验'!$F11</f>
        <v>21.0399196447777;21.0379000644681;21.0399654703922</v>
      </c>
      <c s="82">
        <f>'透射比示值误差与重复性校验'!$G11</f>
        <v>21.039261726546002</v>
      </c>
      <c s="82">
        <f>'透射比示值误差与重复性校验'!$H11</f>
        <v>0.12926172654600165</v>
      </c>
      <c s="82">
        <f>'透射比示值误差与重复性校验'!$I11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'透射比示值误差与重复性校验'!$L11</f>
        <v>合格</v>
      </c>
      <c s="82"/>
      <c s="120">
        <v>2003</v>
      </c>
    </row>
    <row r="21" ht="27.75">
      <c r="A21" s="81">
        <v>2011</v>
      </c>
      <c s="89" t="str">
        <f ca="1" t="shared" si="0"/>
        <v>31U1602-96-0021</v>
      </c>
      <c s="81">
        <f>'透射比示值误差与重复性校验'!$C12</f>
        <v>29.96</v>
      </c>
      <c s="82" t="str">
        <f>'透射比示值误差与重复性校验'!$D12&amp;";"&amp;'透射比示值误差与重复性校验'!$E12&amp;";"&amp;'透射比示值误差与重复性校验'!$F12</f>
        <v>30.0090329949906;30.0091625860871;30.0077088113316</v>
      </c>
      <c s="82">
        <f>'透射比示值误差与重复性校验'!$G12</f>
        <v>30.008634797469767</v>
      </c>
      <c s="82">
        <f>'透射比示值误差与重复性校验'!$H12</f>
        <v>0.04863479746976651</v>
      </c>
      <c s="82">
        <f>'透射比示值误差与重复性校验'!$I12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'透射比示值误差与重复性校验'!$L12</f>
        <v>合格</v>
      </c>
      <c s="82"/>
      <c s="81">
        <v>2004</v>
      </c>
    </row>
    <row r="22" ht="27.75">
      <c r="A22" s="81">
        <v>2012</v>
      </c>
      <c s="89" t="str">
        <f ca="1" t="shared" si="0"/>
        <v>31U1602-96-0021</v>
      </c>
      <c s="81">
        <f>'透射比示值误差与重复性校验'!$C13</f>
        <v>30.43</v>
      </c>
      <c s="82" t="str">
        <f>'透射比示值误差与重复性校验'!$D13&amp;";"&amp;'透射比示值误差与重复性校验'!$E13&amp;";"&amp;'透射比示值误差与重复性校验'!$F13</f>
        <v>30.4517906462831;30.4506822382042;30.4526769160904</v>
      </c>
      <c s="82">
        <f>'透射比示值误差与重复性校验'!$G13</f>
        <v>30.45171660019257</v>
      </c>
      <c s="82">
        <f>'透射比示值误差与重复性校验'!$H13</f>
        <v>0.021716600192569047</v>
      </c>
      <c s="82">
        <f>'透射比示值误差与重复性校验'!$I13</f>
        <v>0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'透射比示值误差与重复性校验'!$L13</f>
        <v>合格</v>
      </c>
      <c s="82"/>
      <c s="81">
        <v>2004</v>
      </c>
    </row>
    <row r="23" ht="27.75">
      <c r="A23" s="81">
        <v>2013</v>
      </c>
      <c s="89" t="str">
        <f ca="1" t="shared" si="0"/>
        <v>31U1602-96-0021</v>
      </c>
      <c s="81">
        <f>'透射比示值误差与重复性校验'!$C14</f>
        <v>28.88</v>
      </c>
      <c s="82" t="str">
        <f>'透射比示值误差与重复性校验'!$D14&amp;";"&amp;'透射比示值误差与重复性校验'!$E14&amp;";"&amp;'透射比示值误差与重复性校验'!$F14</f>
        <v>28.9349204885557;28.9363249098598;28.9362750309536</v>
      </c>
      <c s="82">
        <f>'透射比示值误差与重复性校验'!$G14</f>
        <v>28.93584014312303</v>
      </c>
      <c s="82">
        <f>'透射比示值误差与重复性校验'!$H14</f>
        <v>0.05584014312303154</v>
      </c>
      <c s="82">
        <f>'透射比示值误差与重复性校验'!$I14</f>
        <v>0.010000000000001563</v>
      </c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'透射比示值误差与重复性校验'!$L14</f>
        <v>合格</v>
      </c>
      <c s="82"/>
      <c s="81">
        <v>2004</v>
      </c>
    </row>
    <row r="24" ht="27.75">
      <c r="A24" s="81">
        <v>3001</v>
      </c>
      <c s="89" t="str">
        <f ca="1" t="shared" si="0"/>
        <v>31U1602-96-0021</v>
      </c>
      <c s="81">
        <f>'杂散光校验'!$B2</f>
        <v>220</v>
      </c>
      <c s="340" t="str">
        <f>'杂散光校验'!$C2&amp;";"&amp;'杂散光校验'!$D2&amp;";"&amp;'杂散光校验'!$E2</f>
        <v>0.0073470551449971;0.0071882347953038;0.0073464186601158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'杂散光校验'!$G2</f>
        <v>合格</v>
      </c>
      <c s="82"/>
      <c s="81">
        <v>3001</v>
      </c>
    </row>
    <row r="25" ht="27.75">
      <c r="A25" s="81">
        <v>3002</v>
      </c>
      <c s="89" t="str">
        <f ca="1" t="shared" si="0"/>
        <v>31U1602-96-0021</v>
      </c>
      <c s="81">
        <f>'杂散光校验'!$B3</f>
        <v>360</v>
      </c>
      <c s="340" t="str">
        <f>'杂散光校验'!$C3&amp;";"&amp;'杂散光校验'!$D3&amp;";"&amp;'杂散光校验'!$E3</f>
        <v>0.0286288386919576;0.0277354309732046;0.0268413413808443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'杂散光校验'!$G3</f>
        <v>合格</v>
      </c>
      <c s="82"/>
      <c s="81">
        <v>3002</v>
      </c>
    </row>
    <row r="26" ht="27.75">
      <c r="A26" s="81">
        <v>4001</v>
      </c>
      <c s="89" t="str">
        <f ca="1" t="shared" si="0"/>
        <v>31U1602-96-0021</v>
      </c>
      <c s="81"/>
      <c s="82">
        <f>'基线平直度检验'!$B$2</f>
        <v>0.000209477696040691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'基线平直度检验'!$D$2</f>
        <v>合格</v>
      </c>
      <c s="82"/>
      <c s="81">
        <v>4001</v>
      </c>
    </row>
    <row r="27" ht="27.75">
      <c r="A27" s="81">
        <v>5001</v>
      </c>
      <c s="89" t="str">
        <f ca="1" t="shared" si="0"/>
        <v>31U1602-96-0021</v>
      </c>
      <c s="81"/>
      <c s="82">
        <f>'基线暗噪声检验'!$B$2</f>
        <v>-0.0030023055137229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'基线暗噪声检验'!$D$2</f>
        <v>合格</v>
      </c>
      <c s="82"/>
      <c s="81">
        <v>5001</v>
      </c>
    </row>
    <row r="28" ht="27.75">
      <c r="A28" s="81">
        <v>6002</v>
      </c>
      <c s="89" t="str">
        <f ca="1" t="shared" si="0"/>
        <v>31U1602-96-0021</v>
      </c>
      <c s="81">
        <f>'光谱带宽与仪器最小光谱带宽'!$C2</f>
        <v>2</v>
      </c>
      <c s="82">
        <f>'光谱带宽与仪器最小光谱带宽'!$D2</f>
        <v>1.80000000000007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'光谱带宽与仪器最小光谱带宽'!$G2</f>
        <v>合格</v>
      </c>
      <c s="82"/>
      <c s="81">
        <v>6001</v>
      </c>
    </row>
    <row r="29" ht="27.75">
      <c r="A29" s="81">
        <v>7001</v>
      </c>
      <c s="89" t="str">
        <f ca="1" t="shared" si="0"/>
        <v>31U1602-96-0021</v>
      </c>
      <c s="81">
        <f>'噪声检验'!$B2</f>
        <v>500</v>
      </c>
      <c s="82">
        <f>'噪声检验'!$C2</f>
        <v>0.0438015129593907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'噪声检验'!$E2</f>
        <v>合格</v>
      </c>
      <c s="82"/>
      <c s="81">
        <v>7001</v>
      </c>
    </row>
    <row r="30" ht="27.75">
      <c r="A30" s="81">
        <v>7002</v>
      </c>
      <c s="89" t="str">
        <f ca="1" t="shared" si="0"/>
        <v>31U1602-96-0021</v>
      </c>
      <c s="81">
        <f>'噪声检验'!$B3</f>
        <v>500</v>
      </c>
      <c s="82">
        <f>'噪声检验'!$C3</f>
        <v>0.000397429137747369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'噪声检验'!$E3</f>
        <v>合格</v>
      </c>
      <c s="82"/>
      <c s="81">
        <v>7002</v>
      </c>
    </row>
    <row r="31" ht="27.75">
      <c r="A31" s="81">
        <v>7003</v>
      </c>
      <c s="89" t="str">
        <f ca="1" t="shared" si="0"/>
        <v>31U1602-96-0021</v>
      </c>
      <c s="81">
        <f>'噪声检验'!$B4</f>
        <v>250</v>
      </c>
      <c s="82">
        <f>'噪声检验'!$C4</f>
        <v>0.0115001569688786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'噪声检验'!$E4</f>
        <v>合格</v>
      </c>
      <c s="82"/>
      <c s="81">
        <v>7003</v>
      </c>
    </row>
    <row r="32" ht="27.75">
      <c r="A32" s="81">
        <v>7004</v>
      </c>
      <c s="89" t="str">
        <f ca="1" t="shared" si="0"/>
        <v>31U1602-96-0021</v>
      </c>
      <c s="81">
        <f>'噪声检验'!$B5</f>
        <v>250</v>
      </c>
      <c s="82">
        <f>'噪声检验'!$C5</f>
        <v>0.000833600330808267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'噪声检验'!$E5</f>
        <v>合格</v>
      </c>
      <c s="82"/>
      <c s="81">
        <v>7004</v>
      </c>
    </row>
    <row r="33" ht="27.75">
      <c r="A33" s="81">
        <v>8001</v>
      </c>
      <c s="89" t="str">
        <f ca="1" t="shared" si="0"/>
        <v>31U1602-96-0021</v>
      </c>
      <c s="81">
        <f>'波长边缘噪声'!$B2</f>
        <v>1090</v>
      </c>
      <c s="82">
        <f>'波长边缘噪声'!$C2</f>
        <v>0.0337934880670474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'波长边缘噪声'!$E2</f>
        <v>合格</v>
      </c>
      <c s="82"/>
      <c s="81">
        <v>8001</v>
      </c>
    </row>
    <row r="34" ht="27.75">
      <c r="A34" s="81">
        <v>8002</v>
      </c>
      <c s="89" t="str">
        <f ca="1" t="shared" si="0"/>
        <v>31U1602-96-0021</v>
      </c>
      <c s="81">
        <f>'波长边缘噪声'!$B3</f>
        <v>1090</v>
      </c>
      <c s="82">
        <f>'波长边缘噪声'!$C3</f>
        <v>0.000720278882702606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'波长边缘噪声'!$E3</f>
        <v>合格</v>
      </c>
      <c s="82"/>
      <c s="81">
        <v>8002</v>
      </c>
    </row>
    <row r="35" ht="27.75">
      <c r="A35" s="81">
        <v>8003</v>
      </c>
      <c s="89" t="str">
        <f ca="1" t="shared" si="0"/>
        <v>31U1602-96-0021</v>
      </c>
      <c s="81">
        <f>'波长边缘噪声'!$B4</f>
        <v>200</v>
      </c>
      <c s="82">
        <f>'波长边缘噪声'!$C4</f>
        <v>0.0173032138426379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'波长边缘噪声'!$E4</f>
        <v>合格</v>
      </c>
      <c s="82"/>
      <c s="81">
        <v>8003</v>
      </c>
    </row>
    <row r="36" ht="27.75">
      <c r="A36" s="12">
        <v>8004</v>
      </c>
      <c s="89" t="str">
        <f ca="1" t="shared" si="0"/>
        <v>31U1602-96-0021</v>
      </c>
      <c s="81">
        <f>'波长边缘噪声'!$B5</f>
        <v>200</v>
      </c>
      <c s="82">
        <f>'波长边缘噪声'!$C5</f>
        <v>0.00130825069389327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'波长边缘噪声'!$E5</f>
        <v>合格</v>
      </c>
      <c s="82"/>
      <c s="81">
        <v>8004</v>
      </c>
    </row>
    <row r="37" ht="27.75">
      <c r="A37" s="12">
        <v>9001</v>
      </c>
      <c s="89" t="str">
        <f ca="1" t="shared" si="0"/>
        <v>31U1602-96-0021</v>
      </c>
      <c s="81">
        <f>'漂移检验'!$B$2</f>
        <v>500</v>
      </c>
      <c s="82">
        <f>'漂移检验'!$C$2</f>
        <v>0.089280046213446</v>
      </c>
      <c s="82"/>
      <c s="82"/>
      <c s="82"/>
      <c s="82">
        <f>Report!$F$5</f>
        <v>0</v>
      </c>
      <c s="84">
        <f ca="1" t="shared" si="1"/>
        <v>45182.59589769676</v>
      </c>
      <c s="82">
        <f>Report!$N$5</f>
        <v>0</v>
      </c>
      <c s="82"/>
      <c s="82">
        <f>Report!$C$6</f>
        <v>0</v>
      </c>
      <c s="82">
        <f>Report!$H$6</f>
        <v>0</v>
      </c>
      <c s="81" t="str">
        <f>'漂移检验'!$E$2</f>
        <v>合格</v>
      </c>
      <c s="82"/>
      <c s="81">
        <v>9001</v>
      </c>
    </row>
    <row r="38" customHeight="1">
      <c r="H38" s="61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S38"/>
  <sheetViews>
    <sheetView topLeftCell="C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9" style="11"/>
    <col min="2" max="2" width="17.25" customWidth="1" style="11"/>
    <col min="3" max="3" width="29.25" customWidth="1" style="11"/>
    <col min="4" max="4" width="12.38" customWidth="1" style="11"/>
    <col min="5" max="5" width="22.63" customWidth="1" style="56"/>
    <col min="6" max="6" width="9" style="11"/>
    <col min="7" max="7" width="16.88" customWidth="1" style="11"/>
    <col min="8" max="8" width="29.25" customWidth="1" style="11"/>
    <col min="9" max="9" width="12.38" customWidth="1" style="11"/>
    <col min="10" max="10" width="3.75" customWidth="1" style="11"/>
    <col min="11" max="11" width="17.25" customWidth="1" style="11"/>
    <col min="12" max="12" width="16.88" customWidth="1" style="11"/>
    <col min="13" max="13" width="12.38" customWidth="1" style="55"/>
    <col min="14" max="14" width="5.75" customWidth="1" style="11"/>
    <col min="15" max="15" width="11.63" customWidth="1" style="11"/>
    <col min="16" max="16" width="5.75" customWidth="1" style="11"/>
    <col min="17" max="17" width="20.38" customWidth="1" style="11"/>
    <col min="18" max="18" width="14.88" customWidth="1" style="11"/>
    <col min="19" max="20" width="13.88" customWidth="1" style="11"/>
    <col min="21" max="21" width="19" customWidth="1" style="11"/>
    <col min="22" max="22" width="7.5" customWidth="1" style="11"/>
    <col min="23" max="23" width="19.38" customWidth="1" style="11"/>
    <col min="24" max="25" width="13.88" customWidth="1" style="11"/>
    <col min="26" max="26" width="14.88" customWidth="1" style="11"/>
    <col min="27" max="16384" width="9" style="11"/>
  </cols>
  <sheetData>
    <row r="1" customHeight="1">
      <c r="A1" s="219" t="s">
        <v>11</v>
      </c>
      <c s="162"/>
      <c s="162"/>
      <c s="162"/>
      <c s="162"/>
      <c s="162"/>
      <c s="162"/>
      <c s="205"/>
      <c r="M1" s="11"/>
      <c r="O1" s="56"/>
    </row>
    <row r="2" customHeight="1">
      <c r="A2" s="75" t="s">
        <v>4</v>
      </c>
      <c s="75" t="s">
        <v>211</v>
      </c>
      <c s="75" t="s">
        <v>212</v>
      </c>
      <c s="75" t="s">
        <v>213</v>
      </c>
      <c s="75" t="s">
        <v>214</v>
      </c>
      <c s="75" t="s">
        <v>54</v>
      </c>
      <c s="75" t="s">
        <v>215</v>
      </c>
      <c s="75" t="s">
        <v>169</v>
      </c>
      <c r="M2" s="11"/>
      <c r="O2" s="56"/>
    </row>
    <row r="3" customHeight="1">
      <c r="A3" s="60" t="s">
        <v>209</v>
      </c>
      <c s="60">
        <v>1E+3</v>
      </c>
      <c s="60" t="s">
        <v>108</v>
      </c>
      <c s="60">
        <v>1001</v>
      </c>
      <c s="337" t="s">
        <v>16</v>
      </c>
      <c s="64" t="s">
        <v>113</v>
      </c>
      <c s="79">
        <v>0.1</v>
      </c>
      <c s="78">
        <v>0.1</v>
      </c>
      <c r="M3" s="11"/>
      <c r="O3" s="56"/>
    </row>
    <row r="4" customHeight="1">
      <c r="A4" s="60" t="s">
        <v>209</v>
      </c>
      <c s="60">
        <v>1E+3</v>
      </c>
      <c s="60" t="s">
        <v>108</v>
      </c>
      <c s="60">
        <v>1002</v>
      </c>
      <c s="337" t="s">
        <v>16</v>
      </c>
      <c s="60">
        <v>486</v>
      </c>
      <c s="79">
        <v>0.3</v>
      </c>
      <c s="78">
        <v>0.1</v>
      </c>
      <c r="M4" s="11"/>
      <c r="O4" s="56"/>
    </row>
    <row r="5" customHeight="1">
      <c r="A5" s="60" t="s">
        <v>209</v>
      </c>
      <c s="60">
        <v>1E+3</v>
      </c>
      <c s="60" t="s">
        <v>108</v>
      </c>
      <c s="60">
        <v>1003</v>
      </c>
      <c s="337" t="s">
        <v>15</v>
      </c>
      <c s="64" t="s">
        <v>109</v>
      </c>
      <c s="79">
        <v>0.3</v>
      </c>
      <c s="78">
        <v>0.1</v>
      </c>
      <c r="J5" s="61"/>
      <c s="61"/>
      <c s="61"/>
      <c s="61"/>
      <c r="S5" s="105"/>
    </row>
    <row r="6" customHeight="1">
      <c r="A6" s="60" t="s">
        <v>209</v>
      </c>
      <c s="60">
        <v>1E+3</v>
      </c>
      <c s="60" t="s">
        <v>108</v>
      </c>
      <c s="60">
        <v>1008</v>
      </c>
      <c s="337" t="s">
        <v>193</v>
      </c>
      <c s="64" t="s">
        <v>216</v>
      </c>
      <c s="79">
        <v>0.3</v>
      </c>
      <c s="78">
        <v>0.1</v>
      </c>
      <c s="80"/>
      <c s="76"/>
      <c s="76"/>
      <c r="M6" s="11"/>
    </row>
    <row r="7" customHeight="1">
      <c r="A7" s="60" t="s">
        <v>209</v>
      </c>
      <c s="60">
        <v>1E+3</v>
      </c>
      <c s="60" t="s">
        <v>108</v>
      </c>
      <c s="60">
        <v>1009</v>
      </c>
      <c s="337" t="s">
        <v>193</v>
      </c>
      <c s="64" t="s">
        <v>217</v>
      </c>
      <c s="79">
        <v>0.3</v>
      </c>
      <c s="78">
        <v>0.1</v>
      </c>
      <c r="J7" s="76"/>
      <c s="76"/>
      <c r="M7" s="11"/>
    </row>
    <row r="8" customHeight="1">
      <c r="A8" s="60" t="s">
        <v>209</v>
      </c>
      <c s="60">
        <v>1E+3</v>
      </c>
      <c s="60" t="s">
        <v>108</v>
      </c>
      <c s="60">
        <v>1010</v>
      </c>
      <c s="337" t="s">
        <v>193</v>
      </c>
      <c s="64" t="s">
        <v>218</v>
      </c>
      <c s="79">
        <v>0.3</v>
      </c>
      <c s="78">
        <v>0.1</v>
      </c>
      <c r="J8" s="76"/>
      <c s="76"/>
      <c r="M8" s="11"/>
    </row>
    <row r="9" customHeight="1">
      <c r="A9" s="60" t="s">
        <v>209</v>
      </c>
      <c s="60">
        <v>1E+3</v>
      </c>
      <c s="60" t="s">
        <v>108</v>
      </c>
      <c s="60">
        <v>1011</v>
      </c>
      <c s="337" t="s">
        <v>193</v>
      </c>
      <c s="64" t="s">
        <v>219</v>
      </c>
      <c s="79">
        <v>0.3</v>
      </c>
      <c s="78">
        <v>0.1</v>
      </c>
      <c r="J9" s="76"/>
      <c s="76"/>
      <c r="M9" s="11"/>
    </row>
    <row r="10" customHeight="1">
      <c r="A10" s="60" t="s">
        <v>209</v>
      </c>
      <c s="60">
        <v>1E+3</v>
      </c>
      <c s="60" t="s">
        <v>108</v>
      </c>
      <c s="60">
        <v>1012</v>
      </c>
      <c s="337" t="s">
        <v>193</v>
      </c>
      <c s="64" t="s">
        <v>220</v>
      </c>
      <c s="79">
        <v>0.3</v>
      </c>
      <c s="78">
        <v>0.1</v>
      </c>
      <c r="J10" s="76"/>
      <c s="76"/>
      <c r="M10" s="11"/>
    </row>
    <row r="11" customHeight="1">
      <c r="A11" s="60" t="s">
        <v>209</v>
      </c>
      <c s="60">
        <v>1E+3</v>
      </c>
      <c s="60" t="s">
        <v>108</v>
      </c>
      <c s="60">
        <v>1013</v>
      </c>
      <c s="337" t="s">
        <v>193</v>
      </c>
      <c s="64" t="s">
        <v>221</v>
      </c>
      <c s="79">
        <v>0.3</v>
      </c>
      <c s="78">
        <v>0.1</v>
      </c>
      <c r="J11" s="76"/>
      <c s="76"/>
      <c r="M11" s="11"/>
    </row>
    <row r="12" ht="14.25" customHeight="1">
      <c r="A12" s="60" t="s">
        <v>209</v>
      </c>
      <c s="60">
        <v>2E+3</v>
      </c>
      <c s="60" t="s">
        <v>114</v>
      </c>
      <c s="60">
        <v>2001</v>
      </c>
      <c s="337" t="s">
        <v>117</v>
      </c>
      <c s="58" t="s">
        <v>176</v>
      </c>
      <c s="60">
        <v>0.3</v>
      </c>
      <c s="60">
        <v>0.1</v>
      </c>
      <c r="J12" s="76"/>
      <c s="80"/>
      <c r="M12" s="11"/>
    </row>
    <row r="13" ht="28.5">
      <c r="A13" s="60" t="s">
        <v>209</v>
      </c>
      <c s="60">
        <v>2E+3</v>
      </c>
      <c s="60" t="s">
        <v>114</v>
      </c>
      <c s="60">
        <v>2002</v>
      </c>
      <c s="337" t="s">
        <v>117</v>
      </c>
      <c s="58" t="s">
        <v>177</v>
      </c>
      <c s="60">
        <v>0.3</v>
      </c>
      <c s="60">
        <v>0.1</v>
      </c>
      <c r="J13" s="76"/>
      <c s="80"/>
      <c r="M13" s="11"/>
    </row>
    <row r="14" ht="28.5">
      <c r="A14" s="60" t="s">
        <v>209</v>
      </c>
      <c s="60">
        <v>2E+3</v>
      </c>
      <c s="60" t="s">
        <v>114</v>
      </c>
      <c s="60">
        <v>2003</v>
      </c>
      <c s="337" t="s">
        <v>117</v>
      </c>
      <c s="58" t="s">
        <v>178</v>
      </c>
      <c s="60">
        <v>0.3</v>
      </c>
      <c s="60">
        <v>0.1</v>
      </c>
      <c r="J14" s="76"/>
      <c s="80"/>
      <c r="M14" s="11"/>
    </row>
    <row r="15" ht="28.5">
      <c r="A15" s="60" t="s">
        <v>209</v>
      </c>
      <c s="60">
        <v>2E+3</v>
      </c>
      <c s="60" t="s">
        <v>114</v>
      </c>
      <c s="60">
        <v>2004</v>
      </c>
      <c s="337" t="s">
        <v>117</v>
      </c>
      <c s="58" t="s">
        <v>179</v>
      </c>
      <c s="60">
        <v>0.3</v>
      </c>
      <c s="60">
        <v>0.1</v>
      </c>
      <c r="J15" s="76"/>
      <c s="80"/>
      <c r="M15" s="11"/>
    </row>
    <row r="16" customHeight="1">
      <c r="A16" s="60" t="s">
        <v>209</v>
      </c>
      <c s="60">
        <v>2E+3</v>
      </c>
      <c s="60" t="s">
        <v>114</v>
      </c>
      <c s="60">
        <v>2005</v>
      </c>
      <c s="58" t="s">
        <v>80</v>
      </c>
      <c s="58" t="s">
        <v>173</v>
      </c>
      <c s="60">
        <v>0.3</v>
      </c>
      <c s="60">
        <v>0.1</v>
      </c>
      <c r="M16" s="11"/>
    </row>
    <row r="17" customHeight="1">
      <c r="A17" s="60" t="s">
        <v>209</v>
      </c>
      <c s="60">
        <v>2E+3</v>
      </c>
      <c s="60" t="s">
        <v>114</v>
      </c>
      <c s="60">
        <v>2006</v>
      </c>
      <c s="58" t="s">
        <v>80</v>
      </c>
      <c s="58" t="s">
        <v>174</v>
      </c>
      <c s="60">
        <v>0.3</v>
      </c>
      <c s="60">
        <v>0.1</v>
      </c>
      <c r="M17" s="11"/>
    </row>
    <row r="18" customHeight="1">
      <c r="A18" s="60" t="s">
        <v>209</v>
      </c>
      <c s="60">
        <v>2E+3</v>
      </c>
      <c s="60" t="s">
        <v>114</v>
      </c>
      <c s="60">
        <v>2007</v>
      </c>
      <c s="58" t="s">
        <v>80</v>
      </c>
      <c s="58" t="s">
        <v>175</v>
      </c>
      <c s="60">
        <v>0.3</v>
      </c>
      <c s="60">
        <v>0.1</v>
      </c>
      <c r="M18" s="11"/>
    </row>
    <row r="19" customHeight="1">
      <c r="A19" s="60" t="s">
        <v>209</v>
      </c>
      <c s="60">
        <v>2E+3</v>
      </c>
      <c s="60" t="s">
        <v>114</v>
      </c>
      <c s="60">
        <v>2008</v>
      </c>
      <c s="58" t="s">
        <v>84</v>
      </c>
      <c s="58" t="s">
        <v>173</v>
      </c>
      <c s="60">
        <v>0.3</v>
      </c>
      <c s="60">
        <v>0.1</v>
      </c>
      <c r="M19" s="11"/>
    </row>
    <row r="20" customHeight="1">
      <c r="A20" s="60" t="s">
        <v>209</v>
      </c>
      <c s="60">
        <v>2E+3</v>
      </c>
      <c s="60" t="s">
        <v>114</v>
      </c>
      <c s="60">
        <v>2009</v>
      </c>
      <c s="58" t="s">
        <v>84</v>
      </c>
      <c s="58" t="s">
        <v>174</v>
      </c>
      <c s="60">
        <v>0.3</v>
      </c>
      <c s="60">
        <v>0.1</v>
      </c>
      <c r="M20" s="11"/>
    </row>
    <row r="21" customHeight="1">
      <c r="A21" s="60" t="s">
        <v>209</v>
      </c>
      <c s="60">
        <v>2E+3</v>
      </c>
      <c s="60" t="s">
        <v>114</v>
      </c>
      <c s="60">
        <v>2010</v>
      </c>
      <c s="58" t="s">
        <v>84</v>
      </c>
      <c s="58" t="s">
        <v>175</v>
      </c>
      <c s="60">
        <v>0.3</v>
      </c>
      <c s="60">
        <v>0.1</v>
      </c>
      <c r="M21" s="11"/>
    </row>
    <row r="22" customHeight="1">
      <c r="A22" s="60" t="s">
        <v>209</v>
      </c>
      <c s="60">
        <v>2E+3</v>
      </c>
      <c s="60" t="s">
        <v>114</v>
      </c>
      <c s="60">
        <v>2011</v>
      </c>
      <c s="58" t="s">
        <v>87</v>
      </c>
      <c s="58" t="s">
        <v>173</v>
      </c>
      <c s="60">
        <v>0.3</v>
      </c>
      <c s="60">
        <v>0.1</v>
      </c>
      <c r="M22" s="11"/>
    </row>
    <row r="23" customHeight="1">
      <c r="A23" s="60" t="s">
        <v>209</v>
      </c>
      <c s="60">
        <v>2E+3</v>
      </c>
      <c s="60" t="s">
        <v>114</v>
      </c>
      <c s="60">
        <v>2012</v>
      </c>
      <c s="58" t="s">
        <v>87</v>
      </c>
      <c s="58" t="s">
        <v>174</v>
      </c>
      <c s="60">
        <v>0.3</v>
      </c>
      <c s="60">
        <v>0.1</v>
      </c>
      <c r="M23" s="11"/>
    </row>
    <row r="24" customHeight="1">
      <c r="A24" s="60" t="s">
        <v>209</v>
      </c>
      <c s="60">
        <v>2E+3</v>
      </c>
      <c s="60" t="s">
        <v>114</v>
      </c>
      <c s="60">
        <v>2013</v>
      </c>
      <c s="58" t="s">
        <v>87</v>
      </c>
      <c s="58" t="s">
        <v>175</v>
      </c>
      <c s="60">
        <v>0.3</v>
      </c>
      <c s="60">
        <v>0.1</v>
      </c>
      <c r="M24" s="11"/>
    </row>
    <row r="25" customHeight="1">
      <c r="A25" s="60" t="s">
        <v>209</v>
      </c>
      <c s="60">
        <v>3E+3</v>
      </c>
      <c s="60" t="s">
        <v>118</v>
      </c>
      <c s="60">
        <v>3001</v>
      </c>
      <c s="65" t="s">
        <v>22</v>
      </c>
      <c s="62" t="s">
        <v>21</v>
      </c>
      <c s="70">
        <v>0.01</v>
      </c>
      <c s="60"/>
      <c r="M25" s="11"/>
    </row>
    <row r="26" customHeight="1">
      <c r="A26" s="60" t="s">
        <v>209</v>
      </c>
      <c s="60">
        <v>3E+3</v>
      </c>
      <c s="60" t="s">
        <v>118</v>
      </c>
      <c s="60">
        <v>3002</v>
      </c>
      <c s="65" t="s">
        <v>24</v>
      </c>
      <c s="62" t="s">
        <v>23</v>
      </c>
      <c s="70">
        <v>0.02</v>
      </c>
      <c s="60"/>
      <c r="M26" s="11"/>
    </row>
    <row r="27" customHeight="1">
      <c r="A27" s="60" t="s">
        <v>209</v>
      </c>
      <c s="60">
        <v>4E+3</v>
      </c>
      <c s="60" t="s">
        <v>122</v>
      </c>
      <c s="60">
        <v>4001</v>
      </c>
      <c s="65" t="s">
        <v>25</v>
      </c>
      <c s="60"/>
      <c s="66">
        <v>0.0005</v>
      </c>
      <c s="60"/>
      <c r="M27" s="11"/>
    </row>
    <row r="28" customHeight="1">
      <c r="A28" s="60" t="s">
        <v>209</v>
      </c>
      <c s="60">
        <v>5E+3</v>
      </c>
      <c s="60" t="s">
        <v>124</v>
      </c>
      <c s="60">
        <v>5001</v>
      </c>
      <c s="65" t="s">
        <v>27</v>
      </c>
      <c s="60"/>
      <c s="67">
        <v>0.1</v>
      </c>
      <c s="60"/>
      <c r="M28" s="11"/>
    </row>
    <row r="29" customHeight="1">
      <c r="A29" s="60" t="s">
        <v>209</v>
      </c>
      <c s="60">
        <v>6E+3</v>
      </c>
      <c s="60" t="s">
        <v>125</v>
      </c>
      <c s="60">
        <v>6002</v>
      </c>
      <c s="65" t="s">
        <v>127</v>
      </c>
      <c s="65">
        <v>656.1</v>
      </c>
      <c s="68">
        <v>20</v>
      </c>
      <c s="60"/>
      <c r="M29" s="11"/>
    </row>
    <row r="30" customHeight="1">
      <c r="A30" s="60" t="s">
        <v>209</v>
      </c>
      <c s="60">
        <v>7E+3</v>
      </c>
      <c s="60" t="s">
        <v>128</v>
      </c>
      <c s="60">
        <v>7001</v>
      </c>
      <c s="60" t="s">
        <v>129</v>
      </c>
      <c s="83">
        <v>500</v>
      </c>
      <c s="69">
        <v>0.05</v>
      </c>
      <c s="60"/>
      <c r="M30" s="11"/>
    </row>
    <row r="31" customHeight="1">
      <c r="A31" s="60" t="s">
        <v>209</v>
      </c>
      <c s="60">
        <v>7E+3</v>
      </c>
      <c s="60" t="s">
        <v>128</v>
      </c>
      <c s="60">
        <v>7002</v>
      </c>
      <c s="60" t="s">
        <v>130</v>
      </c>
      <c s="83">
        <v>500</v>
      </c>
      <c s="59">
        <v>0.005</v>
      </c>
      <c s="60"/>
      <c r="M31" s="11"/>
    </row>
    <row r="32" customHeight="1">
      <c r="A32" s="60" t="s">
        <v>209</v>
      </c>
      <c s="60">
        <v>7E+3</v>
      </c>
      <c s="60" t="s">
        <v>128</v>
      </c>
      <c s="60">
        <v>7003</v>
      </c>
      <c s="60" t="s">
        <v>131</v>
      </c>
      <c s="83">
        <v>250</v>
      </c>
      <c s="69">
        <v>0.05</v>
      </c>
      <c s="60"/>
      <c r="M32" s="11"/>
    </row>
    <row r="33" customHeight="1">
      <c r="A33" s="60" t="s">
        <v>209</v>
      </c>
      <c s="60">
        <v>7E+3</v>
      </c>
      <c s="60" t="s">
        <v>128</v>
      </c>
      <c s="60">
        <v>7004</v>
      </c>
      <c s="60" t="s">
        <v>132</v>
      </c>
      <c s="83">
        <v>250</v>
      </c>
      <c s="59">
        <v>0.005</v>
      </c>
      <c s="60"/>
      <c r="M33" s="11"/>
    </row>
    <row r="34" customHeight="1">
      <c r="A34" s="60" t="s">
        <v>209</v>
      </c>
      <c s="60">
        <v>8E+3</v>
      </c>
      <c s="60" t="s">
        <v>133</v>
      </c>
      <c s="60">
        <v>8001</v>
      </c>
      <c s="60" t="s">
        <v>134</v>
      </c>
      <c s="83">
        <v>1090</v>
      </c>
      <c s="72">
        <v>0.1</v>
      </c>
      <c s="60"/>
      <c r="M34" s="11"/>
    </row>
    <row r="35" customHeight="1">
      <c r="A35" s="60" t="s">
        <v>209</v>
      </c>
      <c s="60">
        <v>8E+3</v>
      </c>
      <c s="60" t="s">
        <v>133</v>
      </c>
      <c s="60">
        <v>8002</v>
      </c>
      <c s="60" t="s">
        <v>135</v>
      </c>
      <c s="83">
        <v>1090</v>
      </c>
      <c s="69">
        <v>0.02</v>
      </c>
      <c s="60"/>
      <c r="M35" s="11"/>
    </row>
    <row r="36" customHeight="1">
      <c r="A36" s="60" t="s">
        <v>209</v>
      </c>
      <c s="60">
        <v>8E+3</v>
      </c>
      <c s="60" t="s">
        <v>133</v>
      </c>
      <c s="60">
        <v>8003</v>
      </c>
      <c s="60" t="s">
        <v>136</v>
      </c>
      <c s="83">
        <v>200</v>
      </c>
      <c s="72">
        <v>0.1</v>
      </c>
      <c s="60"/>
      <c r="M36" s="11"/>
    </row>
    <row r="37" customHeight="1">
      <c r="A37" s="60" t="s">
        <v>209</v>
      </c>
      <c s="63">
        <v>8E+3</v>
      </c>
      <c s="63" t="s">
        <v>133</v>
      </c>
      <c s="63">
        <v>8004</v>
      </c>
      <c s="63" t="s">
        <v>137</v>
      </c>
      <c s="83">
        <v>200</v>
      </c>
      <c s="69">
        <v>0.02</v>
      </c>
      <c s="63"/>
      <c r="M37" s="11"/>
    </row>
    <row r="38" customHeight="1">
      <c r="A38" s="60" t="s">
        <v>209</v>
      </c>
      <c s="63">
        <v>9E+3</v>
      </c>
      <c s="63" t="s">
        <v>138</v>
      </c>
      <c s="63">
        <v>9001</v>
      </c>
      <c s="65" t="s">
        <v>138</v>
      </c>
      <c s="63" t="s">
        <v>182</v>
      </c>
      <c s="71">
        <v>0.1</v>
      </c>
      <c s="63"/>
      <c r="M38" s="11"/>
    </row>
  </sheetData>
  <mergeCells>
    <mergeCell ref="A1:H1"/>
  </mergeCells>
  <printOptions/>
  <pageMargins left="0.7" right="0.7" top="0.75" bottom="0.75" header="0.3" footer="0.3"/>
  <pageSetup paperSize="9" firstPageNumber="4294963191" copies="0"/>
  <headerFooter/>
  <extLst/>
</worksheet>
</file>

<file path=xl/worksheets/sheet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 showRowColHeaders="0">
      <pane topLeftCell="A1"/>
      <selection activeCellId="0" activeCell="A1" sqref="A1"/>
    </sheetView>
  </sheetViews>
  <sheetFormatPr defaultColWidth="9" defaultRowHeight="14.25" customHeight="1"/>
  <cols>
    <col min="1" max="1" width="10.13" customWidth="1" style="10"/>
    <col min="2" max="2" width="12.5" customWidth="1" style="10"/>
    <col min="3" max="3" width="9" style="217"/>
    <col min="4" max="4" width="29.25" customWidth="1" style="217"/>
    <col min="5" max="5" width="12.38" customWidth="1" style="217"/>
    <col min="6" max="6" width="9" customWidth="1" style="217"/>
    <col min="7" max="16384" width="9" style="217"/>
  </cols>
  <sheetData>
    <row r="1" customHeight="1">
      <c r="A1" s="332" t="s">
        <v>5</v>
      </c>
      <c s="332" t="s">
        <v>4</v>
      </c>
      <c r="D1" s="51" t="s">
        <v>212</v>
      </c>
      <c s="51" t="s">
        <v>211</v>
      </c>
    </row>
    <row r="2" customHeight="1">
      <c r="A2" s="335" t="s">
        <v>197</v>
      </c>
      <c s="335" t="s">
        <v>200</v>
      </c>
      <c r="D2" s="60" t="s">
        <v>108</v>
      </c>
      <c s="60">
        <v>1E+3</v>
      </c>
    </row>
    <row r="3" customHeight="1">
      <c r="A3" s="335" t="s">
        <v>198</v>
      </c>
      <c s="335" t="s">
        <v>328</v>
      </c>
      <c r="D3" s="60" t="s">
        <v>114</v>
      </c>
      <c s="60">
        <v>2E+3</v>
      </c>
    </row>
    <row r="4" customHeight="1">
      <c r="A4" s="335" t="s">
        <v>199</v>
      </c>
      <c s="335" t="s">
        <v>329</v>
      </c>
      <c r="D4" s="60" t="s">
        <v>118</v>
      </c>
      <c s="60">
        <v>3E+3</v>
      </c>
    </row>
    <row r="5" customHeight="1">
      <c r="A5" s="335" t="s">
        <v>323</v>
      </c>
      <c s="335" t="s">
        <v>330</v>
      </c>
      <c r="D5" s="60" t="s">
        <v>122</v>
      </c>
      <c s="60">
        <v>4E+3</v>
      </c>
    </row>
    <row r="6" customHeight="1">
      <c r="A6" s="335" t="s">
        <v>324</v>
      </c>
      <c s="335" t="s">
        <v>331</v>
      </c>
      <c r="D6" s="60" t="s">
        <v>124</v>
      </c>
      <c s="60">
        <v>5E+3</v>
      </c>
    </row>
    <row r="7" customHeight="1">
      <c r="A7" s="335" t="s">
        <v>325</v>
      </c>
      <c s="335" t="s">
        <v>201</v>
      </c>
      <c r="D7" s="60" t="s">
        <v>125</v>
      </c>
      <c s="60">
        <v>6E+3</v>
      </c>
    </row>
    <row r="8" customHeight="1">
      <c r="A8" s="335" t="s">
        <v>326</v>
      </c>
      <c s="335" t="s">
        <v>209</v>
      </c>
      <c r="D8" s="60" t="s">
        <v>128</v>
      </c>
      <c s="60">
        <v>7E+3</v>
      </c>
    </row>
    <row r="9" customHeight="1">
      <c r="A9" s="73" t="s">
        <v>327</v>
      </c>
      <c s="73" t="s">
        <v>332</v>
      </c>
      <c r="D9" s="63" t="s">
        <v>133</v>
      </c>
      <c s="63">
        <v>8E+3</v>
      </c>
    </row>
    <row r="10" customHeight="1">
      <c r="A10" s="12"/>
      <c s="12"/>
      <c r="D10" s="63" t="s">
        <v>138</v>
      </c>
      <c s="63">
        <v>9E+3</v>
      </c>
    </row>
    <row r="11" customHeight="1">
      <c r="A11" s="12"/>
      <c s="12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AB29"/>
  <sheetViews>
    <sheetView topLeftCell="E13" workbookViewId="0" zoomScale="66" showGridLines="0" showRowColHeaders="0" zoomScaleNormal="66">
      <pane topLeftCell="A1"/>
      <selection activeCellId="0" activeCell="A1" sqref="A1"/>
    </sheetView>
  </sheetViews>
  <sheetFormatPr defaultColWidth="8.88" defaultRowHeight="14.25" customHeight="1"/>
  <cols>
    <col min="1" max="1" width="29.25" customWidth="1" style="118"/>
    <col min="2" max="2" width="18.38" customWidth="1" style="114"/>
    <col min="3" max="3" width="21.5" customWidth="1" style="114"/>
    <col min="4" max="4" width="40" customWidth="1" style="114"/>
    <col min="5" max="5" width="46.5" customWidth="1" style="114"/>
    <col min="6" max="6" width="8.88" style="114"/>
    <col min="7" max="7" width="10.5" customWidth="1" style="114"/>
    <col min="8" max="8" width="20.13" customWidth="1" style="114"/>
    <col min="9" max="9" width="79.5" customWidth="1" hidden="1" style="114"/>
    <col min="10" max="10" width="15.38" customWidth="1" style="114"/>
    <col min="11" max="11" width="11.5" customWidth="1" style="114"/>
    <col min="12" max="12" width="9.63" customWidth="1" style="114"/>
    <col min="13" max="13" width="8.5" customWidth="1" style="114"/>
    <col min="14" max="14" width="9.88" customWidth="1" style="114"/>
    <col min="15" max="15" width="10" customWidth="1" style="114"/>
    <col min="16" max="16" width="9.63" customWidth="1" style="114"/>
    <col min="17" max="17" width="8.5" customWidth="1" style="114"/>
    <col min="18" max="18" width="9.13" customWidth="1" style="114"/>
    <col min="19" max="19" width="9.5" customWidth="1" style="114"/>
    <col min="20" max="21" width="9.63" customWidth="1" style="114"/>
    <col min="22" max="22" width="18" customWidth="1" style="114"/>
    <col min="23" max="23" width="12.38" customWidth="1" style="114"/>
    <col min="24" max="24" width="18.5" customWidth="1" style="114"/>
    <col min="25" max="25" width="19.38" customWidth="1" style="114"/>
    <col min="26" max="26" width="15.13" customWidth="1" hidden="1" style="9"/>
    <col min="27" max="27" width="11.63" customWidth="1" style="9"/>
    <col min="28" max="28" width="17.25" customWidth="1" style="122"/>
    <col min="29" max="16384" width="8.88" style="114"/>
  </cols>
  <sheetData>
    <row r="1" ht="40.5" customFormat="1" s="109">
      <c r="A1" s="57" t="s">
        <v>93</v>
      </c>
      <c s="57" t="s">
        <v>94</v>
      </c>
      <c s="57" t="s">
        <v>223</v>
      </c>
      <c s="57" t="s">
        <v>95</v>
      </c>
      <c s="57" t="s">
        <v>96</v>
      </c>
      <c s="57" t="s">
        <v>61</v>
      </c>
      <c s="57" t="s">
        <v>97</v>
      </c>
      <c s="57" t="s">
        <v>54</v>
      </c>
      <c s="332" t="s">
        <v>98</v>
      </c>
      <c s="57" t="s">
        <v>98</v>
      </c>
      <c s="8" t="s">
        <v>190</v>
      </c>
      <c s="8" t="s">
        <v>99</v>
      </c>
      <c s="8" t="s">
        <v>59</v>
      </c>
      <c s="8" t="s">
        <v>100</v>
      </c>
      <c s="8" t="s">
        <v>101</v>
      </c>
      <c s="8" t="s">
        <v>102</v>
      </c>
      <c s="8" t="s">
        <v>64</v>
      </c>
      <c s="8" t="s">
        <v>29</v>
      </c>
      <c s="8" t="s">
        <v>103</v>
      </c>
      <c s="8" t="s">
        <v>104</v>
      </c>
      <c s="8" t="s">
        <v>226</v>
      </c>
      <c s="57" t="s">
        <v>56</v>
      </c>
      <c s="57" t="s">
        <v>105</v>
      </c>
      <c s="57" t="s">
        <v>106</v>
      </c>
      <c s="57" t="s">
        <v>107</v>
      </c>
      <c s="57" t="s">
        <v>211</v>
      </c>
      <c s="57" t="s">
        <v>213</v>
      </c>
      <c s="106" t="s">
        <v>55</v>
      </c>
    </row>
    <row r="2" ht="44.25" customHeight="1">
      <c r="A2" s="52" t="s">
        <v>108</v>
      </c>
      <c s="116" t="s">
        <v>316</v>
      </c>
      <c s="343"/>
      <c s="52" t="str">
        <f>IF(L2="","",'字段对应'!$B$10&amp;"="&amp;VLOOKUP(L2,'基础信息'!$I$2:$J$6,2,0)&amp;";")&amp;IF(M2="","",'字段对应'!$B$11&amp;"="&amp;VLOOKUP(M2,'基础信息'!$K$2:$L$6,2,0)&amp;";")&amp;IF(N2="","",'字段对应'!$C$2&amp;"="&amp;N2&amp;","&amp;O2&amp;","&amp;P2&amp;";")&amp;IF(Q2="","",'字段对应'!$B$13&amp;"="&amp;Q2&amp;";")&amp;IF(R2="","",'字段对应'!$B$14&amp;"="&amp;R2&amp;";")&amp;IF(U2="","",'字段对应'!$B$22&amp;"="&amp;U2&amp;";")&amp;IF(K2="","",'字段对应'!$B$21&amp;"="&amp;VLOOKUP(K2,'基础信息'!$F$2:$G$4,2,0))</f>
        <v>PhotoMode=2;ScanSpeed=2;WlRange=660,650,0.02;Gain=4;Slit1=2.0;LampPos=1</v>
      </c>
      <c s="52" t="str">
        <f>IF(W2="","",'检测项信息'!W2&amp;":"&amp;'字段对应'!$B$16&amp;"|")&amp;IF(X2="","",X2&amp;":"&amp;IF(V2="是",'字段对应'!$C$17,'字段对应'!$B$17&amp;";"&amp;IF(H2="","",'字段对应'!$B$15&amp;"="&amp;'检测项信息'!H2))&amp;"|")&amp;IF(Y2="",":",Y2&amp;":")&amp;IF(V2="是",'字段对应'!$C$18,'字段对应'!$B$18&amp;";"&amp;IF(H2="","",'字段对应'!$B$15&amp;"="&amp;'检测项信息'!H2)&amp;IF(AND(T2="",S2=""),"",";"&amp;'字段对应'!$B$20&amp;"="&amp;T2&amp;";"&amp;'字段对应'!$B$19&amp;"="&amp;S2))</f>
        <v>空气:Scan</v>
      </c>
      <c s="52">
        <v>3</v>
      </c>
      <c s="52">
        <v>1</v>
      </c>
      <c s="52" t="s">
        <v>113</v>
      </c>
      <c s="52" t="str">
        <f>VLOOKUP(J2,'字段对应'!$D$2:$E$8,2,0)</f>
        <v>Validation.ViewModel.DataStructure.FindPeakAndAverageUVTestTool</v>
      </c>
      <c s="52" t="s">
        <v>110</v>
      </c>
      <c s="77" t="s">
        <v>16</v>
      </c>
      <c s="77" t="s">
        <v>75</v>
      </c>
      <c s="77" t="s">
        <v>76</v>
      </c>
      <c s="77">
        <v>660</v>
      </c>
      <c s="77">
        <v>650</v>
      </c>
      <c s="77">
        <v>0.02</v>
      </c>
      <c s="77">
        <v>4</v>
      </c>
      <c s="77" t="s">
        <v>225</v>
      </c>
      <c s="77"/>
      <c s="77"/>
      <c s="77"/>
      <c s="52" t="s">
        <v>65</v>
      </c>
      <c s="52"/>
      <c s="52"/>
      <c s="52" t="s">
        <v>112</v>
      </c>
      <c s="52">
        <f>VLOOKUP(A2,'对应信息'!$D$2:$E$10,2,0)</f>
        <v>1E+3</v>
      </c>
      <c s="52">
        <f ref="AA2:AA23" t="shared" si="0">IF(Z1=Z2,AA1+1,Z2+1)</f>
        <v>1001</v>
      </c>
      <c s="119"/>
    </row>
    <row r="3" ht="44.25" customHeight="1">
      <c r="A3" s="52" t="s">
        <v>108</v>
      </c>
      <c s="116" t="s">
        <v>317</v>
      </c>
      <c s="343"/>
      <c s="52" t="str">
        <f>IF(L3="","",'字段对应'!$B$10&amp;"="&amp;VLOOKUP(L3,'基础信息'!$I$2:$J$6,2,0)&amp;";")&amp;IF(M3="","",'字段对应'!$B$11&amp;"="&amp;VLOOKUP(M3,'基础信息'!$K$2:$L$6,2,0)&amp;";")&amp;IF(N3="","",'字段对应'!$C$2&amp;"="&amp;N3&amp;","&amp;O3&amp;","&amp;P3&amp;";")&amp;IF(Q3="","",'字段对应'!$B$13&amp;"="&amp;Q3&amp;";")&amp;IF(R3="","",'字段对应'!$B$14&amp;"="&amp;R3&amp;";")&amp;IF(U3="","",'字段对应'!$B$22&amp;"="&amp;U3&amp;";")&amp;IF(K3="","",'字段对应'!$B$21&amp;"="&amp;VLOOKUP(K3,'基础信息'!$F$2:$G$4,2,0))</f>
        <v>PhotoMode=2;ScanSpeed=2;WlRange=490,480,0.02;Gain=4;Slit1=2.0;LampPos=1</v>
      </c>
      <c s="52" t="str">
        <f>IF(W3="","",'检测项信息'!W3&amp;":"&amp;'字段对应'!$B$16&amp;"|")&amp;IF(X3="","",X3&amp;":"&amp;IF(V3="是",'字段对应'!$C$17,'字段对应'!$B$17&amp;";"&amp;IF(H3="","",'字段对应'!$B$15&amp;"="&amp;'检测项信息'!H3))&amp;"|")&amp;IF(Y3="",":",Y3&amp;":")&amp;IF(V3="是",'字段对应'!$C$18,'字段对应'!$B$18&amp;";"&amp;IF(H3="","",'字段对应'!$B$15&amp;"="&amp;'检测项信息'!H3)&amp;IF(AND(T3="",S3=""),"",";"&amp;'字段对应'!$B$20&amp;"="&amp;T3&amp;";"&amp;'字段对应'!$B$19&amp;"="&amp;S3))</f>
        <v>空气:Scan</v>
      </c>
      <c s="52">
        <v>3</v>
      </c>
      <c s="52">
        <v>1</v>
      </c>
      <c s="116">
        <v>486</v>
      </c>
      <c s="52" t="str">
        <f>VLOOKUP(J3,'字段对应'!$D$2:$E$8,2,0)</f>
        <v>Validation.ViewModel.DataStructure.FindPeakAndAverageUVTestTool</v>
      </c>
      <c s="52" t="s">
        <v>110</v>
      </c>
      <c s="77" t="s">
        <v>16</v>
      </c>
      <c s="77" t="s">
        <v>75</v>
      </c>
      <c s="77" t="s">
        <v>76</v>
      </c>
      <c s="77">
        <v>490</v>
      </c>
      <c s="77">
        <v>480</v>
      </c>
      <c s="77">
        <v>0.02</v>
      </c>
      <c s="77">
        <v>4</v>
      </c>
      <c s="77" t="s">
        <v>225</v>
      </c>
      <c s="77"/>
      <c s="77"/>
      <c s="77"/>
      <c s="52" t="s">
        <v>65</v>
      </c>
      <c s="52"/>
      <c s="52"/>
      <c s="52" t="s">
        <v>112</v>
      </c>
      <c s="52">
        <f>VLOOKUP(A3,'对应信息'!$D$2:$E$10,2,0)</f>
        <v>1E+3</v>
      </c>
      <c s="52">
        <f t="shared" si="0"/>
        <v>1002</v>
      </c>
      <c s="119"/>
    </row>
    <row r="4" ht="46.5" customHeight="1">
      <c r="A4" s="52" t="s">
        <v>108</v>
      </c>
      <c s="52" t="s">
        <v>15</v>
      </c>
      <c s="52"/>
      <c s="52" t="str">
        <f>IF(L4="","",'字段对应'!$B$10&amp;"="&amp;VLOOKUP(L4,'基础信息'!$I$2:$J$6,2,0)&amp;";")&amp;IF(M4="","",'字段对应'!$B$11&amp;"="&amp;VLOOKUP(M4,'基础信息'!$K$2:$L$6,2,0)&amp;";")&amp;IF(N4="","",'字段对应'!$C$2&amp;"="&amp;N4&amp;","&amp;O4&amp;","&amp;P4&amp;";")&amp;IF(Q4="","",'字段对应'!$B$13&amp;"="&amp;Q4&amp;";")&amp;IF(R4="","",'字段对应'!$B$14&amp;"="&amp;R4&amp;";")&amp;IF(U4="","",'字段对应'!$B$22&amp;"="&amp;U4&amp;";")&amp;IF(K4="","",'字段对应'!$B$21&amp;"="&amp;VLOOKUP(K4,'基础信息'!$F$2:$G$4,2,0))</f>
        <v>PhotoMode=0;ScanSpeed=2;WlRange=810,800,0.1;Slit1=2.0;</v>
      </c>
      <c s="52" t="str">
        <f>IF(W4="","",'检测项信息'!W4&amp;":"&amp;'字段对应'!$B$16&amp;"|")&amp;IF(X4="","",X4&amp;":"&amp;IF(V4="是",'字段对应'!$C$17,'字段对应'!$B$17&amp;";"&amp;IF(H4="","",'字段对应'!$B$15&amp;"="&amp;'检测项信息'!H4))&amp;"|")&amp;IF(Y4="",":",Y4&amp;":")&amp;IF(V4="是",'字段对应'!$C$18,'字段对应'!$B$18&amp;";"&amp;IF(H4="","",'字段对应'!$B$15&amp;"="&amp;'检测项信息'!H4)&amp;IF(AND(T4="",S4=""),"",";"&amp;'字段对应'!$B$20&amp;"="&amp;T4&amp;";"&amp;'字段对应'!$B$19&amp;"="&amp;S4))</f>
        <v>黑挡块:Dark|空气:BaseLine|镨钕滤光片:Scan</v>
      </c>
      <c s="52">
        <v>3</v>
      </c>
      <c s="52">
        <v>1</v>
      </c>
      <c s="52" t="s">
        <v>109</v>
      </c>
      <c s="52" t="str">
        <f>VLOOKUP(J4,'字段对应'!$D$2:$E$8,2,0)</f>
        <v>Validation.ViewModel.DataStructure.FindPeakAndAverageUVTestTool</v>
      </c>
      <c s="52" t="s">
        <v>110</v>
      </c>
      <c s="77"/>
      <c s="77" t="s">
        <v>66</v>
      </c>
      <c s="77" t="s">
        <v>76</v>
      </c>
      <c s="77">
        <v>810</v>
      </c>
      <c s="77">
        <v>800</v>
      </c>
      <c s="77">
        <v>0.1</v>
      </c>
      <c s="77"/>
      <c s="77" t="s">
        <v>225</v>
      </c>
      <c s="77"/>
      <c s="77"/>
      <c s="77"/>
      <c s="52" t="s">
        <v>65</v>
      </c>
      <c s="52" t="s">
        <v>111</v>
      </c>
      <c s="52" t="s">
        <v>112</v>
      </c>
      <c s="52" t="s">
        <v>15</v>
      </c>
      <c s="52">
        <f>VLOOKUP(A4,'对应信息'!$D$2:$E$10,2,0)</f>
        <v>1E+3</v>
      </c>
      <c s="52">
        <f t="shared" si="0"/>
        <v>1003</v>
      </c>
      <c s="119"/>
    </row>
    <row r="5" ht="44.25" customHeight="1">
      <c r="A5" s="52" t="s">
        <v>108</v>
      </c>
      <c s="116" t="s">
        <v>193</v>
      </c>
      <c s="52"/>
      <c s="52" t="str">
        <f>IF(L5="","",'字段对应'!$B$10&amp;"="&amp;VLOOKUP(L5,'基础信息'!$I$2:$J$6,2,0)&amp;";")&amp;IF(M5="","",'字段对应'!$B$11&amp;"="&amp;VLOOKUP(M5,'基础信息'!$K$2:$L$6,2,0)&amp;";")&amp;IF(N5="","",'字段对应'!$C$2&amp;"="&amp;N5&amp;","&amp;O5&amp;","&amp;P5&amp;";")&amp;IF(Q5="","",'字段对应'!$B$13&amp;"="&amp;Q5&amp;";")&amp;IF(R5="","",'字段对应'!$B$14&amp;"="&amp;R5&amp;";")&amp;IF(U5="","",'字段对应'!$B$22&amp;"="&amp;U5&amp;";")&amp;IF(K5="","",'字段对应'!$B$21&amp;"="&amp;VLOOKUP(K5,'基础信息'!$F$2:$G$4,2,0))</f>
        <v>PhotoMode=0;ScanSpeed=2;WlRange=645,235,0.1;Slit1=2.0;</v>
      </c>
      <c s="52" t="str">
        <f>IF(W5="","",'检测项信息'!W5&amp;":"&amp;'字段对应'!$B$16&amp;"|")&amp;IF(X5="","",X5&amp;":"&amp;IF(V5="是",'字段对应'!$C$17,'字段对应'!$B$17&amp;";"&amp;IF(H5="","",'字段对应'!$B$15&amp;"="&amp;'检测项信息'!H5))&amp;"|")&amp;IF(Y5="",":",Y5&amp;":")&amp;IF(V5="是",'字段对应'!$C$18,'字段对应'!$B$18&amp;";"&amp;IF(H5="","",'字段对应'!$B$15&amp;"="&amp;'检测项信息'!H5)&amp;IF(AND(T5="",S5=""),"",";"&amp;'字段对应'!$B$20&amp;"="&amp;T5&amp;";"&amp;'字段对应'!$B$19&amp;"="&amp;S5))</f>
        <v>黑挡块:Dark|空气:BaseLine|钬溶液:Scan</v>
      </c>
      <c s="52">
        <v>3</v>
      </c>
      <c s="52">
        <v>1</v>
      </c>
      <c s="116" t="s">
        <v>349</v>
      </c>
      <c s="52" t="str">
        <f>VLOOKUP(J5,'字段对应'!$D$2:$E$8,2,0)</f>
        <v>Validation.ViewModel.DataStructure.FindPeakAndAverageUVTestTool</v>
      </c>
      <c s="52" t="s">
        <v>110</v>
      </c>
      <c s="344"/>
      <c s="77" t="s">
        <v>66</v>
      </c>
      <c s="77" t="s">
        <v>76</v>
      </c>
      <c s="77">
        <v>645</v>
      </c>
      <c s="77">
        <v>235</v>
      </c>
      <c s="77">
        <v>0.1</v>
      </c>
      <c s="77"/>
      <c s="77" t="s">
        <v>225</v>
      </c>
      <c s="77"/>
      <c s="77"/>
      <c s="77"/>
      <c s="52" t="s">
        <v>65</v>
      </c>
      <c s="52" t="s">
        <v>111</v>
      </c>
      <c s="52" t="s">
        <v>112</v>
      </c>
      <c s="52" t="s">
        <v>193</v>
      </c>
      <c s="52">
        <f>VLOOKUP(A5,'对应信息'!$D$2:$E$10,2,0)</f>
        <v>1E+3</v>
      </c>
      <c s="52">
        <f t="shared" si="0"/>
        <v>1004</v>
      </c>
      <c s="119"/>
    </row>
    <row r="6" ht="28.5">
      <c r="A6" s="342" t="s">
        <v>125</v>
      </c>
      <c s="116" t="s">
        <v>127</v>
      </c>
      <c s="52"/>
      <c s="52" t="str">
        <f>IF(L6="","",'字段对应'!$B$10&amp;"="&amp;VLOOKUP(L6,'基础信息'!$I$2:$J$6,2,0)&amp;";")&amp;IF(M6="","",'字段对应'!$B$11&amp;"="&amp;VLOOKUP(M6,'基础信息'!$K$2:$L$6,2,0)&amp;";")&amp;IF(N6="","",'字段对应'!$C$2&amp;"="&amp;N6&amp;","&amp;O6&amp;","&amp;P6&amp;";")&amp;IF(Q6="","",'字段对应'!$B$13&amp;"="&amp;Q6&amp;";")&amp;IF(R6="","",'字段对应'!$B$14&amp;"="&amp;R6&amp;";")&amp;IF(U6="","",'字段对应'!$B$22&amp;"="&amp;U6&amp;";")&amp;IF(K6="","",'字段对应'!$B$21&amp;"="&amp;VLOOKUP(K6,'基础信息'!$F$2:$G$4,2,0))</f>
        <v>PhotoMode=2;ScanSpeed=2;WlRange=660,650,0.1;Gain=4;Slit1=2.0;LampPos=1</v>
      </c>
      <c s="52" t="str">
        <f>IF(W6="","",'检测项信息'!W6&amp;":"&amp;'字段对应'!$B$16&amp;"|")&amp;IF(X6="","",X6&amp;":"&amp;IF(V6="是",'字段对应'!$C$17,'字段对应'!$B$17&amp;";"&amp;IF(H6="","",'字段对应'!$B$15&amp;"="&amp;'检测项信息'!H6))&amp;"|")&amp;IF(Y6="",":",Y6&amp;":")&amp;IF(V6="是",'字段对应'!$C$18,'字段对应'!$B$18&amp;";"&amp;IF(H6="","",'字段对应'!$B$15&amp;"="&amp;'检测项信息'!H6)&amp;IF(AND(T6="",S6=""),"",";"&amp;'字段对应'!$B$20&amp;"="&amp;T6&amp;";"&amp;'字段对应'!$B$19&amp;"="&amp;S6))</f>
        <v>空气:Scan</v>
      </c>
      <c s="52">
        <v>1</v>
      </c>
      <c s="52"/>
      <c s="52">
        <v>656.1</v>
      </c>
      <c s="52" t="str">
        <f>VLOOKUP(J6,'字段对应'!$D$2:$E$8,2,0)</f>
        <v>Validation.ViewModel.DataStructure.FindHalfPeakUVTestTool</v>
      </c>
      <c s="52" t="s">
        <v>126</v>
      </c>
      <c s="77" t="s">
        <v>16</v>
      </c>
      <c s="77" t="s">
        <v>75</v>
      </c>
      <c s="77" t="s">
        <v>76</v>
      </c>
      <c s="77">
        <v>660</v>
      </c>
      <c s="77">
        <v>650</v>
      </c>
      <c s="77">
        <v>0.1</v>
      </c>
      <c s="77">
        <v>4</v>
      </c>
      <c s="77" t="s">
        <v>225</v>
      </c>
      <c s="77"/>
      <c s="77"/>
      <c s="77"/>
      <c s="52" t="s">
        <v>65</v>
      </c>
      <c s="52"/>
      <c s="52"/>
      <c s="52" t="s">
        <v>112</v>
      </c>
      <c s="52">
        <f>VLOOKUP(A6,'对应信息'!$D$2:$E$10,2,0)</f>
        <v>6E+3</v>
      </c>
      <c s="52">
        <f t="shared" si="0"/>
        <v>6001</v>
      </c>
      <c s="107" t="s">
        <v>225</v>
      </c>
    </row>
    <row r="7" ht="28.5">
      <c r="A7" s="52" t="s">
        <v>122</v>
      </c>
      <c s="116" t="s">
        <v>25</v>
      </c>
      <c s="52"/>
      <c s="52" t="str">
        <f>IF(L7="","",'字段对应'!$B$10&amp;"="&amp;VLOOKUP(L7,'基础信息'!$I$2:$J$6,2,0)&amp;";")&amp;IF(M7="","",'字段对应'!$B$11&amp;"="&amp;VLOOKUP(M7,'基础信息'!$K$2:$L$6,2,0)&amp;";")&amp;IF(N7="","",'字段对应'!$C$2&amp;"="&amp;N7&amp;","&amp;O7&amp;","&amp;P7&amp;";")&amp;IF(Q7="","",'字段对应'!$B$13&amp;"="&amp;Q7&amp;";")&amp;IF(R7="","",'字段对应'!$B$14&amp;"="&amp;R7&amp;";")&amp;IF(U7="","",'字段对应'!$B$22&amp;"="&amp;U7&amp;";")&amp;IF(K7="","",'字段对应'!$B$21&amp;"="&amp;VLOOKUP(K7,'基础信息'!$F$2:$G$4,2,0))</f>
        <v>PhotoMode=0;ScanSpeed=2;WlRange=1090,200,1;Slit1=2.0;</v>
      </c>
      <c s="52" t="str">
        <f>IF(W7="","",'检测项信息'!W7&amp;":"&amp;'字段对应'!$B$16&amp;"|")&amp;IF(X7="","",X7&amp;":"&amp;IF(V7="是",'字段对应'!$C$17,'字段对应'!$B$17&amp;";"&amp;IF(H7="","",'字段对应'!$B$15&amp;"="&amp;'检测项信息'!H7))&amp;"|")&amp;IF(Y7="",":",Y7&amp;":")&amp;IF(V7="是",'字段对应'!$C$18,'字段对应'!$B$18&amp;";"&amp;IF(H7="","",'字段对应'!$B$15&amp;"="&amp;'检测项信息'!H7)&amp;IF(AND(T7="",S7=""),"",";"&amp;'字段对应'!$B$20&amp;"="&amp;T7&amp;";"&amp;'字段对应'!$B$19&amp;"="&amp;S7))</f>
        <v>黑挡块:Dark|空气:BaseLine|空气:Scan</v>
      </c>
      <c s="52">
        <v>1</v>
      </c>
      <c s="52"/>
      <c s="52"/>
      <c s="52" t="str">
        <f>VLOOKUP(J7,'字段对应'!$D$2:$E$8,2,0)</f>
        <v>Validation.ViewModel.DataStructure.GetMaxDIstanceUVTestTool</v>
      </c>
      <c s="52" t="s">
        <v>123</v>
      </c>
      <c s="77"/>
      <c s="77" t="s">
        <v>66</v>
      </c>
      <c s="77" t="s">
        <v>76</v>
      </c>
      <c s="77">
        <v>1090</v>
      </c>
      <c s="77">
        <v>200</v>
      </c>
      <c s="77">
        <v>1</v>
      </c>
      <c s="77"/>
      <c s="77" t="s">
        <v>225</v>
      </c>
      <c s="77"/>
      <c s="77"/>
      <c s="77"/>
      <c s="52" t="s">
        <v>65</v>
      </c>
      <c s="52" t="s">
        <v>111</v>
      </c>
      <c s="52" t="s">
        <v>112</v>
      </c>
      <c s="52" t="s">
        <v>112</v>
      </c>
      <c s="52">
        <f>VLOOKUP(A7,'对应信息'!$D$2:$E$10,2,0)</f>
        <v>4E+3</v>
      </c>
      <c s="52">
        <f t="shared" si="0"/>
        <v>4001</v>
      </c>
      <c s="119"/>
    </row>
    <row r="8" ht="37.5" customHeight="1">
      <c r="A8" s="52" t="s">
        <v>124</v>
      </c>
      <c s="116" t="s">
        <v>27</v>
      </c>
      <c s="52"/>
      <c s="52" t="str">
        <f>IF(L8="","",'字段对应'!$B$10&amp;"="&amp;VLOOKUP(L8,'基础信息'!$I$2:$J$6,2,0)&amp;";")&amp;IF(M8="","",'字段对应'!$B$11&amp;"="&amp;VLOOKUP(M8,'基础信息'!$K$2:$L$6,2,0)&amp;";")&amp;IF(N8="","",'字段对应'!$C$2&amp;"="&amp;N8&amp;","&amp;O8&amp;","&amp;P8&amp;";")&amp;IF(Q8="","",'字段对应'!$B$13&amp;"="&amp;Q8&amp;";")&amp;IF(R8="","",'字段对应'!$B$14&amp;"="&amp;R8&amp;";")&amp;IF(U8="","",'字段对应'!$B$22&amp;"="&amp;U8&amp;";")&amp;IF(K8="","",'字段对应'!$B$21&amp;"="&amp;VLOOKUP(K8,'基础信息'!$F$2:$G$4,2,0))</f>
        <v>PhotoMode=1;ScanSpeed=2;WlRange=1090,200,1;Slit1=2.0;</v>
      </c>
      <c s="52" t="str">
        <f>IF(W8="","",'检测项信息'!W8&amp;":"&amp;'字段对应'!$B$16&amp;"|")&amp;IF(X8="","",X8&amp;":"&amp;IF(V8="是",'字段对应'!$C$17,'字段对应'!$B$17&amp;";"&amp;IF(H8="","",'字段对应'!$B$15&amp;"="&amp;'检测项信息'!H8))&amp;"|")&amp;IF(Y8="",":",Y8&amp;":")&amp;IF(V8="是",'字段对应'!$C$18,'字段对应'!$B$18&amp;";"&amp;IF(H8="","",'字段对应'!$B$15&amp;"="&amp;'检测项信息'!H8)&amp;IF(AND(T8="",S8=""),"",";"&amp;'字段对应'!$B$20&amp;"="&amp;T8&amp;";"&amp;'字段对应'!$B$19&amp;"="&amp;S8))</f>
        <v>黑挡块:Dark|空气:BaseLine|黑挡块:Scan</v>
      </c>
      <c s="52">
        <v>1</v>
      </c>
      <c s="52"/>
      <c s="52"/>
      <c s="52" t="str">
        <f>VLOOKUP(J8,'字段对应'!$D$2:$E$8,2,0)</f>
        <v>Validation.ViewModel.DataStructure.GetMaxDIstanceUVTestTool</v>
      </c>
      <c s="52" t="s">
        <v>123</v>
      </c>
      <c s="77"/>
      <c s="77" t="s">
        <v>71</v>
      </c>
      <c s="77" t="s">
        <v>76</v>
      </c>
      <c s="77">
        <v>1090</v>
      </c>
      <c s="77">
        <v>200</v>
      </c>
      <c s="77">
        <v>1</v>
      </c>
      <c s="77"/>
      <c s="77" t="s">
        <v>225</v>
      </c>
      <c s="77"/>
      <c s="77"/>
      <c s="77"/>
      <c s="52" t="s">
        <v>65</v>
      </c>
      <c s="52" t="s">
        <v>111</v>
      </c>
      <c s="52" t="s">
        <v>112</v>
      </c>
      <c s="116" t="s">
        <v>111</v>
      </c>
      <c s="52">
        <f>VLOOKUP(A8,'对应信息'!$D$2:$E$10,2,0)</f>
        <v>5E+3</v>
      </c>
      <c s="52">
        <f t="shared" si="0"/>
        <v>5001</v>
      </c>
      <c s="119"/>
    </row>
    <row r="9" ht="51" customHeight="1">
      <c r="A9" s="52" t="s">
        <v>128</v>
      </c>
      <c s="52" t="s">
        <v>129</v>
      </c>
      <c s="52"/>
      <c s="52" t="str">
        <f>IF(L9="","",'字段对应'!$B$10&amp;"="&amp;VLOOKUP(L9,'基础信息'!$I$2:$J$6,2,0)&amp;";")&amp;IF(M9="","",'字段对应'!$B$11&amp;"="&amp;VLOOKUP(M9,'基础信息'!$K$2:$L$6,2,0)&amp;";")&amp;IF(N9="","",'字段对应'!$C$2&amp;"="&amp;N9&amp;","&amp;O9&amp;","&amp;P9&amp;";")&amp;IF(Q9="","",'字段对应'!$B$13&amp;"="&amp;Q9&amp;";")&amp;IF(R9="","",'字段对应'!$B$14&amp;"="&amp;R9&amp;";")&amp;IF(U9="","",'字段对应'!$B$22&amp;"="&amp;U9&amp;";")&amp;IF(K9="","",'字段对应'!$B$21&amp;"="&amp;VLOOKUP(K9,'基础信息'!$F$2:$G$4,2,0))</f>
        <v>PhotoMode=1;ScanSpeed=2;Slit1=2.0;ResponseTime=1;</v>
      </c>
      <c s="52" t="str">
        <f>IF(W9="","",'检测项信息'!W9&amp;":"&amp;'字段对应'!$B$16&amp;"|")&amp;IF(X9="","",X9&amp;":"&amp;IF(V9="是",'字段对应'!$C$17,'字段对应'!$B$17&amp;";"&amp;IF(H9="","",'字段对应'!$B$15&amp;"="&amp;'检测项信息'!H9))&amp;"|")&amp;IF(Y9="",":",Y9&amp;":")&amp;IF(V9="是",'字段对应'!$C$18,'字段对应'!$B$18&amp;";"&amp;IF(H9="","",'字段对应'!$B$15&amp;"="&amp;'检测项信息'!H9)&amp;IF(AND(T9="",S9=""),"",";"&amp;'字段对应'!$B$20&amp;"="&amp;T9&amp;";"&amp;'字段对应'!$B$19&amp;"="&amp;S9))</f>
        <v>黑挡块:Dark|空气:Zero;Wl=500|空气:Measure;Wl=500;totalcount=120;timeinterval=1</v>
      </c>
      <c s="52">
        <v>1</v>
      </c>
      <c s="52"/>
      <c s="52">
        <v>500</v>
      </c>
      <c s="52" t="str">
        <f>VLOOKUP(J9,'字段对应'!$D$2:$E$8,2,0)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120</v>
      </c>
      <c s="77">
        <v>1</v>
      </c>
      <c s="52" t="s">
        <v>69</v>
      </c>
      <c s="52" t="s">
        <v>111</v>
      </c>
      <c s="52" t="s">
        <v>112</v>
      </c>
      <c s="52" t="s">
        <v>112</v>
      </c>
      <c s="52">
        <f>VLOOKUP(A9,'对应信息'!$D$2:$E$10,2,0)</f>
        <v>7E+3</v>
      </c>
      <c s="52">
        <f t="shared" si="0"/>
        <v>7001</v>
      </c>
      <c s="119"/>
    </row>
    <row r="10" ht="43.5">
      <c r="A10" s="52" t="s">
        <v>128</v>
      </c>
      <c s="52" t="s">
        <v>130</v>
      </c>
      <c s="52"/>
      <c s="52" t="str">
        <f>IF(L10="","",'字段对应'!$B$10&amp;"="&amp;VLOOKUP(L10,'基础信息'!$I$2:$J$6,2,0)&amp;";")&amp;IF(M10="","",'字段对应'!$B$11&amp;"="&amp;VLOOKUP(M10,'基础信息'!$K$2:$L$6,2,0)&amp;";")&amp;IF(N10="","",'字段对应'!$C$2&amp;"="&amp;N10&amp;","&amp;O10&amp;","&amp;P10&amp;";")&amp;IF(Q10="","",'字段对应'!$B$13&amp;"="&amp;Q10&amp;";")&amp;IF(R10="","",'字段对应'!$B$14&amp;"="&amp;R10&amp;";")&amp;IF(U10="","",'字段对应'!$B$22&amp;"="&amp;U10&amp;";")&amp;IF(K10="","",'字段对应'!$B$21&amp;"="&amp;VLOOKUP(K10,'基础信息'!$F$2:$G$4,2,0))</f>
        <v>PhotoMode=1;ScanSpeed=2;Slit1=2.0;ResponseTime=1;</v>
      </c>
      <c s="52" t="str">
        <f>IF(W10="","",'检测项信息'!W10&amp;":"&amp;'字段对应'!$B$16&amp;"|")&amp;IF(X10="","",X10&amp;":"&amp;IF(V10="是",'字段对应'!$C$17,'字段对应'!$B$17&amp;";"&amp;IF(H10="","",'字段对应'!$B$15&amp;"="&amp;'检测项信息'!H10))&amp;"|")&amp;IF(Y10="",":",Y10&amp;":")&amp;IF(V10="是",'字段对应'!$C$18,'字段对应'!$B$18&amp;";"&amp;IF(H10="","",'字段对应'!$B$15&amp;"="&amp;'检测项信息'!H10)&amp;IF(AND(T10="",S10=""),"",";"&amp;'字段对应'!$B$20&amp;"="&amp;T10&amp;";"&amp;'字段对应'!$B$19&amp;"="&amp;S10))</f>
        <v>黑挡块:Dark|空气:Zero;Wl=500|黑挡块:Measure;Wl=500;totalcount=120;timeinterval=1</v>
      </c>
      <c s="52">
        <v>1</v>
      </c>
      <c s="52"/>
      <c s="52">
        <v>500</v>
      </c>
      <c s="52" t="str">
        <f>VLOOKUP(J10,'字段对应'!$D$2:$E$8,2,0)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120</v>
      </c>
      <c s="77">
        <v>1</v>
      </c>
      <c s="52" t="s">
        <v>69</v>
      </c>
      <c s="52" t="s">
        <v>111</v>
      </c>
      <c s="52" t="s">
        <v>112</v>
      </c>
      <c s="116" t="s">
        <v>111</v>
      </c>
      <c s="52">
        <f>VLOOKUP(A10,'对应信息'!$D$2:$E$10,2,0)</f>
        <v>7E+3</v>
      </c>
      <c s="52">
        <f t="shared" si="0"/>
        <v>7002</v>
      </c>
      <c s="119"/>
    </row>
    <row r="11" ht="43.5">
      <c r="A11" s="52" t="s">
        <v>128</v>
      </c>
      <c s="52" t="s">
        <v>131</v>
      </c>
      <c s="52"/>
      <c s="52" t="str">
        <f>IF(L11="","",'字段对应'!$B$10&amp;"="&amp;VLOOKUP(L11,'基础信息'!$I$2:$J$6,2,0)&amp;";")&amp;IF(M11="","",'字段对应'!$B$11&amp;"="&amp;VLOOKUP(M11,'基础信息'!$K$2:$L$6,2,0)&amp;";")&amp;IF(N11="","",'字段对应'!$C$2&amp;"="&amp;N11&amp;","&amp;O11&amp;","&amp;P11&amp;";")&amp;IF(Q11="","",'字段对应'!$B$13&amp;"="&amp;Q11&amp;";")&amp;IF(R11="","",'字段对应'!$B$14&amp;"="&amp;R11&amp;";")&amp;IF(U11="","",'字段对应'!$B$22&amp;"="&amp;U11&amp;";")&amp;IF(K11="","",'字段对应'!$B$21&amp;"="&amp;VLOOKUP(K11,'基础信息'!$F$2:$G$4,2,0))</f>
        <v>PhotoMode=1;ScanSpeed=2;Slit1=2.0;ResponseTime=1;</v>
      </c>
      <c s="52" t="str">
        <f>IF(W11="","",'检测项信息'!W11&amp;":"&amp;'字段对应'!$B$16&amp;"|")&amp;IF(X11="","",X11&amp;":"&amp;IF(V11="是",'字段对应'!$C$17,'字段对应'!$B$17&amp;";"&amp;IF(H11="","",'字段对应'!$B$15&amp;"="&amp;'检测项信息'!H11))&amp;"|")&amp;IF(Y11="",":",Y11&amp;":")&amp;IF(V11="是",'字段对应'!$C$18,'字段对应'!$B$18&amp;";"&amp;IF(H11="","",'字段对应'!$B$15&amp;"="&amp;'检测项信息'!H11)&amp;IF(AND(T11="",S11=""),"",";"&amp;'字段对应'!$B$20&amp;"="&amp;T11&amp;";"&amp;'字段对应'!$B$19&amp;"="&amp;S11))</f>
        <v>黑挡块:Dark|空气:Zero;Wl=250|空气:Measure;Wl=250;totalcount=120;timeinterval=1</v>
      </c>
      <c s="52">
        <v>1</v>
      </c>
      <c s="52"/>
      <c s="52">
        <v>250</v>
      </c>
      <c s="52" t="str">
        <f>VLOOKUP(J11,'字段对应'!$D$2:$E$8,2,0)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120</v>
      </c>
      <c s="77">
        <v>1</v>
      </c>
      <c s="52" t="s">
        <v>69</v>
      </c>
      <c s="52" t="s">
        <v>111</v>
      </c>
      <c s="52" t="s">
        <v>112</v>
      </c>
      <c s="52" t="s">
        <v>112</v>
      </c>
      <c s="52">
        <f>VLOOKUP(A11,'对应信息'!$D$2:$E$10,2,0)</f>
        <v>7E+3</v>
      </c>
      <c s="52">
        <f t="shared" si="0"/>
        <v>7003</v>
      </c>
      <c s="119"/>
    </row>
    <row r="12" ht="43.5">
      <c r="A12" s="52" t="s">
        <v>128</v>
      </c>
      <c s="52" t="s">
        <v>132</v>
      </c>
      <c s="52"/>
      <c s="52" t="str">
        <f>IF(L12="","",'字段对应'!$B$10&amp;"="&amp;VLOOKUP(L12,'基础信息'!$I$2:$J$6,2,0)&amp;";")&amp;IF(M12="","",'字段对应'!$B$11&amp;"="&amp;VLOOKUP(M12,'基础信息'!$K$2:$L$6,2,0)&amp;";")&amp;IF(N12="","",'字段对应'!$C$2&amp;"="&amp;N12&amp;","&amp;O12&amp;","&amp;P12&amp;";")&amp;IF(Q12="","",'字段对应'!$B$13&amp;"="&amp;Q12&amp;";")&amp;IF(R12="","",'字段对应'!$B$14&amp;"="&amp;R12&amp;";")&amp;IF(U12="","",'字段对应'!$B$22&amp;"="&amp;U12&amp;";")&amp;IF(K12="","",'字段对应'!$B$21&amp;"="&amp;VLOOKUP(K12,'基础信息'!$F$2:$G$4,2,0))</f>
        <v>PhotoMode=1;ScanSpeed=2;Slit1=2.0;ResponseTime=1;</v>
      </c>
      <c s="52" t="str">
        <f>IF(W12="","",'检测项信息'!W12&amp;":"&amp;'字段对应'!$B$16&amp;"|")&amp;IF(X12="","",X12&amp;":"&amp;IF(V12="是",'字段对应'!$C$17,'字段对应'!$B$17&amp;";"&amp;IF(H12="","",'字段对应'!$B$15&amp;"="&amp;'检测项信息'!H12))&amp;"|")&amp;IF(Y12="",":",Y12&amp;":")&amp;IF(V12="是",'字段对应'!$C$18,'字段对应'!$B$18&amp;";"&amp;IF(H12="","",'字段对应'!$B$15&amp;"="&amp;'检测项信息'!H12)&amp;IF(AND(T12="",S12=""),"",";"&amp;'字段对应'!$B$20&amp;"="&amp;T12&amp;";"&amp;'字段对应'!$B$19&amp;"="&amp;S12))</f>
        <v>黑挡块:Dark|空气:Zero;Wl=250|黑挡块:Measure;Wl=250;totalcount=120;timeinterval=1</v>
      </c>
      <c s="52">
        <v>1</v>
      </c>
      <c s="52"/>
      <c s="52">
        <v>250</v>
      </c>
      <c s="52" t="str">
        <f>VLOOKUP(J12,'字段对应'!$D$2:$E$8,2,0)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120</v>
      </c>
      <c s="77">
        <v>1</v>
      </c>
      <c s="52" t="s">
        <v>69</v>
      </c>
      <c s="52" t="s">
        <v>111</v>
      </c>
      <c s="52" t="s">
        <v>112</v>
      </c>
      <c s="116" t="s">
        <v>111</v>
      </c>
      <c s="52">
        <f>VLOOKUP(A12,'对应信息'!$D$2:$E$10,2,0)</f>
        <v>7E+3</v>
      </c>
      <c s="52">
        <f t="shared" si="0"/>
        <v>7004</v>
      </c>
      <c s="119"/>
    </row>
    <row r="13" ht="43.5">
      <c r="A13" s="52" t="s">
        <v>133</v>
      </c>
      <c s="52" t="s">
        <v>134</v>
      </c>
      <c s="52"/>
      <c s="52" t="str">
        <f>IF(L13="","",'字段对应'!$B$10&amp;"="&amp;VLOOKUP(L13,'基础信息'!$I$2:$J$6,2,0)&amp;";")&amp;IF(M13="","",'字段对应'!$B$11&amp;"="&amp;VLOOKUP(M13,'基础信息'!$K$2:$L$6,2,0)&amp;";")&amp;IF(N13="","",'字段对应'!$C$2&amp;"="&amp;N13&amp;","&amp;O13&amp;","&amp;P13&amp;";")&amp;IF(Q13="","",'字段对应'!$B$13&amp;"="&amp;Q13&amp;";")&amp;IF(R13="","",'字段对应'!$B$14&amp;"="&amp;R13&amp;";")&amp;IF(U13="","",'字段对应'!$B$22&amp;"="&amp;U13&amp;";")&amp;IF(K13="","",'字段对应'!$B$21&amp;"="&amp;VLOOKUP(K13,'基础信息'!$F$2:$G$4,2,0))</f>
        <v>PhotoMode=1;ScanSpeed=2;Slit1=2.0;ResponseTime=1;</v>
      </c>
      <c s="52" t="str">
        <f>IF(W13="","",'检测项信息'!W13&amp;":"&amp;'字段对应'!$B$16&amp;"|")&amp;IF(X13="","",X13&amp;":"&amp;IF(V13="是",'字段对应'!$C$17,'字段对应'!$B$17&amp;";"&amp;IF(H13="","",'字段对应'!$B$15&amp;"="&amp;'检测项信息'!H13))&amp;"|")&amp;IF(Y13="",":",Y13&amp;":")&amp;IF(V13="是",'字段对应'!$C$18,'字段对应'!$B$18&amp;";"&amp;IF(H13="","",'字段对应'!$B$15&amp;"="&amp;'检测项信息'!H13)&amp;IF(AND(T13="",S13=""),"",";"&amp;'字段对应'!$B$20&amp;"="&amp;T13&amp;";"&amp;'字段对应'!$B$19&amp;"="&amp;S13))</f>
        <v>黑挡块:Dark|空气:Zero;Wl=1090|空气:Measure;Wl=1090;totalcount=180;timeinterval=1</v>
      </c>
      <c s="52">
        <v>1</v>
      </c>
      <c s="52"/>
      <c s="52">
        <v>1090</v>
      </c>
      <c s="52" t="str">
        <f>VLOOKUP(J13,'字段对应'!$D$2:$E$8,2,0)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180</v>
      </c>
      <c s="77">
        <v>1</v>
      </c>
      <c s="52" t="s">
        <v>69</v>
      </c>
      <c s="52" t="s">
        <v>111</v>
      </c>
      <c s="52" t="s">
        <v>112</v>
      </c>
      <c s="52" t="s">
        <v>112</v>
      </c>
      <c s="52">
        <f>VLOOKUP(A13,'对应信息'!$D$2:$E$10,2,0)</f>
        <v>8E+3</v>
      </c>
      <c s="52">
        <f t="shared" si="0"/>
        <v>8001</v>
      </c>
      <c s="119"/>
    </row>
    <row r="14" ht="43.5">
      <c r="A14" s="52" t="s">
        <v>133</v>
      </c>
      <c s="52" t="s">
        <v>135</v>
      </c>
      <c s="52"/>
      <c s="52" t="str">
        <f>IF(L14="","",'字段对应'!$B$10&amp;"="&amp;VLOOKUP(L14,'基础信息'!$I$2:$J$6,2,0)&amp;";")&amp;IF(M14="","",'字段对应'!$B$11&amp;"="&amp;VLOOKUP(M14,'基础信息'!$K$2:$L$6,2,0)&amp;";")&amp;IF(N14="","",'字段对应'!$C$2&amp;"="&amp;N14&amp;","&amp;O14&amp;","&amp;P14&amp;";")&amp;IF(Q14="","",'字段对应'!$B$13&amp;"="&amp;Q14&amp;";")&amp;IF(R14="","",'字段对应'!$B$14&amp;"="&amp;R14&amp;";")&amp;IF(U14="","",'字段对应'!$B$22&amp;"="&amp;U14&amp;";")&amp;IF(K14="","",'字段对应'!$B$21&amp;"="&amp;VLOOKUP(K14,'基础信息'!$F$2:$G$4,2,0))</f>
        <v>PhotoMode=1;ScanSpeed=2;Slit1=2.0;ResponseTime=1;</v>
      </c>
      <c s="52" t="str">
        <f>IF(W14="","",'检测项信息'!W14&amp;":"&amp;'字段对应'!$B$16&amp;"|")&amp;IF(X14="","",X14&amp;":"&amp;IF(V14="是",'字段对应'!$C$17,'字段对应'!$B$17&amp;";"&amp;IF(H14="","",'字段对应'!$B$15&amp;"="&amp;'检测项信息'!H14))&amp;"|")&amp;IF(Y14="",":",Y14&amp;":")&amp;IF(V14="是",'字段对应'!$C$18,'字段对应'!$B$18&amp;";"&amp;IF(H14="","",'字段对应'!$B$15&amp;"="&amp;'检测项信息'!H14)&amp;IF(AND(T14="",S14=""),"",";"&amp;'字段对应'!$B$20&amp;"="&amp;T14&amp;";"&amp;'字段对应'!$B$19&amp;"="&amp;S14))</f>
        <v>黑挡块:Dark|空气:Zero;Wl=1090|黑挡块:Measure;Wl=1090;totalcount=180;timeinterval=1</v>
      </c>
      <c s="52">
        <v>1</v>
      </c>
      <c s="52"/>
      <c s="52">
        <v>1090</v>
      </c>
      <c s="52" t="str">
        <f>VLOOKUP(J14,'字段对应'!$D$2:$E$8,2,0)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180</v>
      </c>
      <c s="77">
        <v>1</v>
      </c>
      <c s="52" t="s">
        <v>69</v>
      </c>
      <c s="52" t="s">
        <v>111</v>
      </c>
      <c s="52" t="s">
        <v>112</v>
      </c>
      <c s="116" t="s">
        <v>111</v>
      </c>
      <c s="52">
        <f>VLOOKUP(A14,'对应信息'!$D$2:$E$10,2,0)</f>
        <v>8E+3</v>
      </c>
      <c s="52">
        <f t="shared" si="0"/>
        <v>8002</v>
      </c>
      <c s="119"/>
    </row>
    <row r="15" ht="43.5">
      <c r="A15" s="52" t="s">
        <v>133</v>
      </c>
      <c s="52" t="s">
        <v>136</v>
      </c>
      <c s="52"/>
      <c s="52" t="str">
        <f>IF(L15="","",'字段对应'!$B$10&amp;"="&amp;VLOOKUP(L15,'基础信息'!$I$2:$J$6,2,0)&amp;";")&amp;IF(M15="","",'字段对应'!$B$11&amp;"="&amp;VLOOKUP(M15,'基础信息'!$K$2:$L$6,2,0)&amp;";")&amp;IF(N15="","",'字段对应'!$C$2&amp;"="&amp;N15&amp;","&amp;O15&amp;","&amp;P15&amp;";")&amp;IF(Q15="","",'字段对应'!$B$13&amp;"="&amp;Q15&amp;";")&amp;IF(R15="","",'字段对应'!$B$14&amp;"="&amp;R15&amp;";")&amp;IF(U15="","",'字段对应'!$B$22&amp;"="&amp;U15&amp;";")&amp;IF(K15="","",'字段对应'!$B$21&amp;"="&amp;VLOOKUP(K15,'基础信息'!$F$2:$G$4,2,0))</f>
        <v>PhotoMode=1;ScanSpeed=2;Slit1=2.0;ResponseTime=1;</v>
      </c>
      <c s="52" t="str">
        <f>IF(W15="","",'检测项信息'!W15&amp;":"&amp;'字段对应'!$B$16&amp;"|")&amp;IF(X15="","",X15&amp;":"&amp;IF(V15="是",'字段对应'!$C$17,'字段对应'!$B$17&amp;";"&amp;IF(H15="","",'字段对应'!$B$15&amp;"="&amp;'检测项信息'!H15))&amp;"|")&amp;IF(Y15="",":",Y15&amp;":")&amp;IF(V15="是",'字段对应'!$C$18,'字段对应'!$B$18&amp;";"&amp;IF(H15="","",'字段对应'!$B$15&amp;"="&amp;'检测项信息'!H15)&amp;IF(AND(T15="",S15=""),"",";"&amp;'字段对应'!$B$20&amp;"="&amp;T15&amp;";"&amp;'字段对应'!$B$19&amp;"="&amp;S15))</f>
        <v>黑挡块:Dark|空气:Zero;Wl=200|空气:Measure;Wl=200;totalcount=180;timeinterval=1</v>
      </c>
      <c s="52">
        <v>1</v>
      </c>
      <c s="52"/>
      <c s="52">
        <v>200</v>
      </c>
      <c s="52" t="str">
        <f>VLOOKUP(J15,'字段对应'!$D$2:$E$8,2,0)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180</v>
      </c>
      <c s="77">
        <v>1</v>
      </c>
      <c s="52" t="s">
        <v>69</v>
      </c>
      <c s="52" t="s">
        <v>111</v>
      </c>
      <c s="52" t="s">
        <v>112</v>
      </c>
      <c s="52" t="s">
        <v>112</v>
      </c>
      <c s="52">
        <f>VLOOKUP(A15,'对应信息'!$D$2:$E$10,2,0)</f>
        <v>8E+3</v>
      </c>
      <c s="52">
        <f t="shared" si="0"/>
        <v>8003</v>
      </c>
      <c s="119"/>
    </row>
    <row r="16" ht="43.5">
      <c r="A16" s="52" t="s">
        <v>133</v>
      </c>
      <c s="52" t="s">
        <v>137</v>
      </c>
      <c s="52"/>
      <c s="52" t="str">
        <f>IF(L16="","",'字段对应'!$B$10&amp;"="&amp;VLOOKUP(L16,'基础信息'!$I$2:$J$6,2,0)&amp;";")&amp;IF(M16="","",'字段对应'!$B$11&amp;"="&amp;VLOOKUP(M16,'基础信息'!$K$2:$L$6,2,0)&amp;";")&amp;IF(N16="","",'字段对应'!$C$2&amp;"="&amp;N16&amp;","&amp;O16&amp;","&amp;P16&amp;";")&amp;IF(Q16="","",'字段对应'!$B$13&amp;"="&amp;Q16&amp;";")&amp;IF(R16="","",'字段对应'!$B$14&amp;"="&amp;R16&amp;";")&amp;IF(U16="","",'字段对应'!$B$22&amp;"="&amp;U16&amp;";")&amp;IF(K16="","",'字段对应'!$B$21&amp;"="&amp;VLOOKUP(K16,'基础信息'!$F$2:$G$4,2,0))</f>
        <v>PhotoMode=1;ScanSpeed=2;Slit1=2.0;ResponseTime=1;</v>
      </c>
      <c s="52" t="str">
        <f>IF(W16="","",'检测项信息'!W16&amp;":"&amp;'字段对应'!$B$16&amp;"|")&amp;IF(X16="","",X16&amp;":"&amp;IF(V16="是",'字段对应'!$C$17,'字段对应'!$B$17&amp;";"&amp;IF(H16="","",'字段对应'!$B$15&amp;"="&amp;'检测项信息'!H16))&amp;"|")&amp;IF(Y16="",":",Y16&amp;":")&amp;IF(V16="是",'字段对应'!$C$18,'字段对应'!$B$18&amp;";"&amp;IF(H16="","",'字段对应'!$B$15&amp;"="&amp;'检测项信息'!H16)&amp;IF(AND(T16="",S16=""),"",";"&amp;'字段对应'!$B$20&amp;"="&amp;T16&amp;";"&amp;'字段对应'!$B$19&amp;"="&amp;S16))</f>
        <v>黑挡块:Dark|空气:Zero;Wl=200|黑挡块:Measure;Wl=200;totalcount=180;timeinterval=1</v>
      </c>
      <c s="52">
        <v>1</v>
      </c>
      <c s="52"/>
      <c s="52">
        <v>200</v>
      </c>
      <c s="52" t="str">
        <f>VLOOKUP(J16,'字段对应'!$D$2:$E$8,2,0)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180</v>
      </c>
      <c s="77">
        <v>1</v>
      </c>
      <c s="52" t="s">
        <v>69</v>
      </c>
      <c s="52" t="s">
        <v>111</v>
      </c>
      <c s="52" t="s">
        <v>112</v>
      </c>
      <c s="116" t="s">
        <v>111</v>
      </c>
      <c s="52">
        <f>VLOOKUP(A16,'对应信息'!$D$2:$E$10,2,0)</f>
        <v>8E+3</v>
      </c>
      <c s="52">
        <f t="shared" si="0"/>
        <v>8004</v>
      </c>
      <c s="119"/>
    </row>
    <row r="17" ht="39.75" customHeight="1">
      <c r="A17" s="52" t="s">
        <v>118</v>
      </c>
      <c s="116" t="s">
        <v>183</v>
      </c>
      <c s="52"/>
      <c s="52" t="str">
        <f>IF(L17="","",'字段对应'!$B$10&amp;"="&amp;VLOOKUP(L17,'基础信息'!$I$2:$J$6,2,0)&amp;";")&amp;IF(M17="","",'字段对应'!$B$11&amp;"="&amp;VLOOKUP(M17,'基础信息'!$K$2:$L$6,2,0)&amp;";")&amp;IF(N17="","",'字段对应'!$C$2&amp;"="&amp;N17&amp;","&amp;O17&amp;","&amp;P17&amp;";")&amp;IF(Q17="","",'字段对应'!$B$13&amp;"="&amp;Q17&amp;";")&amp;IF(R17="","",'字段对应'!$B$14&amp;"="&amp;R17&amp;";")&amp;IF(U17="","",'字段对应'!$B$22&amp;"="&amp;U17&amp;";")&amp;IF(K17="","",'字段对应'!$B$21&amp;"="&amp;VLOOKUP(K17,'基础信息'!$F$2:$G$4,2,0))</f>
        <v>PhotoMode=1;ScanSpeed=2;Slit1=2.0;</v>
      </c>
      <c s="52" t="str">
        <f>IF(W17="","",'检测项信息'!W17&amp;":"&amp;'字段对应'!$B$16&amp;"|")&amp;IF(X17="","",X17&amp;":"&amp;IF(V17="是",'字段对应'!$C$17,'字段对应'!$B$17&amp;";"&amp;IF(H17="","",'字段对应'!$B$15&amp;"="&amp;'检测项信息'!H17))&amp;"|")&amp;IF(Y17="",":",Y17&amp;":")&amp;IF(V17="是",'字段对应'!$C$18,'字段对应'!$B$18&amp;";"&amp;IF(H17="","",'字段对应'!$B$15&amp;"="&amp;'检测项信息'!H17)&amp;IF(AND(T17="",S17=""),"",";"&amp;'字段对应'!$B$20&amp;"="&amp;T17&amp;";"&amp;'字段对应'!$B$19&amp;"="&amp;S17))</f>
        <v>黑挡块:Dark|碘化钠空白溶液:Zero;Wl=220|碘化钠溶液:Measure;Wl=220</v>
      </c>
      <c s="52">
        <v>3</v>
      </c>
      <c s="52">
        <v>1</v>
      </c>
      <c s="52" t="s">
        <v>119</v>
      </c>
      <c s="52" t="str">
        <f>VLOOKUP(J17,'字段对应'!$D$2:$E$8,2,0)</f>
        <v>Validation.ViewModel.DataStructure.WlPointsUVTestTool</v>
      </c>
      <c s="52" t="s">
        <v>120</v>
      </c>
      <c s="77"/>
      <c s="77" t="s">
        <v>71</v>
      </c>
      <c s="77" t="s">
        <v>76</v>
      </c>
      <c s="77"/>
      <c s="77"/>
      <c s="77"/>
      <c s="77"/>
      <c s="77" t="s">
        <v>225</v>
      </c>
      <c s="77"/>
      <c s="77"/>
      <c s="77"/>
      <c s="52" t="s">
        <v>69</v>
      </c>
      <c s="52" t="s">
        <v>111</v>
      </c>
      <c s="116" t="s">
        <v>352</v>
      </c>
      <c s="52" t="s">
        <v>91</v>
      </c>
      <c s="52">
        <f>VLOOKUP(A17,'对应信息'!$D$2:$E$10,2,0)</f>
        <v>3E+3</v>
      </c>
      <c s="52">
        <f t="shared" si="0"/>
        <v>3001</v>
      </c>
      <c s="119"/>
    </row>
    <row r="18" ht="28.5">
      <c r="A18" s="52" t="s">
        <v>118</v>
      </c>
      <c s="116" t="s">
        <v>184</v>
      </c>
      <c s="52"/>
      <c s="52" t="str">
        <f>IF(L18="","",'字段对应'!$B$10&amp;"="&amp;VLOOKUP(L18,'基础信息'!$I$2:$J$6,2,0)&amp;";")&amp;IF(M18="","",'字段对应'!$B$11&amp;"="&amp;VLOOKUP(M18,'基础信息'!$K$2:$L$6,2,0)&amp;";")&amp;IF(N18="","",'字段对应'!$C$2&amp;"="&amp;N18&amp;","&amp;O18&amp;","&amp;P18&amp;";")&amp;IF(Q18="","",'字段对应'!$B$13&amp;"="&amp;Q18&amp;";")&amp;IF(R18="","",'字段对应'!$B$14&amp;"="&amp;R18&amp;";")&amp;IF(U18="","",'字段对应'!$B$22&amp;"="&amp;U18&amp;";")&amp;IF(K18="","",'字段对应'!$B$21&amp;"="&amp;VLOOKUP(K18,'基础信息'!$F$2:$G$4,2,0))</f>
        <v>PhotoMode=1;ScanSpeed=2;Slit1=2.0;</v>
      </c>
      <c s="52" t="str">
        <f>IF(W18="","",'检测项信息'!W18&amp;":"&amp;'字段对应'!$B$16&amp;"|")&amp;IF(X18="","",X18&amp;":"&amp;IF(V18="是",'字段对应'!$C$17,'字段对应'!$B$17&amp;";"&amp;IF(H18="","",'字段对应'!$B$15&amp;"="&amp;'检测项信息'!H18))&amp;"|")&amp;IF(Y18="",":",Y18&amp;":")&amp;IF(V18="是",'字段对应'!$C$18,'字段对应'!$B$18&amp;";"&amp;IF(H18="","",'字段对应'!$B$15&amp;"="&amp;'检测项信息'!H18)&amp;IF(AND(T18="",S18=""),"",";"&amp;'字段对应'!$B$20&amp;"="&amp;T18&amp;";"&amp;'字段对应'!$B$19&amp;"="&amp;S18))</f>
        <v>黑挡块:Dark|亚硝酸钠空白溶液:Zero;Wl=360|亚硝酸钠溶液:Measure;Wl=360</v>
      </c>
      <c s="52">
        <v>3</v>
      </c>
      <c s="52">
        <v>1</v>
      </c>
      <c s="52" t="s">
        <v>121</v>
      </c>
      <c s="52" t="str">
        <f>VLOOKUP(J18,'字段对应'!$D$2:$E$8,2,0)</f>
        <v>Validation.ViewModel.DataStructure.WlPointsUVTestTool</v>
      </c>
      <c s="52" t="s">
        <v>120</v>
      </c>
      <c s="77"/>
      <c s="77" t="s">
        <v>71</v>
      </c>
      <c s="77" t="s">
        <v>76</v>
      </c>
      <c s="77"/>
      <c s="77"/>
      <c s="77"/>
      <c s="77"/>
      <c s="344" t="s">
        <v>225</v>
      </c>
      <c s="77"/>
      <c s="77"/>
      <c s="77"/>
      <c s="52" t="s">
        <v>69</v>
      </c>
      <c s="52" t="s">
        <v>111</v>
      </c>
      <c s="116" t="s">
        <v>353</v>
      </c>
      <c s="52" t="s">
        <v>92</v>
      </c>
      <c s="52">
        <f>VLOOKUP(A18,'对应信息'!$D$2:$E$10,2,0)</f>
        <v>3E+3</v>
      </c>
      <c s="52">
        <f t="shared" si="0"/>
        <v>3002</v>
      </c>
      <c s="119"/>
    </row>
    <row r="19" ht="43.5">
      <c r="A19" s="52" t="s">
        <v>114</v>
      </c>
      <c s="52" t="s">
        <v>117</v>
      </c>
      <c s="52"/>
      <c s="52" t="str">
        <f>IF(L19="","",'字段对应'!$B$10&amp;"="&amp;VLOOKUP(L19,'基础信息'!$I$2:$J$6,2,0)&amp;";")&amp;IF(M19="","",'字段对应'!$B$11&amp;"="&amp;VLOOKUP(M19,'基础信息'!$K$2:$L$6,2,0)&amp;";")&amp;IF(N19="","",'字段对应'!$C$2&amp;"="&amp;N19&amp;","&amp;O19&amp;","&amp;P19&amp;";")&amp;IF(Q19="","",'字段对应'!$B$13&amp;"="&amp;Q19&amp;";")&amp;IF(R19="","",'字段对应'!$B$14&amp;"="&amp;R19&amp;";")&amp;IF(U19="","",'字段对应'!$B$22&amp;"="&amp;U19&amp;";")&amp;IF(K19="","",'字段对应'!$B$21&amp;"="&amp;VLOOKUP(K19,'基础信息'!$F$2:$G$4,2,0))</f>
        <v>PhotoMode=1;ScanSpeed=2;Slit1=2.0;</v>
      </c>
      <c s="52" t="str">
        <f>IF(W19="","",'检测项信息'!W19&amp;":"&amp;'字段对应'!$B$16&amp;"|")&amp;IF(X19="","",X19&amp;":"&amp;IF(V19="是",'字段对应'!$C$17,'字段对应'!$B$17&amp;";"&amp;IF(H19="","",'字段对应'!$B$15&amp;"="&amp;'检测项信息'!H19))&amp;"|")&amp;IF(Y19="",":",Y19&amp;":")&amp;IF(V19="是",'字段对应'!$C$18,'字段对应'!$B$18&amp;";"&amp;IF(H19="","",'字段对应'!$B$15&amp;"="&amp;'检测项信息'!H19)&amp;IF(AND(T19="",S19=""),"",";"&amp;'字段对应'!$B$20&amp;"="&amp;T19&amp;";"&amp;'字段对应'!$B$19&amp;"="&amp;S19))</f>
        <v>黑挡块:Dark|紫外分光光度计标准物质空白溶液:Zero;Wl=350,313,257,235|紫外分光光度计标准物质GBW(E)130066:Measure;Wl=350,313,257,235</v>
      </c>
      <c s="52">
        <v>3</v>
      </c>
      <c s="52">
        <v>1</v>
      </c>
      <c s="116" t="s">
        <v>333</v>
      </c>
      <c s="52" t="str">
        <f>VLOOKUP(J19,'字段对应'!$D$2:$E$8,2,0)</f>
        <v>Validation.ViewModel.DataStructure.WlPointsAndAverageUVTestTool</v>
      </c>
      <c s="52" t="s">
        <v>116</v>
      </c>
      <c s="77"/>
      <c s="77" t="s">
        <v>71</v>
      </c>
      <c s="77" t="s">
        <v>76</v>
      </c>
      <c s="77"/>
      <c s="77"/>
      <c s="77"/>
      <c s="77"/>
      <c s="77" t="s">
        <v>225</v>
      </c>
      <c s="77"/>
      <c s="77"/>
      <c s="77"/>
      <c s="52" t="s">
        <v>69</v>
      </c>
      <c s="52" t="s">
        <v>111</v>
      </c>
      <c s="74" t="s">
        <v>241</v>
      </c>
      <c s="52" t="s">
        <v>117</v>
      </c>
      <c s="52">
        <f>VLOOKUP(A19,'对应信息'!$D$2:$E$10,2,0)</f>
        <v>2E+3</v>
      </c>
      <c s="52">
        <f t="shared" si="0"/>
        <v>2001</v>
      </c>
      <c s="107" t="s">
        <v>343</v>
      </c>
    </row>
    <row r="20" ht="28.5">
      <c r="A20" s="52" t="s">
        <v>114</v>
      </c>
      <c s="52" t="s">
        <v>80</v>
      </c>
      <c s="52"/>
      <c s="52" t="str">
        <f>IF(L20="","",'字段对应'!$B$10&amp;"="&amp;VLOOKUP(L20,'基础信息'!$I$2:$J$6,2,0)&amp;";")&amp;IF(M20="","",'字段对应'!$B$11&amp;"="&amp;VLOOKUP(M20,'基础信息'!$K$2:$L$6,2,0)&amp;";")&amp;IF(N20="","",'字段对应'!$C$2&amp;"="&amp;N20&amp;","&amp;O20&amp;","&amp;P20&amp;";")&amp;IF(Q20="","",'字段对应'!$B$13&amp;"="&amp;Q20&amp;";")&amp;IF(R20="","",'字段对应'!$B$14&amp;"="&amp;R20&amp;";")&amp;IF(U20="","",'字段对应'!$B$22&amp;"="&amp;U20&amp;";")&amp;IF(K20="","",'字段对应'!$B$21&amp;"="&amp;VLOOKUP(K20,'基础信息'!$F$2:$G$4,2,0))</f>
        <v>PhotoMode=1;ScanSpeed=2;Slit1=2.0;</v>
      </c>
      <c s="52" t="str">
        <f>IF(W20="","",'检测项信息'!W20&amp;":"&amp;'字段对应'!$B$16&amp;"|")&amp;IF(X20="","",X20&amp;":"&amp;IF(V20="是",'字段对应'!$C$17,'字段对应'!$B$17&amp;";"&amp;IF(H20="","",'字段对应'!$B$15&amp;"="&amp;'检测项信息'!H20))&amp;"|")&amp;IF(Y20="",":",Y20&amp;":")&amp;IF(V20="是",'字段对应'!$C$18,'字段对应'!$B$18&amp;";"&amp;IF(H20="","",'字段对应'!$B$15&amp;"="&amp;'检测项信息'!H20)&amp;IF(AND(T20="",S20=""),"",";"&amp;'字段对应'!$B$20&amp;"="&amp;T20&amp;";"&amp;'字段对应'!$B$19&amp;"="&amp;S20))</f>
        <v>黑挡块:Dark|空气:Zero;Wl=635,546,440|10%中性滤光片:Measure;Wl=635,546,440</v>
      </c>
      <c s="52">
        <v>3</v>
      </c>
      <c s="52">
        <v>1</v>
      </c>
      <c s="52" t="s">
        <v>115</v>
      </c>
      <c s="52" t="str">
        <f>VLOOKUP(J20,'字段对应'!$D$2:$E$8,2,0)</f>
        <v>Validation.ViewModel.DataStructure.WlPointsAndAverageUVTestTool</v>
      </c>
      <c s="52" t="s">
        <v>116</v>
      </c>
      <c s="77"/>
      <c s="77" t="s">
        <v>71</v>
      </c>
      <c s="77" t="s">
        <v>76</v>
      </c>
      <c s="77"/>
      <c s="77"/>
      <c s="77"/>
      <c s="77"/>
      <c s="77" t="s">
        <v>225</v>
      </c>
      <c s="77"/>
      <c s="77"/>
      <c s="77"/>
      <c s="52" t="s">
        <v>69</v>
      </c>
      <c s="52" t="s">
        <v>111</v>
      </c>
      <c s="52" t="s">
        <v>112</v>
      </c>
      <c s="52" t="s">
        <v>80</v>
      </c>
      <c s="52">
        <f>VLOOKUP(A20,'对应信息'!$D$2:$E$10,2,0)</f>
        <v>2E+3</v>
      </c>
      <c s="52">
        <f t="shared" si="0"/>
        <v>2002</v>
      </c>
      <c s="107" t="s">
        <v>344</v>
      </c>
    </row>
    <row r="21" ht="28.5">
      <c r="A21" s="52" t="s">
        <v>114</v>
      </c>
      <c s="52" t="s">
        <v>84</v>
      </c>
      <c s="52"/>
      <c s="52" t="str">
        <f>IF(L21="","",'字段对应'!$B$10&amp;"="&amp;VLOOKUP(L21,'基础信息'!$I$2:$J$6,2,0)&amp;";")&amp;IF(M21="","",'字段对应'!$B$11&amp;"="&amp;VLOOKUP(M21,'基础信息'!$K$2:$L$6,2,0)&amp;";")&amp;IF(N21="","",'字段对应'!$C$2&amp;"="&amp;N21&amp;","&amp;O21&amp;","&amp;P21&amp;";")&amp;IF(Q21="","",'字段对应'!$B$13&amp;"="&amp;Q21&amp;";")&amp;IF(R21="","",'字段对应'!$B$14&amp;"="&amp;R21&amp;";")&amp;IF(U21="","",'字段对应'!$B$22&amp;"="&amp;U21&amp;";")&amp;IF(K21="","",'字段对应'!$B$21&amp;"="&amp;VLOOKUP(K21,'基础信息'!$F$2:$G$4,2,0))</f>
        <v>PhotoMode=1;ScanSpeed=2;Slit1=2.0;</v>
      </c>
      <c s="52" t="str">
        <f>IF(W21="","",'检测项信息'!W21&amp;":"&amp;'字段对应'!$B$16&amp;"|")&amp;IF(X21="","",X21&amp;":"&amp;IF(V21="是",'字段对应'!$C$17,'字段对应'!$B$17&amp;";"&amp;IF(H21="","",'字段对应'!$B$15&amp;"="&amp;'检测项信息'!H21))&amp;"|")&amp;IF(Y21="",":",Y21&amp;":")&amp;IF(V21="是",'字段对应'!$C$18,'字段对应'!$B$18&amp;";"&amp;IF(H21="","",'字段对应'!$B$15&amp;"="&amp;'检测项信息'!H21)&amp;IF(AND(T21="",S21=""),"",";"&amp;'字段对应'!$B$20&amp;"="&amp;T21&amp;";"&amp;'字段对应'!$B$19&amp;"="&amp;S21))</f>
        <v>黑挡块:Dark|空气:Zero;Wl=635,546,440|20%中性滤光片:Measure;Wl=635,546,440</v>
      </c>
      <c s="52">
        <v>3</v>
      </c>
      <c s="52">
        <v>1</v>
      </c>
      <c s="52" t="s">
        <v>115</v>
      </c>
      <c s="52" t="str">
        <f>VLOOKUP(J21,'字段对应'!$D$2:$E$8,2,0)</f>
        <v>Validation.ViewModel.DataStructure.WlPointsAndAverageUVTestTool</v>
      </c>
      <c s="52" t="s">
        <v>116</v>
      </c>
      <c s="77"/>
      <c s="77" t="s">
        <v>71</v>
      </c>
      <c s="77" t="s">
        <v>76</v>
      </c>
      <c s="77"/>
      <c s="77"/>
      <c s="77"/>
      <c s="77"/>
      <c s="77" t="s">
        <v>225</v>
      </c>
      <c s="77"/>
      <c s="77"/>
      <c s="77"/>
      <c s="52" t="s">
        <v>69</v>
      </c>
      <c s="52" t="s">
        <v>111</v>
      </c>
      <c s="52" t="s">
        <v>112</v>
      </c>
      <c s="52" t="s">
        <v>84</v>
      </c>
      <c s="52">
        <f>VLOOKUP(A21,'对应信息'!$D$2:$E$10,2,0)</f>
        <v>2E+3</v>
      </c>
      <c s="52">
        <f t="shared" si="0"/>
        <v>2003</v>
      </c>
      <c s="107" t="s">
        <v>345</v>
      </c>
    </row>
    <row r="22" ht="40.5" customHeight="1">
      <c r="A22" s="52" t="s">
        <v>114</v>
      </c>
      <c s="52" t="s">
        <v>87</v>
      </c>
      <c s="52"/>
      <c s="52" t="str">
        <f>IF(L22="","",'字段对应'!$B$10&amp;"="&amp;VLOOKUP(L22,'基础信息'!$I$2:$J$6,2,0)&amp;";")&amp;IF(M22="","",'字段对应'!$B$11&amp;"="&amp;VLOOKUP(M22,'基础信息'!$K$2:$L$6,2,0)&amp;";")&amp;IF(N22="","",'字段对应'!$C$2&amp;"="&amp;N22&amp;","&amp;O22&amp;","&amp;P22&amp;";")&amp;IF(Q22="","",'字段对应'!$B$13&amp;"="&amp;Q22&amp;";")&amp;IF(R22="","",'字段对应'!$B$14&amp;"="&amp;R22&amp;";")&amp;IF(U22="","",'字段对应'!$B$22&amp;"="&amp;U22&amp;";")&amp;IF(K22="","",'字段对应'!$B$21&amp;"="&amp;VLOOKUP(K22,'基础信息'!$F$2:$G$4,2,0))</f>
        <v>PhotoMode=1;ScanSpeed=2;Slit1=2.0;</v>
      </c>
      <c s="52" t="str">
        <f>IF(W22="","",'检测项信息'!W22&amp;":"&amp;'字段对应'!$B$16&amp;"|")&amp;IF(X22="","",X22&amp;":"&amp;IF(V22="是",'字段对应'!$C$17,'字段对应'!$B$17&amp;";"&amp;IF(H22="","",'字段对应'!$B$15&amp;"="&amp;'检测项信息'!H22))&amp;"|")&amp;IF(Y22="",":",Y22&amp;":")&amp;IF(V22="是",'字段对应'!$C$18,'字段对应'!$B$18&amp;";"&amp;IF(H22="","",'字段对应'!$B$15&amp;"="&amp;'检测项信息'!H22)&amp;IF(AND(T22="",S22=""),"",";"&amp;'字段对应'!$B$20&amp;"="&amp;T22&amp;";"&amp;'字段对应'!$B$19&amp;"="&amp;S22))</f>
        <v>黑挡块:Dark|空气:Zero;Wl=635,546,440|30%中性滤光片:Measure;Wl=635,546,440</v>
      </c>
      <c s="52">
        <v>3</v>
      </c>
      <c s="52">
        <v>1</v>
      </c>
      <c s="52" t="s">
        <v>115</v>
      </c>
      <c s="52" t="str">
        <f>VLOOKUP(J22,'字段对应'!$D$2:$E$8,2,0)</f>
        <v>Validation.ViewModel.DataStructure.WlPointsAndAverageUVTestTool</v>
      </c>
      <c s="52" t="s">
        <v>116</v>
      </c>
      <c s="77"/>
      <c s="77" t="s">
        <v>71</v>
      </c>
      <c s="77" t="s">
        <v>76</v>
      </c>
      <c s="77"/>
      <c s="77"/>
      <c s="77"/>
      <c s="77"/>
      <c s="77" t="s">
        <v>225</v>
      </c>
      <c s="77"/>
      <c s="77"/>
      <c s="77"/>
      <c s="52" t="s">
        <v>69</v>
      </c>
      <c s="52" t="s">
        <v>111</v>
      </c>
      <c s="52" t="s">
        <v>112</v>
      </c>
      <c s="52" t="s">
        <v>87</v>
      </c>
      <c s="52">
        <f>VLOOKUP(A22,'对应信息'!$D$2:$E$10,2,0)</f>
        <v>2E+3</v>
      </c>
      <c s="52">
        <f t="shared" si="0"/>
        <v>2004</v>
      </c>
      <c s="107" t="s">
        <v>346</v>
      </c>
    </row>
    <row r="23" ht="43.5">
      <c r="A23" s="52" t="s">
        <v>138</v>
      </c>
      <c s="116" t="s">
        <v>138</v>
      </c>
      <c s="52" t="s">
        <v>139</v>
      </c>
      <c s="52" t="str">
        <f>IF(L23="","",'字段对应'!$B$10&amp;"="&amp;VLOOKUP(L23,'基础信息'!$I$2:$J$6,2,0)&amp;";")&amp;IF(M23="","",'字段对应'!$B$11&amp;"="&amp;VLOOKUP(M23,'基础信息'!$K$2:$L$6,2,0)&amp;";")&amp;IF(N23="","",'字段对应'!$C$2&amp;"="&amp;N23&amp;","&amp;O23&amp;","&amp;P23&amp;";")&amp;IF(Q23="","",'字段对应'!$B$13&amp;"="&amp;Q23&amp;";")&amp;IF(R23="","",'字段对应'!$B$14&amp;"="&amp;R23&amp;";")&amp;IF(U23="","",'字段对应'!$B$22&amp;"="&amp;U23&amp;";")&amp;IF(K23="","",'字段对应'!$B$21&amp;"="&amp;VLOOKUP(K23,'基础信息'!$F$2:$G$4,2,0))</f>
        <v>PhotoMode=1;ScanSpeed=2;Slit1=2.0;ResponseTime=1;</v>
      </c>
      <c s="52" t="str">
        <f>IF(W23="","",'检测项信息'!W23&amp;":"&amp;'字段对应'!$B$16&amp;"|")&amp;IF(X23="","",X23&amp;":"&amp;IF(V23="是",'字段对应'!$C$17,'字段对应'!$B$17&amp;";"&amp;IF(H23="","",'字段对应'!$B$15&amp;"="&amp;'检测项信息'!H23))&amp;"|")&amp;IF(Y23="",":",Y23&amp;":")&amp;IF(V23="是",'字段对应'!$C$18,'字段对应'!$B$18&amp;";"&amp;IF(H23="","",'字段对应'!$B$15&amp;"="&amp;'检测项信息'!H23)&amp;IF(AND(T23="",S23=""),"",";"&amp;'字段对应'!$B$20&amp;"="&amp;T23&amp;";"&amp;'字段对应'!$B$19&amp;"="&amp;S23))</f>
        <v>黑挡块:Dark|空气:Zero;Wl=500|空气:Measure;Wl=500;totalcount=3600;timeinterval=1</v>
      </c>
      <c s="52">
        <v>1</v>
      </c>
      <c s="52"/>
      <c s="52">
        <v>500</v>
      </c>
      <c s="52" t="str">
        <f>VLOOKUP(J23,'字段对应'!$D$2:$E$8,2,0)</f>
        <v>Validation.ViewModel.DataStructure.FindMaxOffsetUVTestTool</v>
      </c>
      <c s="52" t="s">
        <v>188</v>
      </c>
      <c s="77"/>
      <c s="77" t="s">
        <v>71</v>
      </c>
      <c s="77" t="s">
        <v>76</v>
      </c>
      <c s="77"/>
      <c s="77"/>
      <c s="77"/>
      <c s="77"/>
      <c s="77" t="s">
        <v>225</v>
      </c>
      <c s="77">
        <v>1</v>
      </c>
      <c s="77">
        <v>3600</v>
      </c>
      <c s="77">
        <v>1</v>
      </c>
      <c s="52" t="s">
        <v>69</v>
      </c>
      <c s="52" t="s">
        <v>111</v>
      </c>
      <c s="52" t="s">
        <v>112</v>
      </c>
      <c s="52" t="s">
        <v>112</v>
      </c>
      <c s="52">
        <f>VLOOKUP(A23,'对应信息'!$D$2:$E$10,2,0)</f>
        <v>9E+3</v>
      </c>
      <c s="52">
        <f t="shared" si="0"/>
        <v>9001</v>
      </c>
      <c s="119"/>
    </row>
    <row r="29" customHeight="1">
      <c r="E29" s="112"/>
    </row>
  </sheetData>
  <dataValidations>
    <dataValidation type="list" allowBlank="1" showInputMessage="1" showErrorMessage="1" sqref="M1:M1048576">
      <formula1>'基础信息'!$K$2:$K$6</formula1>
    </dataValidation>
    <dataValidation type="list" allowBlank="1" showInputMessage="1" showErrorMessage="1" sqref="J1:J1048576">
      <formula1>'字段对应'!$D$2:$D$8</formula1>
    </dataValidation>
    <dataValidation type="list" allowBlank="1" showInputMessage="1" showErrorMessage="1" sqref="L1:L1048576">
      <formula1>'基础信息'!$I$2:$I$6</formula1>
    </dataValidation>
    <dataValidation type="list" allowBlank="1" showInputMessage="1" showErrorMessage="1" sqref="Q1:Q1048576">
      <formula1>'基础信息'!$Q$2:$Q$7</formula1>
    </dataValidation>
    <dataValidation type="list" allowBlank="1" showInputMessage="1" showErrorMessage="1" sqref="R1:R1048576">
      <formula1>'基础信息'!$P$2:$P$6</formula1>
    </dataValidation>
    <dataValidation type="list" allowBlank="1" showInputMessage="1" showErrorMessage="1" sqref="V1:V1048576">
      <formula1>'基础信息'!$E$2:$E$3</formula1>
    </dataValidation>
    <dataValidation type="list" allowBlank="1" showInputMessage="1" showErrorMessage="1" sqref="K1:K1048576">
      <formula1>'基础信息'!$F$2:$F$4</formula1>
    </dataValidation>
    <dataValidation type="list" allowBlank="1" showInputMessage="1" showErrorMessage="1" sqref="U1:U1048576">
      <formula1>'基础信息'!$R$2:$R$5</formula1>
    </dataValidation>
    <dataValidation type="list" allowBlank="1" showInputMessage="1" showErrorMessage="1" sqref="P1:P1048576">
      <formula1>'基础信息'!$M$2:$M$9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xl/worksheets/sheet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8"/>
  <sheetViews>
    <sheetView topLeftCell="A1" workbookViewId="0" showRowColHeaders="0">
      <pane topLeftCell="A1"/>
      <selection activeCellId="0" activeCell="A1" sqref="A1"/>
    </sheetView>
  </sheetViews>
  <sheetFormatPr defaultColWidth="9" defaultRowHeight="14.25" customHeight="1"/>
  <cols>
    <col min="1" max="1" width="22.63" customWidth="1" style="217"/>
    <col min="2" max="2" width="44.63" customWidth="1" style="217"/>
    <col min="3" max="3" width="22.63" customWidth="1" style="217"/>
    <col min="4" max="5" width="5.5" customWidth="1" style="217"/>
    <col min="6" max="9" width="22.63" customWidth="1" style="217"/>
    <col min="10" max="16384" width="9" style="217"/>
  </cols>
  <sheetData>
    <row r="1" customHeight="1">
      <c r="A1" s="121" t="s">
        <v>298</v>
      </c>
      <c s="121" t="s">
        <v>303</v>
      </c>
      <c s="121" t="s">
        <v>301</v>
      </c>
      <c s="121" t="s">
        <v>311</v>
      </c>
      <c s="121" t="s">
        <v>312</v>
      </c>
    </row>
    <row r="2" customHeight="1">
      <c r="A2" s="110" t="str">
        <f ca="1" ref="A2:A18" t="shared" si="0">MID(CELL("filename"),FIND("[",CELL("filename"),1)+1,FIND(".",CELL("filename"),1)-FIND("[",CELL("filename"),1)-1)</f>
        <v>31U1602-96-0021</v>
      </c>
      <c s="111" t="s">
        <v>310</v>
      </c>
      <c s="104"/>
      <c s="110"/>
      <c s="110"/>
    </row>
    <row r="3" customHeight="1">
      <c r="A3" s="110" t="str">
        <f ca="1" t="shared" si="0"/>
        <v>31U1602-96-0021</v>
      </c>
      <c s="117" t="s">
        <v>291</v>
      </c>
      <c s="104"/>
      <c s="110"/>
      <c s="110"/>
    </row>
    <row r="4" customHeight="1">
      <c r="A4" s="110" t="str">
        <f ca="1" t="shared" si="0"/>
        <v>31U1602-96-0021</v>
      </c>
      <c s="117" t="s">
        <v>292</v>
      </c>
      <c s="104"/>
      <c s="110"/>
      <c s="110"/>
    </row>
    <row r="5" customHeight="1">
      <c r="A5" s="110" t="str">
        <f ca="1" t="shared" si="0"/>
        <v>31U1602-96-0021</v>
      </c>
      <c s="117" t="s">
        <v>293</v>
      </c>
      <c s="104"/>
      <c s="110"/>
      <c s="110"/>
    </row>
    <row r="6" customHeight="1">
      <c r="A6" s="110" t="str">
        <f ca="1" t="shared" si="0"/>
        <v>31U1602-96-0021</v>
      </c>
      <c s="117" t="s">
        <v>294</v>
      </c>
      <c s="104"/>
      <c s="110"/>
      <c s="110"/>
    </row>
    <row r="7" customHeight="1">
      <c r="A7" s="110" t="str">
        <f ca="1" t="shared" si="0"/>
        <v>31U1602-96-0021</v>
      </c>
      <c s="117" t="s">
        <v>295</v>
      </c>
      <c s="104"/>
      <c s="110"/>
      <c s="110"/>
    </row>
    <row r="8" customHeight="1">
      <c r="A8" s="110" t="str">
        <f ca="1" t="shared" si="0"/>
        <v>31U1602-96-0021</v>
      </c>
      <c s="117" t="s">
        <v>296</v>
      </c>
      <c s="104"/>
      <c s="110"/>
      <c s="110"/>
    </row>
    <row r="9" customHeight="1">
      <c r="A9" s="110" t="str">
        <f ca="1" t="shared" si="0"/>
        <v>31U1602-96-0021</v>
      </c>
      <c s="117" t="s">
        <v>297</v>
      </c>
      <c s="104"/>
      <c s="110"/>
      <c s="110"/>
    </row>
    <row r="10" customHeight="1">
      <c r="A10" s="110" t="str">
        <f ca="1" t="shared" si="0"/>
        <v>31U1602-96-0021</v>
      </c>
      <c s="111" t="s">
        <v>299</v>
      </c>
      <c s="104" t="s">
        <v>355</v>
      </c>
      <c s="110">
        <v>1001</v>
      </c>
      <c s="110">
        <v>1001</v>
      </c>
    </row>
    <row r="11" customHeight="1">
      <c r="A11" s="110" t="str">
        <f ca="1" t="shared" si="0"/>
        <v>31U1602-96-0021</v>
      </c>
      <c s="111" t="s">
        <v>300</v>
      </c>
      <c s="104" t="s">
        <v>357</v>
      </c>
      <c s="110">
        <v>1002</v>
      </c>
      <c s="110">
        <v>1002</v>
      </c>
    </row>
    <row r="12" customHeight="1">
      <c r="A12" s="110" t="str">
        <f ca="1" t="shared" si="0"/>
        <v>31U1602-96-0021</v>
      </c>
      <c s="111" t="s">
        <v>304</v>
      </c>
      <c s="104" t="s">
        <v>359</v>
      </c>
      <c s="110">
        <v>2001</v>
      </c>
      <c s="110">
        <v>2001</v>
      </c>
    </row>
    <row r="13" customHeight="1">
      <c r="A13" s="110" t="str">
        <f ca="1" t="shared" si="0"/>
        <v>31U1602-96-0021</v>
      </c>
      <c s="111" t="s">
        <v>305</v>
      </c>
      <c s="104" t="s">
        <v>360</v>
      </c>
      <c s="110">
        <v>2002</v>
      </c>
      <c s="110">
        <v>2001</v>
      </c>
    </row>
    <row r="14" customHeight="1">
      <c r="A14" s="110" t="str">
        <f ca="1" t="shared" si="0"/>
        <v>31U1602-96-0021</v>
      </c>
      <c s="111" t="s">
        <v>306</v>
      </c>
      <c s="104" t="s">
        <v>361</v>
      </c>
      <c s="110">
        <v>2003</v>
      </c>
      <c s="110">
        <v>2001</v>
      </c>
    </row>
    <row r="15" customHeight="1">
      <c r="A15" s="110" t="str">
        <f ca="1" t="shared" si="0"/>
        <v>31U1602-96-0021</v>
      </c>
      <c s="111" t="s">
        <v>307</v>
      </c>
      <c s="104"/>
      <c s="110">
        <v>2004</v>
      </c>
      <c s="110">
        <v>2001</v>
      </c>
    </row>
    <row r="16" customHeight="1">
      <c r="A16" s="110" t="str">
        <f ca="1" t="shared" si="0"/>
        <v>31U1602-96-0021</v>
      </c>
      <c s="111" t="s">
        <v>308</v>
      </c>
      <c s="104"/>
      <c s="110">
        <v>3001</v>
      </c>
      <c s="110">
        <v>3001</v>
      </c>
    </row>
    <row r="17" customHeight="1">
      <c r="A17" s="110" t="str">
        <f ca="1" t="shared" si="0"/>
        <v>31U1602-96-0021</v>
      </c>
      <c s="111" t="s">
        <v>309</v>
      </c>
      <c s="104"/>
      <c s="110">
        <v>3002</v>
      </c>
      <c s="110">
        <v>3002</v>
      </c>
    </row>
    <row r="18" customHeight="1">
      <c r="A18" s="110" t="str">
        <f ca="1" t="shared" si="0"/>
        <v>31U1602-96-0021</v>
      </c>
      <c s="103" t="s">
        <v>302</v>
      </c>
      <c s="104" t="s">
        <v>358</v>
      </c>
      <c s="110">
        <v>4001</v>
      </c>
      <c s="110">
        <v>4001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23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35.38" customWidth="1" style="217"/>
    <col min="2" max="2" width="27.5" customWidth="1" style="217"/>
    <col min="3" max="3" width="15.75" customWidth="1" style="217"/>
    <col min="4" max="4" width="20.25" customWidth="1" style="217"/>
    <col min="5" max="16384" width="9" style="217"/>
  </cols>
  <sheetData>
    <row r="1" customHeight="1">
      <c r="A1" s="102" t="s">
        <v>196</v>
      </c>
      <c s="102" t="s">
        <v>14</v>
      </c>
      <c s="102" t="s">
        <v>54</v>
      </c>
      <c s="352" t="s">
        <v>267</v>
      </c>
    </row>
    <row r="2" customHeight="1">
      <c r="A2" s="249" t="s">
        <v>114</v>
      </c>
      <c s="145" t="s">
        <v>117</v>
      </c>
      <c s="350" t="s">
        <v>176</v>
      </c>
      <c s="350">
        <v>23.2</v>
      </c>
    </row>
    <row r="3" customHeight="1">
      <c r="A3" s="101"/>
      <c s="101"/>
      <c s="350" t="s">
        <v>177</v>
      </c>
      <c s="350">
        <v>51.58</v>
      </c>
    </row>
    <row r="4" ht="12" customHeight="1">
      <c r="A4" s="101"/>
      <c s="101"/>
      <c s="144" t="s">
        <v>178</v>
      </c>
      <c s="350">
        <v>14.06</v>
      </c>
    </row>
    <row r="5" customHeight="1">
      <c r="A5" s="101"/>
      <c s="113"/>
      <c s="144" t="s">
        <v>179</v>
      </c>
      <c s="350">
        <v>18.42</v>
      </c>
    </row>
    <row r="6" customHeight="1">
      <c r="A6" s="101"/>
      <c s="284" t="s">
        <v>80</v>
      </c>
      <c s="350" t="s">
        <v>173</v>
      </c>
      <c s="350">
        <v>7.57</v>
      </c>
    </row>
    <row r="7" customHeight="1">
      <c r="A7" s="101"/>
      <c s="115"/>
      <c s="350" t="s">
        <v>174</v>
      </c>
      <c s="350">
        <v>10.1</v>
      </c>
    </row>
    <row r="8" customHeight="1">
      <c r="A8" s="101"/>
      <c s="345"/>
      <c s="350" t="s">
        <v>175</v>
      </c>
      <c s="350">
        <v>10.07</v>
      </c>
    </row>
    <row r="9" customHeight="1">
      <c r="A9" s="101"/>
      <c s="284" t="s">
        <v>84</v>
      </c>
      <c s="350" t="s">
        <v>173</v>
      </c>
      <c s="350">
        <v>18.98</v>
      </c>
    </row>
    <row r="10" customHeight="1">
      <c r="A10" s="101"/>
      <c s="115"/>
      <c s="350" t="s">
        <v>174</v>
      </c>
      <c s="350">
        <v>20.09</v>
      </c>
    </row>
    <row r="11" customHeight="1">
      <c r="A11" s="101"/>
      <c s="345"/>
      <c s="350" t="s">
        <v>175</v>
      </c>
      <c s="350">
        <v>20.91</v>
      </c>
    </row>
    <row r="12" customHeight="1">
      <c r="A12" s="101"/>
      <c s="284" t="s">
        <v>87</v>
      </c>
      <c s="350" t="s">
        <v>173</v>
      </c>
      <c s="350">
        <v>29.96</v>
      </c>
    </row>
    <row r="13" customHeight="1">
      <c r="A13" s="101"/>
      <c s="115"/>
      <c s="350" t="s">
        <v>174</v>
      </c>
      <c s="350">
        <v>30.43</v>
      </c>
    </row>
    <row r="14" customHeight="1">
      <c r="A14" s="113"/>
      <c s="345"/>
      <c s="350" t="s">
        <v>175</v>
      </c>
      <c s="350">
        <v>28.88</v>
      </c>
    </row>
    <row r="15" customHeight="1">
      <c r="A15" s="145" t="s">
        <v>108</v>
      </c>
      <c s="346" t="s">
        <v>15</v>
      </c>
      <c s="351" t="s">
        <v>109</v>
      </c>
      <c s="351"/>
    </row>
    <row r="16" customHeight="1">
      <c r="A16" s="101"/>
      <c s="163" t="s">
        <v>193</v>
      </c>
      <c s="351" t="s">
        <v>252</v>
      </c>
      <c s="351"/>
    </row>
    <row r="17" customHeight="1">
      <c r="A17" s="101"/>
      <c s="348"/>
      <c s="351" t="s">
        <v>253</v>
      </c>
      <c s="351"/>
    </row>
    <row r="18" customHeight="1">
      <c r="A18" s="101"/>
      <c s="348"/>
      <c s="351" t="s">
        <v>254</v>
      </c>
      <c s="351"/>
    </row>
    <row r="19" customHeight="1">
      <c r="A19" s="101"/>
      <c s="348"/>
      <c s="351" t="s">
        <v>255</v>
      </c>
      <c s="351"/>
    </row>
    <row r="20" customHeight="1">
      <c r="A20" s="101"/>
      <c s="348"/>
      <c s="351" t="s">
        <v>256</v>
      </c>
      <c s="351"/>
    </row>
    <row r="21" customHeight="1">
      <c r="A21" s="113"/>
      <c s="349"/>
      <c s="351" t="s">
        <v>257</v>
      </c>
      <c s="351"/>
    </row>
    <row r="23" customHeight="1">
      <c r="A23" s="206" t="s">
        <v>224</v>
      </c>
      <c s="206"/>
      <c s="206"/>
      <c s="206"/>
    </row>
  </sheetData>
  <mergeCells>
    <mergeCell ref="A23:D23"/>
    <mergeCell ref="B16:B21"/>
    <mergeCell ref="A15:A21"/>
    <mergeCell ref="A2:A14"/>
    <mergeCell ref="B2:B5"/>
    <mergeCell ref="B6:B8"/>
    <mergeCell ref="B9:B11"/>
    <mergeCell ref="B12:B14"/>
  </mergeCells>
  <printOptions/>
  <pageMargins left="0.7" right="0.7" top="0.75" bottom="0.75" header="0.3" footer="0.3"/>
  <pageSetup firstPageNumber="4294963191" copies="0"/>
  <headerFooter/>
  <extLst/>
</worksheet>
</file>

<file path=xl/worksheets/sheet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22"/>
  <sheetViews>
    <sheetView topLeftCell="A1" workbookViewId="0" showRowColHeaders="0">
      <pane topLeftCell="A1"/>
      <selection activeCellId="0" activeCell="A1" sqref="A1"/>
    </sheetView>
  </sheetViews>
  <sheetFormatPr defaultColWidth="9" defaultRowHeight="14.25" customHeight="1"/>
  <cols>
    <col min="1" max="2" width="16.13" customWidth="1" style="217"/>
    <col min="3" max="3" width="9" style="217"/>
    <col min="4" max="4" width="13.88" customWidth="1" style="217"/>
    <col min="5" max="5" width="69.88" customWidth="1" style="217"/>
    <col min="6" max="16384" width="9" style="217"/>
  </cols>
  <sheetData>
    <row r="1" customHeight="1">
      <c r="A1" s="51" t="s">
        <v>141</v>
      </c>
      <c s="51" t="s">
        <v>142</v>
      </c>
      <c r="D1" s="51" t="s">
        <v>143</v>
      </c>
      <c s="51" t="s">
        <v>144</v>
      </c>
    </row>
    <row r="2" customHeight="1">
      <c r="A2" s="81" t="s">
        <v>100</v>
      </c>
      <c s="81" t="s">
        <v>145</v>
      </c>
      <c s="81" t="s">
        <v>189</v>
      </c>
      <c s="12" t="s">
        <v>110</v>
      </c>
      <c s="120" t="s">
        <v>243</v>
      </c>
    </row>
    <row r="3" customHeight="1">
      <c r="A3" s="81" t="s">
        <v>101</v>
      </c>
      <c s="81" t="s">
        <v>146</v>
      </c>
      <c r="D3" s="81" t="s">
        <v>116</v>
      </c>
      <c s="120" t="s">
        <v>244</v>
      </c>
    </row>
    <row r="4" customHeight="1">
      <c r="A4" s="81" t="s">
        <v>61</v>
      </c>
      <c s="81" t="s">
        <v>147</v>
      </c>
      <c r="D4" s="12" t="s">
        <v>120</v>
      </c>
      <c s="120" t="s">
        <v>245</v>
      </c>
    </row>
    <row r="5" customHeight="1">
      <c r="A5" s="81" t="s">
        <v>97</v>
      </c>
      <c s="81" t="s">
        <v>148</v>
      </c>
      <c r="D5" s="12" t="s">
        <v>188</v>
      </c>
      <c s="120" t="s">
        <v>246</v>
      </c>
    </row>
    <row r="6" customHeight="1">
      <c r="A6" s="81" t="s">
        <v>95</v>
      </c>
      <c s="81" t="s">
        <v>149</v>
      </c>
      <c r="D6" s="12" t="s">
        <v>126</v>
      </c>
      <c s="120" t="s">
        <v>247</v>
      </c>
    </row>
    <row r="7" customHeight="1">
      <c r="A7" s="81" t="s">
        <v>96</v>
      </c>
      <c s="81" t="s">
        <v>150</v>
      </c>
      <c r="D7" s="335" t="s">
        <v>123</v>
      </c>
      <c s="120" t="s">
        <v>248</v>
      </c>
    </row>
    <row r="8" customHeight="1">
      <c r="A8" s="81" t="s">
        <v>151</v>
      </c>
      <c s="81" t="s">
        <v>152</v>
      </c>
      <c r="D8" s="12" t="s">
        <v>140</v>
      </c>
      <c s="120" t="s">
        <v>249</v>
      </c>
    </row>
    <row r="9" customHeight="1">
      <c r="A9" s="81" t="s">
        <v>94</v>
      </c>
      <c s="81" t="s">
        <v>153</v>
      </c>
    </row>
    <row r="10" customHeight="1">
      <c r="A10" s="81" t="s">
        <v>99</v>
      </c>
      <c s="81" t="s">
        <v>154</v>
      </c>
    </row>
    <row r="11" customHeight="1">
      <c r="A11" s="81" t="s">
        <v>59</v>
      </c>
      <c s="81" t="s">
        <v>313</v>
      </c>
    </row>
    <row r="12" customHeight="1">
      <c r="A12" s="81" t="s">
        <v>102</v>
      </c>
      <c s="81" t="s">
        <v>155</v>
      </c>
    </row>
    <row r="13" customHeight="1">
      <c r="A13" s="81" t="s">
        <v>64</v>
      </c>
      <c s="81" t="s">
        <v>314</v>
      </c>
    </row>
    <row r="14" customHeight="1">
      <c r="A14" s="81" t="s">
        <v>29</v>
      </c>
      <c s="81" t="s">
        <v>156</v>
      </c>
    </row>
    <row r="15" customHeight="1">
      <c r="A15" s="81" t="s">
        <v>54</v>
      </c>
      <c s="81" t="s">
        <v>157</v>
      </c>
    </row>
    <row r="16" customHeight="1">
      <c r="A16" s="81" t="s">
        <v>158</v>
      </c>
      <c s="81" t="s">
        <v>159</v>
      </c>
    </row>
    <row r="17" customHeight="1">
      <c r="A17" s="81" t="s">
        <v>160</v>
      </c>
      <c s="81" t="s">
        <v>161</v>
      </c>
      <c s="81" t="s">
        <v>162</v>
      </c>
    </row>
    <row r="18" customHeight="1">
      <c r="A18" s="81" t="s">
        <v>163</v>
      </c>
      <c s="81" t="s">
        <v>164</v>
      </c>
      <c s="81" t="s">
        <v>165</v>
      </c>
    </row>
    <row r="19" customHeight="1">
      <c r="A19" s="81" t="s">
        <v>103</v>
      </c>
      <c s="120" t="s">
        <v>186</v>
      </c>
    </row>
    <row r="20" customHeight="1">
      <c r="A20" s="81" t="s">
        <v>104</v>
      </c>
      <c s="81" t="s">
        <v>185</v>
      </c>
      <c r="D20" s="81"/>
    </row>
    <row r="21" customHeight="1">
      <c r="A21" s="81" t="s">
        <v>190</v>
      </c>
      <c s="120" t="s">
        <v>315</v>
      </c>
    </row>
    <row r="22" customHeight="1">
      <c r="A22" s="81" t="s">
        <v>226</v>
      </c>
      <c s="120" t="s">
        <v>227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10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N19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1.5" customWidth="1" style="24"/>
    <col min="2" max="2" width="7.75" customWidth="1" style="24"/>
    <col min="3" max="6" width="8.5" customWidth="1" style="33"/>
    <col min="7" max="7" width="8.5" customWidth="1" style="87"/>
    <col min="8" max="8" width="7.75" customWidth="1" style="33"/>
    <col min="9" max="9" width="9.75" customWidth="1" style="24"/>
    <col min="10" max="10" width="7.38" customWidth="1" style="24"/>
    <col min="11" max="11" width="10" customWidth="1" style="24"/>
    <col min="12" max="12" width="10.5" customWidth="1" style="35"/>
    <col min="13" max="13" width="9" style="24"/>
    <col min="14" max="14" width="6.63" customWidth="1" style="24"/>
    <col min="15" max="16384" width="9" style="24"/>
  </cols>
  <sheetData>
    <row r="1" ht="28.5">
      <c r="A1" s="102" t="s">
        <v>94</v>
      </c>
      <c s="102" t="s">
        <v>321</v>
      </c>
      <c s="271" t="s">
        <v>180</v>
      </c>
      <c s="22"/>
      <c s="235"/>
      <c s="352" t="s">
        <v>166</v>
      </c>
      <c s="93" t="s">
        <v>167</v>
      </c>
      <c s="352" t="s">
        <v>322</v>
      </c>
      <c s="207" t="s">
        <v>168</v>
      </c>
      <c s="38" t="s">
        <v>169</v>
      </c>
      <c s="39" t="s">
        <v>170</v>
      </c>
    </row>
    <row r="2" ht="15" customHeight="1">
      <c r="A2" s="346" t="s">
        <v>347</v>
      </c>
      <c s="351" t="s">
        <v>113</v>
      </c>
      <c s="173">
        <v>656.12</v>
      </c>
      <c s="173">
        <v>656.12</v>
      </c>
      <c s="173">
        <v>656.1</v>
      </c>
      <c s="214">
        <f ref="F2:F10" t="shared" si="0">IFERROR(AVERAGE(C2:E2),"")</f>
        <v>656.1133333333333</v>
      </c>
      <c s="215">
        <f ref="G2:G10" t="shared" si="1">IFERROR(F2-B2,"")</f>
        <v>0.013333333333321207</v>
      </c>
      <c s="86">
        <f ref="H2:H10" t="shared" si="2">MAX(C2:E2)-MIN(C2:E2)</f>
        <v>0.01999999999998181</v>
      </c>
      <c s="86">
        <v>0.1</v>
      </c>
      <c s="124">
        <v>0.1</v>
      </c>
      <c s="51" t="str">
        <f ref="K2:K10" t="shared" si="3">IF(C2="","不合格",IF(AND(ROUND(ABS(G2),1)&lt;=ROUND(ABS(I2),1),ROUND(H2,1)&lt;=ROUND(J2,1)),"合格","不合格"))</f>
        <v>合格</v>
      </c>
      <c s="97"/>
    </row>
    <row r="3" ht="15" customHeight="1">
      <c r="A3" s="346" t="s">
        <v>348</v>
      </c>
      <c s="351" t="s">
        <v>194</v>
      </c>
      <c s="173">
        <v>486.02</v>
      </c>
      <c s="173">
        <v>486.02</v>
      </c>
      <c s="173">
        <v>486.02</v>
      </c>
      <c s="214">
        <f t="shared" si="0"/>
        <v>486.02</v>
      </c>
      <c s="215">
        <f t="shared" si="1"/>
        <v>0.01999999999998181</v>
      </c>
      <c s="86">
        <f t="shared" si="2"/>
        <v>0</v>
      </c>
      <c s="86">
        <v>0.3</v>
      </c>
      <c s="124">
        <v>0.1</v>
      </c>
      <c s="51" t="str">
        <f t="shared" si="3"/>
        <v>合格</v>
      </c>
      <c s="97"/>
    </row>
    <row r="4" ht="15" customHeight="1">
      <c r="A4" s="346" t="s">
        <v>15</v>
      </c>
      <c s="351" t="str">
        <f>'标准值'!C15</f>
        <v>807.4</v>
      </c>
      <c s="173">
        <v>807.4</v>
      </c>
      <c s="173">
        <v>807.4</v>
      </c>
      <c s="173">
        <v>807.4</v>
      </c>
      <c s="214">
        <f t="shared" si="0"/>
        <v>807.4</v>
      </c>
      <c s="215">
        <f t="shared" si="1"/>
        <v>0</v>
      </c>
      <c s="86">
        <f t="shared" si="2"/>
        <v>0</v>
      </c>
      <c s="86">
        <v>0.3</v>
      </c>
      <c s="124">
        <v>0.1</v>
      </c>
      <c s="51" t="str">
        <f t="shared" si="3"/>
        <v>合格</v>
      </c>
      <c s="24"/>
      <c r="N4" s="37"/>
    </row>
    <row r="5" ht="12" customHeight="1">
      <c r="A5" s="163" t="s">
        <v>193</v>
      </c>
      <c s="351" t="str">
        <f>'标准值'!C16</f>
        <v>640.7</v>
      </c>
      <c s="173">
        <v>640.8</v>
      </c>
      <c s="173">
        <v>640.8</v>
      </c>
      <c s="173">
        <v>640.8</v>
      </c>
      <c s="214">
        <f t="shared" si="0"/>
        <v>640.8</v>
      </c>
      <c s="215">
        <f t="shared" si="1"/>
        <v>0.09999999999990905</v>
      </c>
      <c s="86">
        <f t="shared" si="2"/>
        <v>0</v>
      </c>
      <c s="86">
        <v>0.3</v>
      </c>
      <c s="124">
        <v>0.1</v>
      </c>
      <c s="51" t="str">
        <f t="shared" si="3"/>
        <v>合格</v>
      </c>
      <c s="97"/>
    </row>
    <row r="6" customHeight="1">
      <c r="A6" s="348"/>
      <c s="351" t="str">
        <f>'标准值'!C17</f>
        <v>536.8</v>
      </c>
      <c s="173">
        <v>536.8</v>
      </c>
      <c s="173">
        <v>536.8</v>
      </c>
      <c s="173">
        <v>536.8</v>
      </c>
      <c s="214">
        <f t="shared" si="0"/>
        <v>536.8</v>
      </c>
      <c s="215">
        <f t="shared" si="1"/>
        <v>0</v>
      </c>
      <c s="86">
        <f t="shared" si="2"/>
        <v>0</v>
      </c>
      <c s="86">
        <v>0.3</v>
      </c>
      <c s="124">
        <v>0.1</v>
      </c>
      <c s="51" t="str">
        <f t="shared" si="3"/>
        <v>合格</v>
      </c>
      <c s="97"/>
      <c r="N6" s="95"/>
    </row>
    <row r="7" customHeight="1">
      <c r="A7" s="348"/>
      <c s="351" t="str">
        <f>'标准值'!C18</f>
        <v>416.5</v>
      </c>
      <c s="173">
        <v>416.5</v>
      </c>
      <c s="173">
        <v>416.6</v>
      </c>
      <c s="173">
        <v>416.6</v>
      </c>
      <c s="214">
        <f t="shared" si="0"/>
        <v>416.56666666666666</v>
      </c>
      <c s="215">
        <f t="shared" si="1"/>
        <v>0.06666666666666288</v>
      </c>
      <c s="86">
        <f t="shared" si="2"/>
        <v>0.10000000000002274</v>
      </c>
      <c s="86">
        <v>0.3</v>
      </c>
      <c s="124">
        <v>0.1</v>
      </c>
      <c s="51" t="str">
        <f t="shared" si="3"/>
        <v>合格</v>
      </c>
      <c s="97"/>
    </row>
    <row r="8" ht="15" customHeight="1">
      <c r="A8" s="348"/>
      <c s="351" t="str">
        <f>'标准值'!C19</f>
        <v>361.0</v>
      </c>
      <c s="173">
        <v>360.9</v>
      </c>
      <c s="173">
        <v>360.9</v>
      </c>
      <c s="173">
        <v>360.9</v>
      </c>
      <c s="214">
        <f t="shared" si="0"/>
        <v>360.8999999999999</v>
      </c>
      <c s="215">
        <f t="shared" si="1"/>
        <v>-0.10000000000007958</v>
      </c>
      <c s="86">
        <f t="shared" si="2"/>
        <v>0</v>
      </c>
      <c s="86">
        <v>0.3</v>
      </c>
      <c s="124">
        <v>0.1</v>
      </c>
      <c s="51" t="str">
        <f t="shared" si="3"/>
        <v>合格</v>
      </c>
      <c s="97"/>
    </row>
    <row r="9" ht="15" customHeight="1">
      <c r="A9" s="348"/>
      <c s="351" t="str">
        <f>'标准值'!C20</f>
        <v>287.4</v>
      </c>
      <c s="173">
        <v>287.5</v>
      </c>
      <c s="173">
        <v>287.5</v>
      </c>
      <c s="173">
        <v>287.5</v>
      </c>
      <c s="214">
        <f t="shared" si="0"/>
        <v>287.5</v>
      </c>
      <c s="215">
        <f t="shared" si="1"/>
        <v>0.10000000000002274</v>
      </c>
      <c s="86">
        <f t="shared" si="2"/>
        <v>0</v>
      </c>
      <c s="86">
        <v>0.3</v>
      </c>
      <c s="124">
        <v>0.1</v>
      </c>
      <c s="51" t="str">
        <f t="shared" si="3"/>
        <v>合格</v>
      </c>
      <c s="97"/>
    </row>
    <row r="10" ht="15" customHeight="1">
      <c r="A10" s="349"/>
      <c s="351" t="str">
        <f>'标准值'!C21</f>
        <v>241.0</v>
      </c>
      <c s="173">
        <v>241.1</v>
      </c>
      <c s="173">
        <v>241.2</v>
      </c>
      <c s="173">
        <v>241.2</v>
      </c>
      <c s="214">
        <f t="shared" si="0"/>
        <v>241.16666666666666</v>
      </c>
      <c s="215">
        <f t="shared" si="1"/>
        <v>0.1666666666666572</v>
      </c>
      <c s="86">
        <f t="shared" si="2"/>
        <v>0.09999999999999432</v>
      </c>
      <c s="86">
        <v>0.3</v>
      </c>
      <c s="124">
        <v>0.1</v>
      </c>
      <c s="51" t="str">
        <f t="shared" si="3"/>
        <v>合格</v>
      </c>
      <c s="97"/>
    </row>
    <row r="11" ht="15" customHeight="1">
      <c r="A11" s="169"/>
      <c s="7"/>
      <c s="23"/>
      <c s="178"/>
      <c s="178"/>
      <c s="178"/>
      <c s="94"/>
      <c s="178"/>
      <c s="178"/>
      <c s="36"/>
      <c s="32"/>
      <c s="97"/>
    </row>
    <row r="12" customHeight="1">
      <c r="L12" s="24"/>
    </row>
    <row r="13" customHeight="1">
      <c r="L13" s="24"/>
    </row>
    <row r="14" customHeight="1">
      <c r="L14" s="24"/>
    </row>
    <row r="15" customHeight="1">
      <c r="L15" s="24"/>
    </row>
    <row r="16" customHeight="1">
      <c r="L16" s="24"/>
    </row>
    <row r="17" customHeight="1">
      <c r="L17" s="24"/>
    </row>
    <row r="18" customHeight="1">
      <c r="L18" s="24"/>
    </row>
    <row r="19" customHeight="1">
      <c r="L19" s="24"/>
    </row>
  </sheetData>
  <mergeCells>
    <mergeCell ref="C1:E1"/>
    <mergeCell ref="A5:A10"/>
  </mergeCells>
  <conditionalFormatting sqref="K2:K11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L33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3.38" customWidth="1" style="24"/>
    <col min="2" max="2" width="7.25" customWidth="1" style="32"/>
    <col min="3" max="3" width="7.25" customWidth="1" style="33"/>
    <col min="4" max="6" width="7.88" customWidth="1" style="34"/>
    <col min="7" max="7" width="8.75" customWidth="1" style="98"/>
    <col min="8" max="8" width="7.88" customWidth="1" style="100"/>
    <col min="9" max="9" width="7.25" customWidth="1" style="33"/>
    <col min="10" max="11" width="7.25" customWidth="1" style="24"/>
    <col min="12" max="12" width="10" customWidth="1" style="24"/>
    <col min="13" max="13" width="9" style="24"/>
    <col min="14" max="14" width="14.38" customWidth="1" style="24"/>
    <col min="15" max="20" width="9" style="24"/>
    <col min="21" max="21" width="16.13" customWidth="1" style="24"/>
    <col min="22" max="22" width="13.88" customWidth="1" style="24"/>
    <col min="23" max="16384" width="9" style="24"/>
  </cols>
  <sheetData>
    <row r="1" ht="43.5">
      <c r="A1" s="102" t="s">
        <v>94</v>
      </c>
      <c s="102" t="s">
        <v>334</v>
      </c>
      <c s="352" t="s">
        <v>267</v>
      </c>
      <c s="347" t="s">
        <v>28</v>
      </c>
      <c s="15"/>
      <c s="208"/>
      <c s="352" t="s">
        <v>318</v>
      </c>
      <c s="93" t="s">
        <v>319</v>
      </c>
      <c s="352" t="s">
        <v>320</v>
      </c>
      <c s="207" t="s">
        <v>171</v>
      </c>
      <c s="207" t="s">
        <v>172</v>
      </c>
      <c s="102" t="s">
        <v>170</v>
      </c>
    </row>
    <row r="2" ht="15" customHeight="1">
      <c r="A2" s="145" t="s">
        <v>117</v>
      </c>
      <c s="350">
        <v>350</v>
      </c>
      <c s="350">
        <f>'标准值'!D2</f>
        <v>23.2</v>
      </c>
      <c s="209">
        <v>23.2135060352138</v>
      </c>
      <c s="209">
        <v>23.2151443754189</v>
      </c>
      <c s="209">
        <v>23.2170128988327</v>
      </c>
      <c s="29">
        <f ref="G2:G14" t="shared" si="0">IFERROR(AVERAGE(D2:F2),"")</f>
        <v>23.21522110315513</v>
      </c>
      <c s="85">
        <f ref="H2:H14" t="shared" si="1">IFERROR(G2-C2,"")</f>
        <v>0.015221103155131033</v>
      </c>
      <c s="99">
        <f ref="I2:I14" t="shared" si="2">MAX(ROUND(D2,2),ROUND(E2,2),ROUND(F2,2))-MIN(ROUND(D2,2),ROUND(E2,2),ROUND(F2,2))</f>
        <v>0.00999999999999801</v>
      </c>
      <c s="30">
        <v>0.3</v>
      </c>
      <c s="30">
        <v>0.1</v>
      </c>
      <c s="51" t="str">
        <f ref="L2:L14" t="shared" si="3">IF(D2="","不合格",IF(AND(ROUND(ABS(H2),2)&lt;=ROUND(ABS(J2),2),ROUND(I2,2)&lt;=ROUND(K2,2)),"合格","不合格"))</f>
        <v>合格</v>
      </c>
    </row>
    <row r="3" customHeight="1">
      <c r="A3" s="101"/>
      <c s="350">
        <v>313</v>
      </c>
      <c s="350">
        <f>'标准值'!D3</f>
        <v>51.58</v>
      </c>
      <c s="209">
        <v>51.502426941261</v>
      </c>
      <c s="209">
        <v>51.5006263633203</v>
      </c>
      <c s="209">
        <v>51.5028787865693</v>
      </c>
      <c s="29">
        <f t="shared" si="0"/>
        <v>51.50197736371687</v>
      </c>
      <c s="85">
        <f t="shared" si="1"/>
        <v>-0.07802263628313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4" customHeight="1">
      <c r="A4" s="101"/>
      <c s="144">
        <v>257</v>
      </c>
      <c s="350">
        <f>'标准值'!D4</f>
        <v>14.06</v>
      </c>
      <c s="209">
        <v>14.0387140915443</v>
      </c>
      <c s="209">
        <v>14.038438894086</v>
      </c>
      <c s="209">
        <v>14.0387864525875</v>
      </c>
      <c s="29">
        <f t="shared" si="0"/>
        <v>14.038646479405934</v>
      </c>
      <c s="85">
        <f t="shared" si="1"/>
        <v>-0.02135352059406692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5" customHeight="1">
      <c r="A5" s="113"/>
      <c s="144">
        <v>235</v>
      </c>
      <c s="350">
        <f>'标准值'!D5</f>
        <v>18.42</v>
      </c>
      <c s="209">
        <v>18.2830644689972</v>
      </c>
      <c s="209">
        <v>18.2849694108196</v>
      </c>
      <c s="209">
        <v>18.2859724458848</v>
      </c>
      <c s="29">
        <f t="shared" si="0"/>
        <v>18.284668775233865</v>
      </c>
      <c s="85">
        <f t="shared" si="1"/>
        <v>-0.13533122476613713</v>
      </c>
      <c s="99">
        <f t="shared" si="2"/>
        <v>0.00999999999999801</v>
      </c>
      <c s="30">
        <v>0.3</v>
      </c>
      <c s="30">
        <v>0.1</v>
      </c>
      <c s="51" t="str">
        <f t="shared" si="3"/>
        <v>合格</v>
      </c>
    </row>
    <row r="6" customHeight="1">
      <c r="A6" s="284" t="s">
        <v>80</v>
      </c>
      <c s="350">
        <v>635</v>
      </c>
      <c s="350">
        <f>'标准值'!D6</f>
        <v>7.57</v>
      </c>
      <c s="209">
        <v>7.75716016411304</v>
      </c>
      <c s="209">
        <v>7.75779615373729</v>
      </c>
      <c s="209">
        <v>7.75763983257119</v>
      </c>
      <c s="29">
        <f t="shared" si="0"/>
        <v>7.757532050140507</v>
      </c>
      <c s="85">
        <f t="shared" si="1"/>
        <v>0.1875320501405069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7" ht="15" customHeight="1">
      <c r="A7" s="115"/>
      <c s="350">
        <v>546</v>
      </c>
      <c s="350">
        <f>'标准值'!D7</f>
        <v>10.1</v>
      </c>
      <c s="209">
        <v>10.3311628130996</v>
      </c>
      <c s="209">
        <v>10.331663378631</v>
      </c>
      <c s="209">
        <v>10.3309513211052</v>
      </c>
      <c s="29">
        <f t="shared" si="0"/>
        <v>10.331259170945266</v>
      </c>
      <c s="85">
        <f t="shared" si="1"/>
        <v>0.2312591709452665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8" ht="15" customHeight="1">
      <c r="A8" s="345"/>
      <c s="350">
        <v>440</v>
      </c>
      <c s="350">
        <f>'标准值'!D8</f>
        <v>10.07</v>
      </c>
      <c s="209">
        <v>10.3352789294261</v>
      </c>
      <c s="209">
        <v>10.3339329088939</v>
      </c>
      <c s="209">
        <v>10.3336953991921</v>
      </c>
      <c s="29">
        <f t="shared" si="0"/>
        <v>10.334302412504032</v>
      </c>
      <c s="85">
        <f t="shared" si="1"/>
        <v>0.26430241250403164</v>
      </c>
      <c s="99">
        <f t="shared" si="2"/>
        <v>0.009999999999999787</v>
      </c>
      <c s="30">
        <v>0.3</v>
      </c>
      <c s="30">
        <v>0.1</v>
      </c>
      <c s="51" t="str">
        <f t="shared" si="3"/>
        <v>合格</v>
      </c>
    </row>
    <row r="9" ht="15" customHeight="1">
      <c r="A9" s="284" t="s">
        <v>84</v>
      </c>
      <c s="350">
        <v>635</v>
      </c>
      <c s="350">
        <f>'标准值'!D9</f>
        <v>18.98</v>
      </c>
      <c s="209">
        <v>19.0992477912635</v>
      </c>
      <c s="209">
        <v>19.1009195927094</v>
      </c>
      <c s="209">
        <v>19.1005893975044</v>
      </c>
      <c s="29">
        <f t="shared" si="0"/>
        <v>19.100252260492432</v>
      </c>
      <c s="85">
        <f t="shared" si="1"/>
        <v>0.12025226049243187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10" ht="15" customHeight="1">
      <c r="A10" s="115"/>
      <c s="350">
        <v>546</v>
      </c>
      <c s="350">
        <f>'标准值'!D10</f>
        <v>20.09</v>
      </c>
      <c s="209">
        <v>20.2279522460132</v>
      </c>
      <c s="209">
        <v>20.2277353591663</v>
      </c>
      <c s="209">
        <v>20.2279705763321</v>
      </c>
      <c s="29">
        <f t="shared" si="0"/>
        <v>20.227886060503867</v>
      </c>
      <c s="85">
        <f t="shared" si="1"/>
        <v>0.13788606050386676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11" customHeight="1">
      <c r="A11" s="345"/>
      <c s="350">
        <v>440</v>
      </c>
      <c s="350">
        <f>'标准值'!D11</f>
        <v>20.91</v>
      </c>
      <c s="209">
        <v>21.0399196447777</v>
      </c>
      <c s="209">
        <v>21.0379000644681</v>
      </c>
      <c s="209">
        <v>21.0399654703922</v>
      </c>
      <c s="29">
        <f t="shared" si="0"/>
        <v>21.039261726546002</v>
      </c>
      <c s="85">
        <f t="shared" si="1"/>
        <v>0.12926172654600165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12" customHeight="1">
      <c r="A12" s="284" t="s">
        <v>87</v>
      </c>
      <c s="350">
        <v>635</v>
      </c>
      <c s="350">
        <f>'标准值'!D12</f>
        <v>29.96</v>
      </c>
      <c s="209">
        <v>30.0090329949906</v>
      </c>
      <c s="209">
        <v>30.0091625860871</v>
      </c>
      <c s="209">
        <v>30.0077088113316</v>
      </c>
      <c s="29">
        <f t="shared" si="0"/>
        <v>30.008634797469767</v>
      </c>
      <c s="85">
        <f t="shared" si="1"/>
        <v>0.04863479746976651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13" customHeight="1">
      <c r="A13" s="115"/>
      <c s="350">
        <v>546</v>
      </c>
      <c s="350">
        <f>'标准值'!D13</f>
        <v>30.43</v>
      </c>
      <c s="209">
        <v>30.4517906462831</v>
      </c>
      <c s="209">
        <v>30.4506822382042</v>
      </c>
      <c s="209">
        <v>30.4526769160904</v>
      </c>
      <c s="29">
        <f t="shared" si="0"/>
        <v>30.45171660019257</v>
      </c>
      <c s="85">
        <f t="shared" si="1"/>
        <v>0.021716600192569047</v>
      </c>
      <c s="99">
        <f t="shared" si="2"/>
        <v>0</v>
      </c>
      <c s="30">
        <v>0.3</v>
      </c>
      <c s="30">
        <v>0.1</v>
      </c>
      <c s="51" t="str">
        <f t="shared" si="3"/>
        <v>合格</v>
      </c>
    </row>
    <row r="14" customHeight="1">
      <c r="A14" s="345"/>
      <c s="350">
        <v>440</v>
      </c>
      <c s="350">
        <f>'标准值'!D14</f>
        <v>28.88</v>
      </c>
      <c s="209">
        <v>28.9349204885557</v>
      </c>
      <c s="209">
        <v>28.9363249098598</v>
      </c>
      <c s="209">
        <v>28.9362750309536</v>
      </c>
      <c s="29">
        <f t="shared" si="0"/>
        <v>28.93584014312303</v>
      </c>
      <c s="85">
        <f t="shared" si="1"/>
        <v>0.05584014312303154</v>
      </c>
      <c s="99">
        <f t="shared" si="2"/>
        <v>0.010000000000001563</v>
      </c>
      <c s="30">
        <v>0.3</v>
      </c>
      <c s="30">
        <v>0.1</v>
      </c>
      <c s="51" t="str">
        <f t="shared" si="3"/>
        <v>合格</v>
      </c>
    </row>
    <row r="18" ht="15" customHeight="1"/>
    <row r="19" ht="15" customHeight="1"/>
    <row r="25" ht="15" customHeight="1"/>
    <row r="26" ht="15" customHeight="1"/>
    <row r="28" ht="15" customHeight="1"/>
    <row r="31" ht="15" customHeight="1"/>
    <row r="32" ht="15" customHeight="1"/>
    <row r="33" ht="15" customHeight="1"/>
  </sheetData>
  <mergeCells>
    <mergeCell ref="D1:F1"/>
    <mergeCell ref="A6:A8"/>
    <mergeCell ref="A9:A11"/>
    <mergeCell ref="A12:A14"/>
    <mergeCell ref="A2:A5"/>
  </mergeCells>
  <conditionalFormatting sqref="L2:L14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G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8.38" customWidth="1" style="24"/>
    <col min="2" max="2" width="7.88" customWidth="1" style="24"/>
    <col min="3" max="5" width="12.75" customWidth="1" style="41"/>
    <col min="6" max="6" width="10" customWidth="1" style="33"/>
    <col min="7" max="7" width="9.38" customWidth="1" style="24"/>
    <col min="8" max="16384" width="9" style="24"/>
  </cols>
  <sheetData>
    <row r="1" ht="30" customHeight="1">
      <c r="A1" s="102" t="s">
        <v>94</v>
      </c>
      <c s="102" t="s">
        <v>228</v>
      </c>
      <c s="211" t="s">
        <v>28</v>
      </c>
      <c s="146"/>
      <c s="210"/>
      <c s="136" t="s">
        <v>229</v>
      </c>
      <c s="102" t="s">
        <v>170</v>
      </c>
    </row>
    <row r="2" ht="18" customHeight="1">
      <c r="A2" s="40" t="s">
        <v>22</v>
      </c>
      <c s="40">
        <v>220</v>
      </c>
      <c s="168">
        <v>0.00734705514499705</v>
      </c>
      <c s="168">
        <v>0.00718823479530383</v>
      </c>
      <c s="168">
        <v>0.00734641866011581</v>
      </c>
      <c s="125">
        <v>0.01</v>
      </c>
      <c s="51" t="str">
        <f ref="G2:G3" t="shared" si="0">IF(C2="","不合格",IF(ROUND(ABS(AVERAGE(C2:E2)),4)&lt;ROUND(F2,4),"合格","不合格"))</f>
        <v>合格</v>
      </c>
    </row>
    <row r="3" ht="16.5" customHeight="1">
      <c r="A3" s="40" t="s">
        <v>24</v>
      </c>
      <c s="40">
        <v>360</v>
      </c>
      <c s="168">
        <v>0.0286288386919576</v>
      </c>
      <c s="168">
        <v>0.0277354309732046</v>
      </c>
      <c s="168">
        <v>0.0268413413808443</v>
      </c>
      <c s="125">
        <v>0.05</v>
      </c>
      <c s="51" t="str">
        <f t="shared" si="0"/>
        <v>合格</v>
      </c>
    </row>
    <row r="5" customHeight="1">
      <c r="A5" s="5"/>
    </row>
  </sheetData>
  <mergeCells>
    <mergeCell ref="C1:E1"/>
  </mergeCells>
  <conditionalFormatting sqref="G2:G3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1.75" customWidth="1" style="217"/>
    <col min="2" max="2" width="16.13" customWidth="1" style="28"/>
    <col min="3" max="3" width="17.5" customWidth="1" style="217"/>
    <col min="4" max="4" width="12.25" customWidth="1" style="217"/>
    <col min="5" max="16384" width="9" style="217"/>
  </cols>
  <sheetData>
    <row r="1" ht="30" customHeight="1">
      <c r="A1" s="102" t="s">
        <v>94</v>
      </c>
      <c s="212" t="s">
        <v>26</v>
      </c>
      <c s="207" t="s">
        <v>229</v>
      </c>
      <c s="102" t="s">
        <v>170</v>
      </c>
    </row>
    <row r="2" customHeight="1">
      <c r="A2" s="18" t="s">
        <v>25</v>
      </c>
      <c s="26">
        <v>0.000209477696040691</v>
      </c>
      <c s="27">
        <v>0.0005</v>
      </c>
      <c s="51" t="str">
        <f>IF(OR(B2="",(ABS(B2)&gt;C2)),"不合格","合格")</f>
        <v>合格</v>
      </c>
    </row>
    <row r="4" customHeight="1">
      <c r="B4" s="234"/>
    </row>
    <row r="5" customHeight="1">
      <c r="A5" s="213"/>
    </row>
  </sheetData>
  <conditionalFormatting sqref="D2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2.25" customWidth="1" style="217"/>
    <col min="2" max="2" width="12.75" customWidth="1" style="17"/>
    <col min="3" max="3" width="13.25" customWidth="1" style="45"/>
    <col min="4" max="4" width="10.25" customWidth="1" style="217"/>
    <col min="5" max="5" width="13.5" customWidth="1" style="217"/>
    <col min="6" max="8" width="9" style="217"/>
    <col min="9" max="9" width="10" customWidth="1" style="217"/>
    <col min="10" max="16384" width="9" style="217"/>
  </cols>
  <sheetData>
    <row r="1" ht="30" customHeight="1">
      <c r="A1" s="102" t="s">
        <v>94</v>
      </c>
      <c s="54" t="s">
        <v>28</v>
      </c>
      <c s="20" t="s">
        <v>229</v>
      </c>
      <c s="102" t="s">
        <v>170</v>
      </c>
    </row>
    <row r="2" customHeight="1">
      <c r="A2" s="18" t="s">
        <v>27</v>
      </c>
      <c s="226">
        <v>-0.0030023055137229</v>
      </c>
      <c s="126">
        <v>0.1</v>
      </c>
      <c s="51" t="str">
        <f>IF(B2="","不合格",IF(ABS(ROUND(B2,4))&lt;ROUND(C2,4),"合格","不合格"))</f>
        <v>合格</v>
      </c>
    </row>
    <row r="4" customHeight="1">
      <c r="B4" s="48"/>
    </row>
    <row r="5" customHeight="1">
      <c r="A5" s="213"/>
    </row>
  </sheetData>
  <conditionalFormatting sqref="D2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G3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9.38" customWidth="1" style="24"/>
    <col min="2" max="2" width="9.38" customWidth="1" style="32"/>
    <col min="3" max="3" width="11.38" customWidth="1" style="35"/>
    <col min="4" max="4" width="14.75" customWidth="1" style="34"/>
    <col min="5" max="5" width="12.13" customWidth="1" style="34"/>
    <col min="6" max="6" width="14.88" customWidth="1" style="34"/>
    <col min="7" max="7" width="10" customWidth="1" style="24"/>
    <col min="8" max="11" width="9" style="24"/>
    <col min="12" max="12" width="16.5" customWidth="1" style="24"/>
    <col min="13" max="16384" width="9" style="24"/>
  </cols>
  <sheetData>
    <row r="1" ht="30" customHeight="1">
      <c r="A1" s="102" t="s">
        <v>94</v>
      </c>
      <c s="53" t="s">
        <v>54</v>
      </c>
      <c s="53" t="s">
        <v>55</v>
      </c>
      <c s="54" t="s">
        <v>180</v>
      </c>
      <c s="54" t="s">
        <v>272</v>
      </c>
      <c s="42" t="s">
        <v>195</v>
      </c>
      <c s="102" t="s">
        <v>170</v>
      </c>
    </row>
    <row r="2" ht="15" customHeight="1">
      <c r="A2" s="18" t="s">
        <v>127</v>
      </c>
      <c s="179">
        <v>656.1</v>
      </c>
      <c s="44">
        <v>2</v>
      </c>
      <c s="19">
        <v>1.80000000000007</v>
      </c>
      <c s="19">
        <f>(D2-C2)/C2*100</f>
        <v>-9.9999999999965</v>
      </c>
      <c s="127">
        <v>20</v>
      </c>
      <c s="51" t="str">
        <f>IF(D2="","不合格",IF(ROUND(ABS(E2),2)&lt;=ROUND(ABS(F2),2),"合格","不合格"))</f>
        <v>合格</v>
      </c>
    </row>
    <row r="3" customHeight="1">
      <c r="C3" s="50"/>
      <c s="131"/>
      <c s="131"/>
      <c s="131"/>
      <c s="32"/>
    </row>
  </sheetData>
  <conditionalFormatting sqref="G2">
    <cfRule dxfId="1" priority="2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7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5" customWidth="1" style="217"/>
    <col min="2" max="2" width="11.38" customWidth="1" style="217"/>
    <col min="3" max="3" width="14.63" customWidth="1" style="134"/>
    <col min="4" max="4" width="14.13" customWidth="1" style="46"/>
    <col min="5" max="5" width="10" customWidth="1" style="217"/>
    <col min="6" max="16384" width="9" style="217"/>
  </cols>
  <sheetData>
    <row r="1" ht="30" customHeight="1">
      <c r="A1" s="43" t="s">
        <v>94</v>
      </c>
      <c s="102" t="s">
        <v>54</v>
      </c>
      <c s="6" t="s">
        <v>28</v>
      </c>
      <c s="31" t="s">
        <v>181</v>
      </c>
      <c s="102" t="s">
        <v>170</v>
      </c>
    </row>
    <row r="2" customHeight="1">
      <c r="A2" s="30" t="s">
        <v>129</v>
      </c>
      <c s="49">
        <v>500</v>
      </c>
      <c s="132">
        <v>0.0438015129593907</v>
      </c>
      <c s="128">
        <v>0.05</v>
      </c>
      <c s="51" t="str">
        <f ref="E2:E5" t="shared" si="0">IF(C2="","不合格",IF(C2&lt;=D2,"合格","不合格"))</f>
        <v>合格</v>
      </c>
    </row>
    <row r="3" customHeight="1">
      <c r="A3" s="30" t="s">
        <v>130</v>
      </c>
      <c s="49">
        <v>500</v>
      </c>
      <c s="132">
        <v>0.000397429137747369</v>
      </c>
      <c s="2">
        <v>0.005</v>
      </c>
      <c s="51" t="str">
        <f t="shared" si="0"/>
        <v>合格</v>
      </c>
    </row>
    <row r="4" customHeight="1">
      <c r="A4" s="30" t="s">
        <v>131</v>
      </c>
      <c s="49">
        <v>250</v>
      </c>
      <c s="132">
        <v>0.0115001569688786</v>
      </c>
      <c s="128">
        <v>0.05</v>
      </c>
      <c s="51" t="str">
        <f t="shared" si="0"/>
        <v>合格</v>
      </c>
    </row>
    <row r="5" customHeight="1">
      <c r="A5" s="30" t="s">
        <v>132</v>
      </c>
      <c s="49">
        <v>250</v>
      </c>
      <c s="132">
        <v>0.000833600330808267</v>
      </c>
      <c s="2">
        <v>0.005</v>
      </c>
      <c s="51" t="str">
        <f t="shared" si="0"/>
        <v>合格</v>
      </c>
    </row>
    <row r="7" customHeight="1">
      <c r="A7" s="213"/>
      <c s="4"/>
    </row>
  </sheetData>
  <conditionalFormatting sqref="E2:E5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7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6.13" customWidth="1" style="217"/>
    <col min="2" max="2" width="11.38" customWidth="1" style="217"/>
    <col min="3" max="3" width="14.38" customWidth="1" style="46"/>
    <col min="4" max="4" width="14.25" customWidth="1" style="47"/>
    <col min="5" max="5" width="10.75" customWidth="1" style="217"/>
    <col min="6" max="16384" width="9" style="217"/>
  </cols>
  <sheetData>
    <row r="1" ht="30" customHeight="1">
      <c r="A1" s="43" t="s">
        <v>94</v>
      </c>
      <c s="102" t="s">
        <v>187</v>
      </c>
      <c s="3" t="s">
        <v>28</v>
      </c>
      <c s="133" t="s">
        <v>181</v>
      </c>
      <c s="102" t="s">
        <v>170</v>
      </c>
    </row>
    <row r="2" customHeight="1">
      <c r="A2" s="30" t="s">
        <v>134</v>
      </c>
      <c s="49">
        <v>1090</v>
      </c>
      <c s="135">
        <v>0.0337934880670474</v>
      </c>
      <c s="129">
        <v>0.1</v>
      </c>
      <c s="51" t="str">
        <f ref="E2:E5" t="shared" si="0">IF(C2="","不合格",IF(C2&lt;=D2,"合格","不合格"))</f>
        <v>合格</v>
      </c>
    </row>
    <row r="3" customHeight="1">
      <c r="A3" s="30" t="s">
        <v>135</v>
      </c>
      <c s="49">
        <v>1090</v>
      </c>
      <c s="135">
        <v>0.000720278882702606</v>
      </c>
      <c s="128">
        <v>0.02</v>
      </c>
      <c s="51" t="str">
        <f t="shared" si="0"/>
        <v>合格</v>
      </c>
    </row>
    <row r="4" customHeight="1">
      <c r="A4" s="30" t="s">
        <v>136</v>
      </c>
      <c s="49">
        <v>200</v>
      </c>
      <c s="135">
        <v>0.0173032138426379</v>
      </c>
      <c s="129">
        <v>0.1</v>
      </c>
      <c s="51" t="str">
        <f t="shared" si="0"/>
        <v>合格</v>
      </c>
    </row>
    <row r="5" customHeight="1">
      <c r="A5" s="30" t="s">
        <v>137</v>
      </c>
      <c s="49">
        <v>200</v>
      </c>
      <c s="135">
        <v>0.00130825069389327</v>
      </c>
      <c s="128">
        <v>0.02</v>
      </c>
      <c s="51" t="str">
        <f t="shared" si="0"/>
        <v>合格</v>
      </c>
    </row>
    <row r="7" customHeight="1">
      <c r="A7" s="213"/>
      <c s="4"/>
    </row>
  </sheetData>
  <conditionalFormatting sqref="E2:E5">
    <cfRule dxfId="1" priority="1" type="cellIs" operator="equal">
      <formula>"不合格"</formula>
    </cfRule>
  </conditionalFormatting>
  <printOptions/>
  <pageMargins left="0.7" right="0.7" top="0.75" bottom="0.75" header="0.3" footer="0.3"/>
  <pageSetup firstPageNumber="4294963191" copies="0"/>
  <headerFooter/>
  <extLst/>
</worksheet>
</file>

<file path=xl/worksheets/sheet1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2" width="10.5" customWidth="1" style="217"/>
    <col min="3" max="3" width="16.63" customWidth="1" style="47"/>
    <col min="4" max="4" width="16.63" customWidth="1" style="217"/>
    <col min="5" max="5" width="10.75" customWidth="1" style="217"/>
    <col min="6" max="16384" width="9" style="217"/>
  </cols>
  <sheetData>
    <row r="1" ht="30" customHeight="1">
      <c r="A1" s="102" t="s">
        <v>94</v>
      </c>
      <c s="102" t="s">
        <v>187</v>
      </c>
      <c s="352" t="s">
        <v>28</v>
      </c>
      <c s="207" t="s">
        <v>229</v>
      </c>
      <c s="102" t="s">
        <v>170</v>
      </c>
    </row>
    <row r="2" customHeight="1">
      <c r="A2" s="18" t="s">
        <v>138</v>
      </c>
      <c s="14">
        <v>500</v>
      </c>
      <c s="29">
        <v>0.089280046213446</v>
      </c>
      <c s="123">
        <v>0.1</v>
      </c>
      <c s="51" t="str">
        <f ref="E2:E11" t="shared" si="0">IF(C2="","不合格",IF(C2&lt;=D2,"合格","不合格"))</f>
        <v>合格</v>
      </c>
    </row>
    <row r="3" customHeight="1">
      <c r="A3" s="18" t="s">
        <v>138</v>
      </c>
      <c s="14">
        <v>500</v>
      </c>
      <c s="29"/>
      <c s="123">
        <v>0.1</v>
      </c>
      <c s="51" t="str">
        <f t="shared" si="0"/>
        <v>不合格</v>
      </c>
    </row>
    <row r="4" customHeight="1">
      <c r="A4" s="18" t="s">
        <v>138</v>
      </c>
      <c s="14">
        <v>500</v>
      </c>
      <c s="29"/>
      <c s="123">
        <v>0.1</v>
      </c>
      <c s="51" t="str">
        <f t="shared" si="0"/>
        <v>不合格</v>
      </c>
    </row>
    <row r="5" customHeight="1">
      <c r="A5" s="18" t="s">
        <v>138</v>
      </c>
      <c s="14">
        <v>500</v>
      </c>
      <c s="29"/>
      <c s="123">
        <v>0.1</v>
      </c>
      <c s="51" t="str">
        <f t="shared" si="0"/>
        <v>不合格</v>
      </c>
    </row>
    <row r="6" customHeight="1">
      <c r="A6" s="18" t="s">
        <v>138</v>
      </c>
      <c s="14">
        <v>500</v>
      </c>
      <c s="29"/>
      <c s="123">
        <v>0.1</v>
      </c>
      <c s="51" t="str">
        <f t="shared" si="0"/>
        <v>不合格</v>
      </c>
    </row>
    <row r="7" customHeight="1">
      <c r="A7" s="18" t="s">
        <v>138</v>
      </c>
      <c s="14">
        <v>500</v>
      </c>
      <c s="29"/>
      <c s="123">
        <v>0.1</v>
      </c>
      <c s="51" t="str">
        <f t="shared" si="0"/>
        <v>不合格</v>
      </c>
    </row>
    <row r="8" customHeight="1">
      <c r="A8" s="18" t="s">
        <v>138</v>
      </c>
      <c s="14">
        <v>500</v>
      </c>
      <c s="29"/>
      <c s="123">
        <v>0.1</v>
      </c>
      <c s="51" t="str">
        <f t="shared" si="0"/>
        <v>不合格</v>
      </c>
    </row>
    <row r="9" customHeight="1">
      <c r="A9" s="18" t="s">
        <v>138</v>
      </c>
      <c s="14">
        <v>500</v>
      </c>
      <c s="29"/>
      <c s="123">
        <v>0.1</v>
      </c>
      <c s="51" t="str">
        <f t="shared" si="0"/>
        <v>不合格</v>
      </c>
    </row>
    <row r="10" customHeight="1">
      <c r="A10" s="18" t="s">
        <v>138</v>
      </c>
      <c s="14">
        <v>500</v>
      </c>
      <c s="29"/>
      <c s="123">
        <v>0.1</v>
      </c>
      <c s="51" t="str">
        <f t="shared" si="0"/>
        <v>不合格</v>
      </c>
    </row>
    <row r="11" customHeight="1">
      <c r="A11" s="18" t="s">
        <v>138</v>
      </c>
      <c s="14">
        <v>500</v>
      </c>
      <c s="29"/>
      <c s="123">
        <v>0.1</v>
      </c>
      <c s="51" t="str">
        <f t="shared" si="0"/>
        <v>不合格</v>
      </c>
    </row>
  </sheetData>
  <conditionalFormatting sqref="E2:E11">
    <cfRule dxfId="1" priority="1" type="cellIs" operator="equal">
      <formula>"不合格"</formula>
    </cfRule>
  </conditionalFormatting>
  <printOptions/>
  <pageMargins left="0.7" right="0.7" top="0.75" bottom="0.75" header="0.3" footer="0.3"/>
  <pageSetup firstPageNumber="4294963191" copies="0"/>
  <headerFooter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99153</dc:creator>
  <cp:lastModifiedBy>Administrator</cp:lastModifiedBy>
  <cp:revision>0</cp:revision>
  <dcterms:created xsi:type="dcterms:W3CDTF">2006-09-16T08:00:00+08:00</dcterms:created>
  <dcterms:modified xsi:type="dcterms:W3CDTF">2023-09-12T01:11:55+08:00</dcterms:modified>
</cp:coreProperties>
</file>