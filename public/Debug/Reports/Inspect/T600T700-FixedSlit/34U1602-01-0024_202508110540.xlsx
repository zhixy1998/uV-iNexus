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eg" ContentType="image/jpeg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:gc="http://schemas.grapecity.com/office/spreadsheet/2018/main" xmlns="http://schemas.openxmlformats.org/spreadsheetml/2006/main" mc:Ignorable="x15">
  <fileVersion appName="xl" lastEdited="3" lowestEdited="5" rupBuild="9302"/>
  <workbookPr/>
  <bookViews>
    <workbookView xWindow="0" yWindow="0" windowWidth="28800" windowHeight="11010" tabRatio="898" firstSheet="2" activeTab="10"/>
  </bookViews>
  <sheets>
    <sheet name="Report" sheetId="21" state="hidden" r:id="rId2"/>
    <sheet name="基础信息" sheetId="13" state="hidden" r:id="rId3"/>
    <sheet name="测量结果表" sheetId="20" state="hidden" r:id="rId4"/>
    <sheet name="管理表" sheetId="19" state="hidden" r:id="rId5"/>
    <sheet name="对应信息" sheetId="17" state="hidden" r:id="rId6"/>
    <sheet name="检测项信息" sheetId="14" state="hidden" r:id="rId7"/>
    <sheet name="仪器状态" sheetId="22" state="hidden" r:id="rId8"/>
    <sheet name="样品池准确度与重复性校验" sheetId="23" state="hidden" r:id="rId9"/>
    <sheet name="标准值" sheetId="16" state="hidden" r:id="rId10"/>
    <sheet name="字段对应" sheetId="15" state="hidden" r:id="rId11"/>
    <sheet name="波长示值误差与重复性校验" sheetId="3" r:id="rId12"/>
    <sheet name="透射比示值误差与重复性校验" sheetId="4" r:id="rId13"/>
    <sheet name="杂散光校验" sheetId="5" r:id="rId14"/>
    <sheet name="基线平直度检验" sheetId="6" r:id="rId15"/>
    <sheet name="基线暗噪声检验" sheetId="7" r:id="rId16"/>
    <sheet name="光谱带宽与仪器最小光谱带宽" sheetId="8" r:id="rId17"/>
    <sheet name="噪声检验" sheetId="9" r:id="rId18"/>
    <sheet name="波长边缘噪声" sheetId="10" r:id="rId19"/>
    <sheet name="漂移检验" sheetId="11" r:id="rId20"/>
  </sheets>
  <definedNames>
    <definedName name="OLE_LINK10" localSheetId="0">Report!#REF!</definedName>
  </definedNames>
  <calcPr calcId="189999"/>
  <extLst>
    <ext xmlns:x14="http://schemas.microsoft.com/office/spreadsheetml/2009/9/main" uri="{508A625A-C496-44e7-AB3D-5DD9D212655C}">
      <gcWorkbook aFmt="0" aCreateHyperlink="0" excelShortcuts="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<sst xmlns="http://schemas.openxmlformats.org/spreadsheetml/2006/main" uniqueCount="362">
  <si>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</si>
  <si>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</si>
  <si>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</si>
  <si>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</si>
  <si>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</si>
  <si>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</si>
  <si>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</si>
  <si>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</si>
  <si>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</si>
  <si>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</si>
  <si>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</si>
  <si>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</si>
  <si>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</si>
  <si>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</si>
  <si>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</si>
  <si>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</si>
  <si>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</si>
  <si>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</si>
  <si>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</si>
  <si>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波长示值误差与重复性</t>
  </si>
  <si>
    <t xml:space="preserve">
波长示值误差
氘灯：
±0.1nm
镨钕：
±0.3nm
波长重复性
≤0.1nm 
</t>
  </si>
  <si>
    <t>波长段</t>
  </si>
  <si>
    <t>B段</t>
  </si>
  <si>
    <t>检测工具</t>
  </si>
  <si>
    <t>镨钕滤光片</t>
  </si>
  <si>
    <t>氘灯</t>
  </si>
  <si>
    <t>标准值(nm)</t>
  </si>
  <si>
    <t>测量值（nm）</t>
  </si>
  <si>
    <t>平均值(nm)</t>
  </si>
  <si>
    <t>误差值(nm)</t>
  </si>
  <si>
    <t>重复性(nm)</t>
  </si>
  <si>
    <t xml:space="preserve">波长示值误差与重复性
</t>
  </si>
  <si>
    <t xml:space="preserve">
波长示值误差
钬溶液：
±0.3nm
波长重复性
≤0.1nm </t>
  </si>
  <si>
    <t>钬溶液</t>
  </si>
  <si>
    <t>透射比示值误差与重复性
(可见区）</t>
  </si>
  <si>
    <t xml:space="preserve">透射比示值误差
±0.3%
透射比重复性
≤0.1%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</si>
  <si>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</si>
  <si>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</si>
  <si>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</si>
  <si>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</si>
  <si>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</si>
  <si>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测量值(%)</t>
  </si>
  <si>
    <t>平均值(%)</t>
  </si>
  <si>
    <t>误差值(%)</t>
  </si>
  <si>
    <t>重复性(%)</t>
  </si>
  <si>
    <t>20%中性滤光片</t>
  </si>
  <si>
    <t>透射比示值误差
±0.3%
透射比重复性
≤0.1%</t>
  </si>
  <si>
    <t>30%中性滤光片</t>
  </si>
  <si>
    <t xml:space="preserve">透射比示值误差与
重复性
（紫外区）
</t>
  </si>
  <si>
    <t>紫外分光光度计标准物质GBW(E)130066</t>
  </si>
  <si>
    <t>标准值（%）</t>
  </si>
  <si>
    <t>测量值（%）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</si>
  <si>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</si>
  <si>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</si>
  <si>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</si>
  <si>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</si>
  <si>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</si>
  <si>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</si>
  <si>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</si>
  <si>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</si>
  <si>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</si>
  <si>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</si>
  <si>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</si>
  <si>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</si>
  <si>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基线暗噪声</t>
  </si>
  <si>
    <t>≤±0.1%</t>
  </si>
  <si>
    <t>光谱带宽</t>
  </si>
  <si>
    <t>不超过标称光谱带宽的±20%</t>
  </si>
  <si>
    <t>光谱带宽（nm）</t>
  </si>
  <si>
    <t>氘灯2.0</t>
  </si>
  <si>
    <t>测量值(nm)</t>
  </si>
  <si>
    <t>偏差（%）</t>
  </si>
  <si>
    <t>噪声500nm</t>
  </si>
  <si>
    <t>≤0.05%</t>
  </si>
  <si>
    <t>≤0.005%</t>
  </si>
  <si>
    <t>噪声250nm</t>
  </si>
  <si>
    <t>边缘噪声
1090 nm</t>
  </si>
  <si>
    <t>≤0.1%</t>
  </si>
  <si>
    <t>边缘噪声200nm</t>
  </si>
  <si>
    <t>漂移</t>
  </si>
  <si>
    <t>500nm ≤0.1%/h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</si>
  <si>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</si>
  <si>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</si>
  <si>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</si>
  <si>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</si>
  <si>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</si>
  <si>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</si>
  <si>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</si>
  <si>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</si>
  <si>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</si>
  <si>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</si>
  <si>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</si>
  <si>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</si>
  <si>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</si>
  <si>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</si>
  <si>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</si>
  <si>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</si>
  <si>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</si>
  <si>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</si>
  <si>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</si>
  <si>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</si>
  <si>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</si>
  <si>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</si>
  <si>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</si>
  <si>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</si>
  <si>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</si>
  <si>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</si>
  <si>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</si>
  <si>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</si>
  <si>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样品池准确度于重复性校验</t>
  </si>
  <si>
    <t>准确度：100%±0.1%
重复性：&lt;0.1%</t>
  </si>
  <si>
    <t>1号池测量值(%)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</si>
  <si>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</si>
  <si>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</si>
  <si>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</si>
  <si>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</si>
  <si>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</si>
  <si>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</si>
  <si>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</si>
  <si>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</si>
  <si>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</si>
  <si>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</si>
  <si>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</si>
  <si>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</si>
  <si>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</si>
  <si>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</si>
  <si>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</si>
  <si>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</si>
  <si>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</si>
  <si>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</si>
  <si>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</si>
  <si>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</si>
  <si>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</si>
  <si>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是</t>
  </si>
  <si>
    <t>钨灯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</si>
  <si>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</si>
  <si>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</si>
  <si>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</si>
  <si>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</si>
  <si>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</si>
  <si>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</si>
  <si>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</si>
  <si>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</si>
  <si>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</si>
  <si>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汞灯</t>
  </si>
  <si>
    <t>Es</t>
  </si>
  <si>
    <t>中速</t>
  </si>
  <si>
    <t>1.0</t>
  </si>
  <si>
    <t>739.2,,807.4</t>
  </si>
  <si>
    <t>Er</t>
  </si>
  <si>
    <t>快速</t>
  </si>
  <si>
    <t>2.0</t>
  </si>
  <si>
    <t>635.0,546.0,440.0</t>
  </si>
  <si>
    <t>R%</t>
  </si>
  <si>
    <t>极快</t>
  </si>
  <si>
    <t>5.0</t>
  </si>
  <si>
    <t>635.0,546.0,440.1</t>
  </si>
  <si>
    <t xml:space="preserve"> 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</si>
  <si>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</si>
  <si>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</si>
  <si>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</si>
  <si>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</si>
  <si>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</si>
  <si>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</si>
  <si>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</si>
  <si>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</si>
  <si>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</si>
  <si>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</si>
  <si>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</si>
  <si>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</si>
  <si>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</si>
  <si>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</si>
  <si>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</si>
  <si>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</si>
  <si>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</si>
  <si>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</si>
  <si>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</si>
  <si>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</si>
  <si>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</si>
  <si>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</si>
  <si>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</si>
  <si>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</si>
  <si>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</si>
  <si>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</si>
  <si>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</si>
  <si>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</si>
  <si>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</si>
  <si>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</si>
  <si>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</si>
  <si>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</si>
  <si>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</si>
  <si>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</si>
  <si>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</si>
  <si>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</si>
  <si>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</si>
  <si>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</si>
  <si>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</si>
  <si>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</si>
  <si>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</si>
  <si>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</si>
  <si>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</si>
  <si>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光谱带宽与仪器最小光谱带宽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</si>
  <si>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</si>
  <si>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</si>
  <si>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</si>
  <si>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</si>
  <si>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</si>
  <si>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</si>
  <si>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</si>
  <si>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</si>
  <si>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</si>
  <si>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</si>
  <si>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</si>
  <si>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</si>
  <si>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</si>
  <si>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</si>
  <si>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</si>
  <si>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</si>
  <si>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</si>
  <si>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</si>
  <si>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</si>
  <si>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</si>
  <si>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</si>
  <si>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</si>
  <si>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</si>
  <si>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</si>
  <si>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</si>
  <si>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</si>
  <si>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</si>
  <si>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</si>
  <si>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</si>
  <si>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</si>
  <si>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</si>
  <si>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</si>
  <si>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</si>
  <si>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</si>
  <si>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</si>
  <si>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</si>
  <si>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</si>
  <si>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</si>
  <si>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</si>
  <si>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</si>
  <si>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</si>
  <si>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</si>
  <si>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</si>
  <si>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氘灯(656.1)</t>
  </si>
  <si>
    <t>寻峰</t>
  </si>
  <si>
    <t>空气</t>
  </si>
  <si>
    <t>氘灯(486.0)</t>
  </si>
  <si>
    <t>黑挡块</t>
  </si>
  <si>
    <t>640.7,536.8,416.5,361.0,287.4,241.0</t>
  </si>
  <si>
    <t>求半峰宽</t>
  </si>
  <si>
    <t>求最大偏移量</t>
  </si>
  <si>
    <t>最大最小值差</t>
  </si>
  <si>
    <t>220nm杂散光</t>
  </si>
  <si>
    <t>220</t>
  </si>
  <si>
    <t>多次测量</t>
  </si>
  <si>
    <t>碘化钠空白溶液</t>
  </si>
  <si>
    <t>360nm杂散光</t>
  </si>
  <si>
    <t>360</t>
  </si>
  <si>
    <t>亚硝酸钠空白溶液</t>
  </si>
  <si>
    <t>350,313,257,235</t>
  </si>
  <si>
    <t>求平均</t>
  </si>
  <si>
    <t>紫外分光光度计标准物质空白溶液</t>
  </si>
  <si>
    <t>23.2,51.58,14.06,18.42</t>
  </si>
  <si>
    <t>635,546,440</t>
  </si>
  <si>
    <t>7.57,10.1,10.07</t>
  </si>
  <si>
    <t>18.89,20.09,20.91</t>
  </si>
  <si>
    <t>29.96,30.43,28.88</t>
  </si>
  <si>
    <t>仪器预热1小时之后进行检验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</si>
  <si>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</si>
  <si>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</si>
  <si>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</si>
  <si>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</si>
  <si>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</si>
  <si>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</si>
  <si>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</si>
  <si>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</si>
  <si>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</si>
  <si>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</si>
  <si>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</si>
  <si>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</si>
  <si>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</si>
  <si>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</si>
  <si>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</si>
  <si>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</si>
  <si>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</si>
  <si>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</si>
  <si>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</si>
  <si>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</si>
  <si>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</si>
  <si>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</si>
  <si>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测试项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</si>
  <si>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</si>
  <si>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</si>
  <si>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</si>
  <si>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</si>
  <si>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</si>
  <si>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</si>
  <si>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</si>
  <si>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</si>
  <si>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</si>
  <si>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</si>
  <si>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</si>
  <si>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</si>
  <si>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</si>
  <si>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</si>
  <si>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</si>
  <si>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</si>
  <si>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</si>
  <si>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</si>
  <si>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</si>
  <si>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</si>
  <si>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</si>
  <si>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</si>
  <si>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</si>
  <si>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</si>
  <si>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</si>
  <si>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</si>
  <si>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</si>
  <si>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</si>
  <si>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</si>
  <si>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</si>
  <si>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</si>
  <si>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</si>
  <si>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</si>
  <si>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</si>
  <si>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</si>
  <si>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</si>
  <si>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</si>
  <si>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</si>
  <si>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</si>
  <si>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</si>
  <si>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</si>
  <si>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</si>
  <si>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</si>
  <si>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</si>
  <si>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</si>
  <si>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</si>
  <si>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</si>
  <si>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特征值（nm）</t>
  </si>
  <si>
    <t>平均值（nm）</t>
  </si>
  <si>
    <t>误差值（nm）</t>
  </si>
  <si>
    <t>重复性（nm）</t>
  </si>
  <si>
    <t>波长示值误差(nm)</t>
  </si>
  <si>
    <t>氘灯656.1</t>
  </si>
  <si>
    <t>氘灯486</t>
  </si>
  <si>
    <t>486</t>
  </si>
  <si>
    <t>特征值(nm)</t>
  </si>
  <si>
    <t>平均值（%）</t>
  </si>
  <si>
    <t>误差值（%）</t>
  </si>
  <si>
    <t>重复性（%）</t>
  </si>
  <si>
    <t>透射比示值误差</t>
  </si>
  <si>
    <t>透射比重复性</t>
  </si>
  <si>
    <t>波长点</t>
  </si>
  <si>
    <t>指标要求</t>
  </si>
  <si>
    <t>误差范围（%）</t>
  </si>
  <si>
    <t>垂直距离范围</t>
  </si>
  <si>
    <t>测量波长</t>
  </si>
  <si>
    <t>34U1602-01-0024</t>
  </si>
  <si>
    <t>2.2.24.1119</t>
  </si>
  <si>
    <t>32804,1327810,267109,1377501;32804,1327918,267109,1377612;32804,1328125,267109,1378073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</si>
</sst>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>
    <numFmt numFmtId="164" formatCode="General"/>
    <numFmt numFmtId="165" formatCode="0%"/>
    <numFmt numFmtId="166" formatCode="_ * #,##0_ ;_ * \-#,##0_ ;_ * &quot;-&quot;_ ;_ @_ "/>
    <numFmt numFmtId="167" formatCode="_ &quot;￥&quot;* #,##0_ ;_ &quot;￥&quot;* \-#,##0_ ;_ &quot;￥&quot;* &quot;-&quot;_ ;_ @_ "/>
    <numFmt numFmtId="168" formatCode="_ * #,##0.00_ ;_ * \-#,##0.00_ ;_ * &quot;-&quot;??_ ;_ @_ "/>
    <numFmt numFmtId="169" formatCode="_ &quot;￥&quot;* #,##0.00_ ;_ &quot;￥&quot;* \-#,##0.00_ ;_ &quot;￥&quot;* &quot;-&quot;??_ ;_ @_ "/>
    <numFmt numFmtId="240" formatCode="0.00_);[Red]\(0.00\)"/>
    <numFmt numFmtId="242" formatCode="0.000_);[Red]\(0.000\)"/>
    <numFmt numFmtId="244" formatCode="0.0000_);[Red]\(0.0000\)"/>
    <numFmt numFmtId="245" formatCode="0.00"/>
    <numFmt numFmtId="246" formatCode="0.0_);[Red]\(0.0\)"/>
    <numFmt numFmtId="247" formatCode="0.00000"/>
    <numFmt numFmtId="251" formatCode="[$-10804]yyyy&quot;年&quot;m&quot;月&quot;d&quot;日&quot;"/>
    <numFmt numFmtId="267" formatCode="0.00"/>
    <numFmt numFmtId="274" formatCode="0.0000_);[Red]\(0.0000\)"/>
    <numFmt numFmtId="277" formatCode="0.0_);[Red]\(0.0\)"/>
    <numFmt numFmtId="280" formatCode="0.00_);[Red]\(0.00\)"/>
    <numFmt numFmtId="287" formatCode="0.00"/>
    <numFmt numFmtId="288" formatCode="0.0"/>
    <numFmt numFmtId="293" formatCode="0.00"/>
    <numFmt numFmtId="294" formatCode="0.00_);[Red]\-0.00\ "/>
    <numFmt numFmtId="295" formatCode="0.00"/>
    <numFmt numFmtId="296" formatCode="0.0000_);[Red]\(0.0000\)"/>
    <numFmt numFmtId="299" formatCode="0.00"/>
    <numFmt numFmtId="300" formatCode="0.00"/>
    <numFmt numFmtId="301" formatCode="0.00_);[Red]\(0.00\)"/>
    <numFmt numFmtId="302" formatCode="0.0000_);[Red]\(0.0000\)"/>
    <numFmt numFmtId="305" formatCode="0.0_);[Red]\(0.0\)"/>
    <numFmt numFmtId="306" formatCode="0.0_);[Red]\(0.0\)"/>
    <numFmt numFmtId="308" formatCode="0.00000"/>
    <numFmt numFmtId="310" formatCode="0.000_);[Red]\(0.000\)"/>
    <numFmt numFmtId="311" formatCode="0.000_);[Red]\(0.000\)"/>
    <numFmt numFmtId="317" formatCode="0.00_);[Red]\-0.00\ "/>
    <numFmt numFmtId="321" formatCode="0.0_);[Red]\(0.0\)"/>
    <numFmt numFmtId="322" formatCode="0.00_);[Red]\(0.00\)"/>
    <numFmt numFmtId="325" formatCode="0.00"/>
    <numFmt numFmtId="327" formatCode="0.00_);[Red]\-0.00\ "/>
    <numFmt numFmtId="329" formatCode="0.00"/>
    <numFmt numFmtId="331" formatCode="0.00_);[Red]\(0.00\)"/>
    <numFmt numFmtId="342" formatCode="0.000_);[Red]\(0.000\)"/>
    <numFmt numFmtId="343" formatCode="0.00_);[Red]\(0.00\)"/>
    <numFmt numFmtId="351" formatCode="0.00_);[Red]\(0.00\)"/>
    <numFmt numFmtId="353" formatCode="0.00"/>
    <numFmt numFmtId="356" formatCode="0.000"/>
    <numFmt numFmtId="358" formatCode="0.00000"/>
    <numFmt numFmtId="361" formatCode="0.000_);[Red]\(0.000\)"/>
    <numFmt numFmtId="368" formatCode="0.0000000_);[Red]\-0.0000000\ "/>
    <numFmt numFmtId="369" formatCode="0.0000_);[Red]\(0.0000\)"/>
    <numFmt numFmtId="370" formatCode="0.0_);[Red]\(0.0\)"/>
    <numFmt numFmtId="373" formatCode="0.0"/>
    <numFmt numFmtId="383" formatCode="0.000_);[Red]\(0.000\)"/>
    <numFmt numFmtId="384" formatCode="0.0_);[Red]\(0.0\)"/>
    <numFmt numFmtId="389" formatCode="0.00_);[Red]\-0.00\ "/>
    <numFmt numFmtId="393" formatCode="0.0_);[Red]\(0.0\)"/>
    <numFmt numFmtId="394" formatCode="0.00000"/>
    <numFmt numFmtId="395" formatCode="0.0_);[Red]\-0.0\ "/>
    <numFmt numFmtId="397" formatCode="0.00000"/>
    <numFmt numFmtId="399" formatCode="0.00"/>
    <numFmt numFmtId="402" formatCode="0.0_);[Red]\(0.0\)"/>
    <numFmt numFmtId="404" formatCode="0.0000"/>
    <numFmt numFmtId="405" formatCode="0.0_);[Red]\(0.0\)"/>
    <numFmt numFmtId="406" formatCode="#,##0"/>
    <numFmt numFmtId="414" formatCode="0.00_);[Red]\(0.00\)"/>
    <numFmt numFmtId="416" formatCode="0.00_);[Red]\(0.00\)"/>
    <numFmt numFmtId="424" formatCode="0.00_);[Red]\-0.00\ "/>
    <numFmt numFmtId="427" formatCode="[$-10804]yyyy&quot;年&quot;m&quot;月&quot;d&quot;日&quot;"/>
    <numFmt numFmtId="431" formatCode="0.00_);[Red]\(0.00\)"/>
    <numFmt numFmtId="432" formatCode="0.00_);[Red]\(0.00\)"/>
    <numFmt numFmtId="436" formatCode="0.00"/>
    <numFmt numFmtId="437" formatCode="0.00_);[Red]\(0.00\)"/>
    <numFmt numFmtId="438" formatCode="0.0_);[Red]\(0.0\)"/>
    <numFmt numFmtId="439" formatCode="0.0_);[Red]\(0.0\)"/>
    <numFmt numFmtId="442" formatCode="0.00_);[Red]\(0.00\)"/>
    <numFmt numFmtId="447" formatCode="0.000_);[Red]\(0.000\)"/>
    <numFmt numFmtId="451" formatCode="[$-10804]yyyy&quot;年&quot;m&quot;月&quot;d&quot;日&quot;"/>
    <numFmt numFmtId="452" formatCode="0.000"/>
    <numFmt numFmtId="461" formatCode="0.000_);[Red]\(0.000\)"/>
    <numFmt numFmtId="462" formatCode="0.0"/>
    <numFmt numFmtId="465" formatCode="0.00_);[Red]\(0.00\)"/>
    <numFmt numFmtId="470" formatCode="0.00_);[Red]\(0.00\)"/>
    <numFmt numFmtId="472" formatCode="#,##0%;-#,##0%"/>
    <numFmt numFmtId="474" formatCode="0.00_);[Red]\(0.00\)"/>
    <numFmt numFmtId="475" formatCode="0.00_);[Red]\-0.00\ "/>
    <numFmt numFmtId="498" formatCode="0.0"/>
    <numFmt numFmtId="500" formatCode="0.00_);[Red]\(0.00\)"/>
    <numFmt numFmtId="501" formatCode="0.0_);[Red]\(0.0\)"/>
    <numFmt numFmtId="506" formatCode="0.00_);[Red]\-0.00\ "/>
    <numFmt numFmtId="521" formatCode="#,##0%;-#,##0%"/>
    <numFmt numFmtId="527" formatCode="0.000"/>
    <numFmt numFmtId="536" formatCode="0.00"/>
    <numFmt numFmtId="539" formatCode="0.00_);[Red]\(0.00\)"/>
    <numFmt numFmtId="541" formatCode="0.00"/>
    <numFmt numFmtId="545" formatCode="0.00"/>
    <numFmt numFmtId="549" formatCode="0.00_);[Red]\-0.00\ "/>
    <numFmt numFmtId="555" formatCode="0.00_);[Red]\(0.00\)"/>
    <numFmt numFmtId="556" formatCode="0.00_);[Red]\(0.00\)"/>
    <numFmt numFmtId="558" formatCode="[$-10804]yyyy/m/d h:mm"/>
    <numFmt numFmtId="559" formatCode="0.00_);[Red]\(0.00\)"/>
    <numFmt numFmtId="564" formatCode="0.000"/>
    <numFmt numFmtId="565" formatCode="0.00"/>
    <numFmt numFmtId="618" formatCode="#,##0"/>
    <numFmt numFmtId="620" formatCode="0.000_);[Red]\(0.000\)"/>
    <numFmt numFmtId="621" formatCode="0.0"/>
    <numFmt numFmtId="624" formatCode="0.00"/>
    <numFmt numFmtId="633" formatCode="  #,##0.00_);  \-#,##0.00_);  &quot;-&quot; "/>
    <numFmt numFmtId="634" formatCode=" &quot;￥&quot; #,##0.00_); &quot;￥&quot; \-#,##0.00_); &quot;￥&quot; &quot;-&quot; "/>
    <numFmt numFmtId="635" formatCode="#,##0%;-#,##0%"/>
    <numFmt numFmtId="636" formatCode="  #,##0_);  \-#,##0_);  &quot;-&quot; "/>
    <numFmt numFmtId="637" formatCode=" &quot;￥&quot; #,##0_); &quot;￥&quot; \-#,##0_); &quot;￥&quot; &quot;-&quot; "/>
  </numFmts>
  <fonts>
    <font>
      <b val="0"/>
      <i val="0"/>
      <strike val="0"/>
      <condense val="0"/>
      <extend val="0"/>
      <outline val="0"/>
      <shadow val="0"/>
      <u val="none"/>
      <vertAlign val="baseline"/>
      <sz val="11"/>
      <name val="宋体"/>
    </font>
    <font/>
    <font>
      <b val="0"/>
      <i val="0"/>
      <strike val="0"/>
      <condense val="0"/>
      <extend val="0"/>
      <outline val="0"/>
      <shadow val="0"/>
      <u val="none"/>
      <vertAlign val="baseline"/>
      <sz val="11"/>
      <color indexed="64"/>
      <name val="宋体"/>
    </font>
    <font>
      <b val="0"/>
      <i val="0"/>
      <strike val="0"/>
      <condense val="0"/>
      <extend val="0"/>
      <outline val="0"/>
      <shadow val="0"/>
      <u/>
      <vertAlign val="baseline"/>
      <sz val="11"/>
      <color rgb="FF0000FF"/>
      <name val="宋体"/>
      <charset val="0"/>
      <scheme val="minor"/>
    </font>
    <font>
      <b val="0"/>
      <i val="0"/>
      <strike val="0"/>
      <condense val="0"/>
      <extend val="0"/>
      <outline val="0"/>
      <shadow val="0"/>
      <u/>
      <vertAlign val="baseline"/>
      <sz val="11"/>
      <color rgb="FF80008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8"/>
      <color theme="3"/>
      <name val="宋体"/>
      <charset val="134"/>
      <scheme val="minor"/>
    </font>
    <font>
      <b val="0"/>
      <i/>
      <strike val="0"/>
      <condense val="0"/>
      <extend val="0"/>
      <outline val="0"/>
      <shadow val="0"/>
      <u val="none"/>
      <vertAlign val="baseline"/>
      <sz val="11"/>
      <color rgb="FF7F7F7F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5"/>
      <color theme="3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3"/>
      <color theme="3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3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3F3F76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3F3F3F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  <charset val="0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610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0006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650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0"/>
      <name val="宋体"/>
      <charset val="0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0"/>
      <scheme val="minor"/>
    </font>
    <font/>
    <font/>
    <font/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none"/>
    </font>
    <font/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charset val="134"/>
      <scheme val="none"/>
    </font>
    <font/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minor"/>
    </font>
    <font/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黑体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0.5"/>
      <color rgb="FF000000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6"/>
      <color theme="1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2"/>
      <color theme="1"/>
      <name val="宋体"/>
      <charset val="134"/>
      <scheme val="minor"/>
    </font>
    <font>
      <b/>
      <i val="0"/>
      <strike val="0"/>
      <condense val="0"/>
      <extend val="0"/>
      <outline val="0"/>
      <shadow val="0"/>
      <u val="none"/>
      <vertAlign val="baseline"/>
      <sz val="11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2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none"/>
    </font>
    <font>
      <b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rgb="FF000000"/>
      <name val="Times New Roman"/>
      <charset val="134"/>
      <scheme val="none"/>
    </font>
    <font/>
    <font/>
    <font/>
    <font/>
    <font/>
    <font/>
    <font/>
    <font/>
    <font/>
    <font/>
    <font/>
    <font/>
    <font/>
    <font/>
    <font/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6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8"/>
      <color theme="1"/>
      <name val="黑体"/>
      <charset val="134"/>
      <scheme val="none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  <charset val="134"/>
      <scheme val="minor"/>
    </font>
    <font>
      <b val="0"/>
      <i val="0"/>
      <strike val="0"/>
      <condense val="0"/>
      <extend val="0"/>
      <outline val="0"/>
      <shadow val="0"/>
      <u val="none"/>
      <vertAlign val="baseline"/>
      <sz val="10.5"/>
      <color theme="1"/>
      <name val="Times New Roman"/>
      <charset val="134"/>
      <scheme val="none"/>
    </font>
    <font>
      <b val="0"/>
      <i val="0"/>
      <strike val="0"/>
      <condense val="0"/>
      <extend val="0"/>
      <outline val="0"/>
      <shadow val="0"/>
      <u/>
      <vertAlign val="baseline"/>
      <sz val="11"/>
      <color rgb="FF0000FF"/>
      <name val="宋体"/>
    </font>
    <font>
      <b val="0"/>
      <i val="0"/>
      <strike val="0"/>
      <condense val="0"/>
      <extend val="0"/>
      <outline val="0"/>
      <shadow val="0"/>
      <u/>
      <vertAlign val="baseline"/>
      <sz val="11"/>
      <color rgb="FF80008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00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8"/>
      <color rgb="FF1F497D"/>
      <name val="宋体"/>
    </font>
    <font>
      <b val="0"/>
      <i/>
      <strike val="0"/>
      <condense val="0"/>
      <extend val="0"/>
      <outline val="0"/>
      <shadow val="0"/>
      <u val="none"/>
      <vertAlign val="baseline"/>
      <sz val="11"/>
      <color rgb="FF7F7F7F"/>
      <name val="宋体"/>
    </font>
    <font>
      <b/>
      <i val="0"/>
      <strike val="0"/>
      <condense val="0"/>
      <extend val="0"/>
      <outline val="0"/>
      <shadow val="0"/>
      <u val="none"/>
      <vertAlign val="baseline"/>
      <sz val="15"/>
      <color rgb="FF1F497D"/>
      <name val="宋体"/>
    </font>
    <font>
      <b/>
      <i val="0"/>
      <strike val="0"/>
      <condense val="0"/>
      <extend val="0"/>
      <outline val="0"/>
      <shadow val="0"/>
      <u val="none"/>
      <vertAlign val="baseline"/>
      <sz val="13"/>
      <color rgb="FF1F497D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1F497D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3F3F76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3F3F3F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A7D00"/>
      <name val="宋体"/>
    </font>
    <font>
      <b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61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0006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9C6500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FFFFFF"/>
      <name val="宋体"/>
    </font>
    <font>
      <b val="0"/>
      <i val="0"/>
      <strike val="0"/>
      <condense val="0"/>
      <extend val="0"/>
      <outline val="0"/>
      <shadow val="0"/>
      <u val="none"/>
      <vertAlign val="baseline"/>
      <sz val="11"/>
      <color rgb="FF000000"/>
      <name val="宋体"/>
    </font>
    <font>
      <color indexed="64"/>
    </font>
  </fonts>
  <fills>
    <fill>
      <patternFill patternType="none"/>
    </fill>
    <fill>
      <patternFill patternType="gray125"/>
    </fill>
    <fill/>
    <fill>
      <patternFill patternType="solid">
        <fgColor theme="4" tint="0.799462874233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4F81BD"/>
        <bgColor rgb="FF4F81BD"/>
      </patternFill>
    </fill>
    <fill>
      <patternFill patternType="solid">
        <fgColor rgb="FFDCE6F2"/>
        <bgColor rgb="FFDCE6F2"/>
      </patternFill>
    </fill>
    <fill>
      <patternFill patternType="solid">
        <fgColor rgb="FFB9CDE5"/>
        <bgColor rgb="FFB9CDE5"/>
      </patternFill>
    </fill>
    <fill>
      <patternFill patternType="solid">
        <fgColor rgb="FF95B3D7"/>
        <bgColor rgb="FF95B3D7"/>
      </patternFill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  <fill>
      <patternFill patternType="solid">
        <fgColor rgb="FFE6B9B8"/>
        <bgColor rgb="FFE6B9B8"/>
      </patternFill>
    </fill>
    <fill>
      <patternFill patternType="solid">
        <fgColor rgb="FFD99694"/>
        <bgColor rgb="FFD99694"/>
      </patternFill>
    </fill>
    <fill>
      <patternFill patternType="solid">
        <fgColor rgb="FF9BBB59"/>
        <bgColor rgb="FF9BBB59"/>
      </patternFill>
    </fill>
    <fill>
      <patternFill patternType="solid">
        <fgColor rgb="FFEBF1DE"/>
        <bgColor rgb="FFEBF1DE"/>
      </patternFill>
    </fill>
    <fill>
      <patternFill patternType="solid">
        <fgColor rgb="FFD7E4BD"/>
        <bgColor rgb="FFD7E4BD"/>
      </patternFill>
    </fill>
    <fill>
      <patternFill patternType="solid">
        <fgColor rgb="FFC3D69B"/>
        <bgColor rgb="FFC3D69B"/>
      </patternFill>
    </fill>
    <fill>
      <patternFill patternType="solid">
        <fgColor rgb="FF8064A2"/>
        <bgColor rgb="FF8064A2"/>
      </patternFill>
    </fill>
    <fill>
      <patternFill patternType="solid">
        <fgColor rgb="FFE6E0EC"/>
        <bgColor rgb="FFE6E0EC"/>
      </patternFill>
    </fill>
    <fill>
      <patternFill patternType="solid">
        <fgColor rgb="FFCCC1DA"/>
        <bgColor rgb="FFCCC1DA"/>
      </patternFill>
    </fill>
    <fill>
      <patternFill patternType="solid">
        <fgColor rgb="FFB3A2C7"/>
        <bgColor rgb="FFB3A2C7"/>
      </patternFill>
    </fill>
    <fill>
      <patternFill patternType="solid">
        <fgColor rgb="FF4BACC6"/>
        <bgColor rgb="FF4BACC6"/>
      </patternFill>
    </fill>
    <fill>
      <patternFill patternType="solid">
        <fgColor rgb="FFDBEEF4"/>
        <bgColor rgb="FFDBEEF4"/>
      </patternFill>
    </fill>
    <fill>
      <patternFill patternType="solid">
        <fgColor rgb="FFB7DEE8"/>
        <bgColor rgb="FFB7DEE8"/>
      </patternFill>
    </fill>
    <fill>
      <patternFill patternType="solid">
        <fgColor rgb="FF93CDDD"/>
        <bgColor rgb="FF93CDDD"/>
      </patternFill>
    </fill>
    <fill>
      <patternFill patternType="solid">
        <fgColor rgb="FFF79646"/>
        <bgColor rgb="FFF79646"/>
      </patternFill>
    </fill>
    <fill>
      <patternFill patternType="solid">
        <fgColor rgb="FFFDEADA"/>
        <bgColor rgb="FFFDEADA"/>
      </patternFill>
    </fill>
    <fill>
      <patternFill patternType="solid">
        <fgColor rgb="FFFCD5B5"/>
        <bgColor rgb="FFFCD5B5"/>
      </patternFill>
    </fill>
    <fill>
      <patternFill patternType="solid">
        <fgColor rgb="FFFAC090"/>
        <bgColor rgb="FFFAC090"/>
      </patternFill>
    </fill>
  </fills>
  <borders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7C0DE"/>
      </bottom>
      <diagonal/>
    </border>
    <border/>
    <border/>
    <border diagonalUp="0" diagonalDown="0">
      <right style="thin">
        <color rgb="FF000000"/>
      </right>
      <top style="thin">
        <color rgb="FF000000"/>
      </top>
    </border>
    <border diagonalUp="0" diagonalDown="0">
      <left style="thin">
        <color rgb="FF000000"/>
      </left>
      <bottom style="thin">
        <color rgb="FF000000"/>
      </bottom>
    </border>
    <border/>
    <border/>
    <border/>
    <border/>
    <border/>
    <border diagonalUp="0" diagonalDown="0">
      <left style="thin">
        <color rgb="FF000000"/>
      </left>
      <top style="thin">
        <color rgb="FF000000"/>
      </top>
    </border>
    <border/>
    <border/>
    <border/>
    <border/>
    <border/>
    <border diagonalUp="0" diagonalDown="0">
      <top style="thin">
        <color rgb="FF4F81BD"/>
      </top>
      <bottom style="double">
        <color rgb="FF4F81BD"/>
      </bottom>
    </border>
    <border/>
    <border/>
    <border/>
    <border/>
    <border diagonalUp="0" diagonalDown="0">
      <right style="thin">
        <color rgb="FF000000"/>
      </right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</border>
    <border diagonalUp="0" diagonalDown="0">
      <left style="thin">
        <color rgb="FF000000"/>
      </left>
      <right style="thin">
        <color rgb="FF000000"/>
      </right>
    </border>
    <border diagonalUp="0" diagonalDown="0">
      <left style="thin">
        <color rgb="FF000000"/>
      </left>
      <right style="thin">
        <color rgb="FF000000"/>
      </right>
      <bottom style="thin">
        <color rgb="FF000000"/>
      </bottom>
    </border>
    <border diagonalUp="0" diagonalDown="0">
      <left style="thin">
        <color rgb="FF000000"/>
      </left>
      <top style="thin">
        <color rgb="FF000000"/>
      </top>
      <bottom style="thin">
        <color rgb="FF000000"/>
      </bottom>
    </border>
    <border diagonalUp="0" diagonalDown="0">
      <top style="thin">
        <color rgb="FF000000"/>
      </top>
      <bottom style="thin">
        <color rgb="FF000000"/>
      </bottom>
    </border>
    <border diagonalUp="0" diagonalDown="0">
      <right style="thin">
        <color rgb="FF000000"/>
      </right>
      <top style="thin">
        <color rgb="FF000000"/>
      </top>
      <bottom style="thin">
        <color rgb="FF000000"/>
      </bottom>
    </border>
    <border diagonalUp="0" diagonalDown="0">
      <top style="thin">
        <color rgb="FF000000"/>
      </top>
    </border>
    <border diagonalUp="0" diagonalDown="0">
      <bottom style="thin">
        <color rgb="FF000000"/>
      </bottom>
    </border>
    <border diagonalUp="0" diagonalDown="0">
      <left style="thin">
        <color rgb="FF000000"/>
      </left>
    </border>
    <border diagonalUp="0" diagonalDown="0"/>
    <border diagonalUp="0" diagonalDown="0">
      <right style="thin">
        <color rgb="FF000000"/>
      </right>
    </border>
  </borders>
  <cellStyleXfs>
    <xf numFmtId="0" fontId="0" fillId="0" borderId="0">
      <alignment vertical="top"/>
    </xf>
    <xf numFmtId="168" fontId="0" fillId="0" borderId="0">
      <alignment vertical="center"/>
    </xf>
    <xf numFmtId="169" fontId="0" fillId="0" borderId="0">
      <alignment vertical="center"/>
    </xf>
    <xf numFmtId="165" fontId="0" fillId="0" borderId="0">
      <alignment vertical="center"/>
    </xf>
    <xf numFmtId="166" fontId="0" fillId="0" borderId="0">
      <alignment vertical="center"/>
    </xf>
    <xf numFmtId="167" fontId="0" fillId="0" borderId="0">
      <alignment vertical="center"/>
    </xf>
    <xf numFmtId="164" fontId="3" fillId="0" borderId="0">
      <alignment vertical="center"/>
    </xf>
    <xf numFmtId="164" fontId="4" fillId="0" borderId="0">
      <alignment vertical="center"/>
    </xf>
    <xf numFmtId="164" fontId="0" fillId="10" borderId="4">
      <alignment vertical="center"/>
    </xf>
    <xf numFmtId="164" fontId="5" fillId="0" borderId="0">
      <alignment vertical="center"/>
    </xf>
    <xf numFmtId="164" fontId="6" fillId="0" borderId="0">
      <alignment vertical="center"/>
    </xf>
    <xf numFmtId="164" fontId="7" fillId="0" borderId="0">
      <alignment vertical="center"/>
    </xf>
    <xf numFmtId="164" fontId="8" fillId="0" borderId="5">
      <alignment vertical="center"/>
    </xf>
    <xf numFmtId="164" fontId="9" fillId="0" borderId="5">
      <alignment vertical="center"/>
    </xf>
    <xf numFmtId="164" fontId="10" fillId="0" borderId="6">
      <alignment vertical="center"/>
    </xf>
    <xf numFmtId="164" fontId="10" fillId="0" borderId="0">
      <alignment vertical="center"/>
    </xf>
    <xf numFmtId="164" fontId="11" fillId="11" borderId="7">
      <alignment vertical="center"/>
    </xf>
    <xf numFmtId="164" fontId="12" fillId="12" borderId="8">
      <alignment vertical="center"/>
    </xf>
    <xf numFmtId="164" fontId="13" fillId="12" borderId="7">
      <alignment vertical="center"/>
    </xf>
    <xf numFmtId="164" fontId="14" fillId="13" borderId="9">
      <alignment vertical="center"/>
    </xf>
    <xf numFmtId="164" fontId="15" fillId="0" borderId="10">
      <alignment vertical="center"/>
    </xf>
    <xf numFmtId="164" fontId="16" fillId="0" borderId="11">
      <alignment vertical="center"/>
    </xf>
    <xf numFmtId="164" fontId="17" fillId="14" borderId="0">
      <alignment vertical="center"/>
    </xf>
    <xf numFmtId="164" fontId="18" fillId="15" borderId="0">
      <alignment vertical="center"/>
    </xf>
    <xf numFmtId="164" fontId="19" fillId="16" borderId="0">
      <alignment vertical="center"/>
    </xf>
    <xf numFmtId="164" fontId="20" fillId="17" borderId="0">
      <alignment vertical="center"/>
    </xf>
    <xf numFmtId="164" fontId="21" fillId="18" borderId="0">
      <alignment vertical="center"/>
    </xf>
    <xf numFmtId="164" fontId="21" fillId="19" borderId="0">
      <alignment vertical="center"/>
    </xf>
    <xf numFmtId="164" fontId="20" fillId="20" borderId="0">
      <alignment vertical="center"/>
    </xf>
    <xf numFmtId="164" fontId="20" fillId="21" borderId="0">
      <alignment vertical="center"/>
    </xf>
    <xf numFmtId="164" fontId="21" fillId="22" borderId="0">
      <alignment vertical="center"/>
    </xf>
    <xf numFmtId="164" fontId="21" fillId="23" borderId="0">
      <alignment vertical="center"/>
    </xf>
    <xf numFmtId="164" fontId="20" fillId="24" borderId="0">
      <alignment vertical="center"/>
    </xf>
    <xf numFmtId="164" fontId="20" fillId="25" borderId="0">
      <alignment vertical="center"/>
    </xf>
    <xf numFmtId="164" fontId="21" fillId="26" borderId="0">
      <alignment vertical="center"/>
    </xf>
    <xf numFmtId="164" fontId="21" fillId="27" borderId="0">
      <alignment vertical="center"/>
    </xf>
    <xf numFmtId="164" fontId="20" fillId="28" borderId="0">
      <alignment vertical="center"/>
    </xf>
    <xf numFmtId="164" fontId="20" fillId="29" borderId="0">
      <alignment vertical="center"/>
    </xf>
    <xf numFmtId="164" fontId="21" fillId="30" borderId="0">
      <alignment vertical="center"/>
    </xf>
    <xf numFmtId="164" fontId="21" fillId="31" borderId="0">
      <alignment vertical="center"/>
    </xf>
    <xf numFmtId="164" fontId="20" fillId="32" borderId="0">
      <alignment vertical="center"/>
    </xf>
    <xf numFmtId="164" fontId="20" fillId="33" borderId="0">
      <alignment vertical="center"/>
    </xf>
    <xf numFmtId="164" fontId="21" fillId="34" borderId="0">
      <alignment vertical="center"/>
    </xf>
    <xf numFmtId="164" fontId="21" fillId="35" borderId="0">
      <alignment vertical="center"/>
    </xf>
    <xf numFmtId="164" fontId="20" fillId="36" borderId="0">
      <alignment vertical="center"/>
    </xf>
    <xf numFmtId="164" fontId="20" fillId="37" borderId="0">
      <alignment vertical="center"/>
    </xf>
    <xf numFmtId="164" fontId="21" fillId="38" borderId="0">
      <alignment vertical="center"/>
    </xf>
    <xf numFmtId="164" fontId="21" fillId="39" borderId="0">
      <alignment vertical="center"/>
    </xf>
    <xf numFmtId="164" fontId="20" fillId="40" borderId="0">
      <alignment vertical="center"/>
    </xf>
    <xf numFmtId="164" fontId="0" fillId="0" borderId="0">
      <alignment vertical="bottom"/>
    </xf>
    <xf numFmtId="164" fontId="0" fillId="0" borderId="0">
      <alignment vertical="bottom"/>
    </xf>
  </cellStyleXfs>
  <cellXfs count="457">
    <xf numFmtId="0" fontId="0" fillId="0" borderId="0" xfId="0" applyNumberFormat="1" applyFont="1" applyFill="1" applyBorder="1" applyAlignment="1" applyProtection="1">
      <alignment vertical="top"/>
    </xf>
    <xf numFmtId="240" fontId="0" fillId="0" borderId="0" xfId="0" applyNumberFormat="1" applyFont="1" applyFill="1" applyBorder="1" applyAlignment="1" applyProtection="1">
      <alignment vertical="bottom"/>
    </xf>
    <xf numFmtId="0" fontId="36" fillId="0" borderId="1" xfId="0" applyNumberFormat="1" applyFont="1" applyFill="1" applyBorder="1" applyAlignment="1" applyProtection="1">
      <alignment horizontal="center" vertical="center" wrapText="1"/>
    </xf>
    <xf numFmtId="242" fontId="0" fillId="0" borderId="0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center" vertical="bottom"/>
    </xf>
    <xf numFmtId="244" fontId="0" fillId="0" borderId="0" xfId="0" applyNumberFormat="1" applyFont="1" applyFill="1" applyBorder="1" applyAlignment="1" applyProtection="1">
      <alignment vertical="bottom"/>
    </xf>
    <xf numFmtId="245" fontId="0" fillId="0" borderId="0" xfId="0" applyNumberFormat="1" applyFont="1" applyFill="1" applyBorder="1" applyAlignment="1" applyProtection="1">
      <alignment vertical="bottom"/>
    </xf>
    <xf numFmtId="246" fontId="0" fillId="0" borderId="0" xfId="0" applyNumberFormat="1" applyFont="1" applyFill="1" applyBorder="1" applyAlignment="1" applyProtection="1">
      <alignment vertical="bottom"/>
    </xf>
    <xf numFmtId="247" fontId="0" fillId="0" borderId="0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vertical="bottom"/>
    </xf>
    <xf numFmtId="0" fontId="41" fillId="0" borderId="0" xfId="0" applyNumberFormat="1" applyFont="1" applyFill="1" applyBorder="1" applyAlignment="1" applyProtection="1">
      <alignment vertical="bottom"/>
    </xf>
    <xf numFmtId="0" fontId="28" fillId="0" borderId="1" xfId="0" applyNumberFormat="1" applyFont="1" applyFill="1" applyBorder="1" applyAlignment="1" applyProtection="1">
      <alignment vertical="center" wrapText="1"/>
    </xf>
    <xf numFmtId="251" fontId="0" fillId="0" borderId="0" xfId="0" applyNumberFormat="1" applyFont="1" applyFill="1" applyBorder="1" applyAlignment="1" applyProtection="1">
      <alignment vertical="bottom"/>
    </xf>
    <xf numFmtId="0" fontId="0" fillId="0" borderId="0" xfId="0" applyNumberFormat="1" applyFont="1" applyFill="1" applyBorder="1" applyAlignment="1" applyProtection="1">
      <alignment horizontal="center" vertical="bottom" wrapText="1"/>
    </xf>
    <xf numFmtId="0" fontId="0" fillId="0" borderId="0" xfId="0" applyNumberFormat="1" applyFont="1" applyFill="1" applyBorder="1" applyAlignment="1" applyProtection="1">
      <alignment vertical="bottom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vertical="bottom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bottom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>
      <alignment vertical="bottom"/>
    </xf>
    <xf numFmtId="431" fontId="3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23" xfId="0" applyNumberFormat="1" applyFont="1" applyFill="1" applyBorder="1" applyAlignment="1" applyProtection="1">
      <alignment horizontal="center" vertical="bottom"/>
    </xf>
    <xf numFmtId="368" fontId="38" fillId="0" borderId="0" xfId="0" applyNumberFormat="1" applyFont="1" applyFill="1" applyBorder="1" applyAlignment="1" applyProtection="1">
      <alignment vertical="bottom"/>
    </xf>
    <xf numFmtId="0" fontId="0" fillId="0" borderId="0" xfId="0"/>
    <xf numFmtId="397" fontId="62" fillId="0" borderId="34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26" fillId="0" borderId="36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38" fillId="0" borderId="0" xfId="0" applyNumberFormat="1" applyFont="1" applyFill="1" applyBorder="1" applyAlignment="1" applyProtection="1">
      <alignment horizontal="center" vertical="bottom"/>
    </xf>
    <xf numFmtId="0" fontId="38" fillId="0" borderId="0" xfId="0" applyNumberFormat="1" applyFont="1" applyFill="1" applyBorder="1" applyAlignment="1" applyProtection="1">
      <alignment horizontal="center" vertical="bottom"/>
    </xf>
    <xf numFmtId="442" fontId="34" fillId="0" borderId="0" xfId="0" applyNumberFormat="1" applyFont="1" applyFill="1" applyBorder="1" applyAlignment="1" applyProtection="1">
      <alignment horizontal="center" vertical="center" wrapText="1"/>
    </xf>
    <xf numFmtId="465" fontId="0" fillId="0" borderId="34" xfId="0" applyNumberFormat="1" applyFont="1" applyFill="1" applyBorder="1" applyAlignment="1" applyProtection="1">
      <alignment horizontal="center" vertical="center" wrapText="1"/>
    </xf>
    <xf numFmtId="296" fontId="0" fillId="0" borderId="1" xfId="0" applyNumberFormat="1" applyFont="1" applyFill="1" applyBorder="1" applyAlignment="1" applyProtection="1">
      <alignment vertical="bottom"/>
    </xf>
    <xf numFmtId="0" fontId="0" fillId="0" borderId="0" xfId="0"/>
    <xf numFmtId="0" fontId="33" fillId="0" borderId="40" xfId="0" applyNumberFormat="1" applyFont="1" applyFill="1" applyBorder="1" applyAlignment="1" applyProtection="1">
      <alignment horizontal="center" vertical="center" wrapText="1"/>
    </xf>
    <xf numFmtId="299" fontId="38" fillId="0" borderId="1" xfId="0" applyNumberFormat="1" applyFont="1" applyFill="1" applyBorder="1" applyAlignment="1" applyProtection="1">
      <alignment horizontal="center" vertical="bottom"/>
    </xf>
    <xf numFmtId="0" fontId="26" fillId="3" borderId="1" xfId="0" applyNumberFormat="1" applyFont="1" applyFill="1" applyBorder="1" applyAlignment="1" applyProtection="1">
      <alignment vertical="center" wrapText="1"/>
    </xf>
    <xf numFmtId="383" fontId="26" fillId="3" borderId="38" xfId="0" applyNumberFormat="1" applyFont="1" applyFill="1" applyBorder="1" applyAlignment="1" applyProtection="1">
      <alignment horizontal="center" vertical="center" wrapText="1"/>
    </xf>
    <xf numFmtId="0" fontId="38" fillId="0" borderId="1" xfId="0" applyNumberFormat="1" applyFont="1" applyFill="1" applyBorder="1" applyAlignment="1" applyProtection="1">
      <alignment vertical="bottom"/>
    </xf>
    <xf numFmtId="0" fontId="26" fillId="3" borderId="1" xfId="0" applyNumberFormat="1" applyFont="1" applyFill="1" applyBorder="1" applyAlignment="1" applyProtection="1">
      <alignment horizontal="center" vertical="center" wrapText="1"/>
    </xf>
    <xf numFmtId="541" fontId="0" fillId="0" borderId="35" xfId="0" applyNumberFormat="1" applyFont="1" applyFill="1" applyBorder="1" applyAlignment="1" applyProtection="1">
      <alignment horizontal="center" vertical="center" wrapText="1"/>
    </xf>
    <xf numFmtId="294" fontId="38" fillId="0" borderId="0" xfId="0" applyNumberFormat="1" applyFont="1" applyFill="1" applyBorder="1" applyAlignment="1" applyProtection="1">
      <alignment vertical="bottom"/>
    </xf>
    <xf numFmtId="325" fontId="26" fillId="3" borderId="38" xfId="0" applyNumberFormat="1" applyFont="1" applyFill="1" applyBorder="1" applyAlignment="1" applyProtection="1">
      <alignment horizontal="center" vertical="center" wrapText="1"/>
    </xf>
    <xf numFmtId="0" fontId="60" fillId="0" borderId="16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bottom"/>
    </xf>
    <xf numFmtId="310" fontId="26" fillId="0" borderId="1" xfId="0" applyNumberFormat="1" applyFont="1" applyFill="1" applyBorder="1" applyAlignment="1" applyProtection="1">
      <alignment horizontal="center" vertical="center" wrapText="1"/>
    </xf>
    <xf numFmtId="11" fontId="38" fillId="0" borderId="0" xfId="0" applyNumberFormat="1" applyFont="1" applyFill="1" applyBorder="1" applyAlignment="1" applyProtection="1">
      <alignment vertical="bottom"/>
    </xf>
    <xf numFmtId="0" fontId="0" fillId="0" borderId="1" xfId="0" applyNumberFormat="1" applyFont="1" applyFill="1" applyBorder="1" applyAlignment="1" applyProtection="1">
      <alignment vertical="bottom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0" fillId="0" borderId="17" xfId="0" applyNumberFormat="1" applyFont="1" applyFill="1" applyBorder="1" applyAlignment="1" applyProtection="1">
      <alignment horizontal="center" vertical="bottom"/>
    </xf>
    <xf numFmtId="49" fontId="34" fillId="0" borderId="0" xfId="0" applyNumberFormat="1" applyFont="1" applyFill="1" applyBorder="1" applyAlignment="1" applyProtection="1">
      <alignment horizontal="center" vertical="center" wrapText="1"/>
    </xf>
    <xf numFmtId="274" fontId="26" fillId="3" borderId="1" xfId="0" applyNumberFormat="1" applyFont="1" applyFill="1" applyBorder="1" applyAlignment="1" applyProtection="1">
      <alignment vertical="center" wrapText="1"/>
    </xf>
    <xf numFmtId="405" fontId="38" fillId="0" borderId="0" xfId="0" applyNumberFormat="1" applyFont="1" applyFill="1" applyBorder="1" applyAlignment="1" applyProtection="1">
      <alignment vertical="bottom"/>
    </xf>
    <xf numFmtId="287" fontId="26" fillId="0" borderId="1" xfId="0" applyNumberFormat="1" applyFont="1" applyFill="1" applyBorder="1" applyAlignment="1" applyProtection="1">
      <alignment horizontal="center" vertical="center" wrapText="1"/>
    </xf>
    <xf numFmtId="311" fontId="26" fillId="4" borderId="1" xfId="0" applyNumberFormat="1" applyFont="1" applyFill="1" applyBorder="1" applyAlignment="1" applyProtection="1">
      <alignment vertical="center" wrapText="1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397" fontId="62" fillId="0" borderId="23" xfId="0" applyNumberFormat="1" applyFont="1" applyFill="1" applyBorder="1" applyAlignment="1" applyProtection="1">
      <alignment horizontal="center" vertical="center" wrapText="1"/>
    </xf>
    <xf numFmtId="295" fontId="26" fillId="4" borderId="1" xfId="0" applyNumberFormat="1" applyFont="1" applyFill="1" applyBorder="1" applyAlignment="1" applyProtection="1">
      <alignment horizontal="center" vertical="center" wrapText="1"/>
    </xf>
    <xf numFmtId="0" fontId="38" fillId="0" borderId="1" xfId="0" applyNumberFormat="1" applyFont="1" applyFill="1" applyBorder="1" applyAlignment="1" applyProtection="1">
      <alignment vertical="bottom"/>
    </xf>
    <xf numFmtId="0" fontId="0" fillId="0" borderId="0" xfId="0"/>
    <xf numFmtId="267" fontId="26" fillId="3" borderId="1" xfId="0" applyNumberFormat="1" applyFont="1" applyFill="1" applyBorder="1" applyAlignment="1" applyProtection="1">
      <alignment horizontal="center" vertical="center" wrapText="1"/>
    </xf>
    <xf numFmtId="0" fontId="62" fillId="0" borderId="35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0" fillId="0" borderId="0" xfId="0"/>
    <xf numFmtId="427" fontId="38" fillId="9" borderId="1" xfId="0" applyNumberFormat="1" applyFont="1" applyFill="1" applyBorder="1" applyAlignment="1" applyProtection="1">
      <alignment horizontal="left" vertical="bottom"/>
    </xf>
    <xf numFmtId="394" fontId="25" fillId="0" borderId="0" xfId="0" applyNumberFormat="1" applyFont="1" applyFill="1" applyBorder="1" applyAlignment="1" applyProtection="1">
      <alignment vertical="bottom"/>
    </xf>
    <xf numFmtId="49" fontId="38" fillId="0" borderId="0" xfId="0" applyNumberFormat="1" applyFont="1" applyFill="1" applyBorder="1" applyAlignment="1" applyProtection="1">
      <alignment vertical="bottom"/>
    </xf>
    <xf numFmtId="0" fontId="0" fillId="0" borderId="0" xfId="0"/>
    <xf numFmtId="301" fontId="26" fillId="0" borderId="1" xfId="0" applyNumberFormat="1" applyFont="1" applyFill="1" applyBorder="1" applyAlignment="1" applyProtection="1">
      <alignment horizontal="center" vertical="center" wrapText="1"/>
    </xf>
    <xf numFmtId="300" fontId="38" fillId="0" borderId="0" xfId="0" applyNumberFormat="1" applyFont="1" applyFill="1" applyBorder="1" applyAlignment="1" applyProtection="1">
      <alignment vertical="bottom"/>
    </xf>
    <xf numFmtId="0" fontId="0" fillId="0" borderId="0" xfId="0"/>
    <xf numFmtId="325" fontId="26" fillId="3" borderId="39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bottom"/>
    </xf>
    <xf numFmtId="498" fontId="42" fillId="8" borderId="1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bottom"/>
    </xf>
    <xf numFmtId="49" fontId="0" fillId="0" borderId="1" xfId="0" applyNumberFormat="1" applyFont="1" applyFill="1" applyBorder="1" applyAlignment="1" applyProtection="1">
      <alignment vertical="bottom" wrapText="1"/>
    </xf>
    <xf numFmtId="0" fontId="0" fillId="0" borderId="0" xfId="0"/>
    <xf numFmtId="462" fontId="62" fillId="0" borderId="34" xfId="0" applyNumberFormat="1" applyFont="1" applyFill="1" applyBorder="1" applyAlignment="1" applyProtection="1">
      <alignment horizontal="center" vertical="center" wrapText="1"/>
    </xf>
    <xf numFmtId="0" fontId="38" fillId="8" borderId="40" xfId="0" applyNumberFormat="1" applyFont="1" applyFill="1" applyBorder="1" applyAlignment="1" applyProtection="1">
      <alignment horizontal="center" vertical="center"/>
    </xf>
    <xf numFmtId="321" fontId="0" fillId="8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bottom" wrapText="1"/>
    </xf>
    <xf numFmtId="0" fontId="0" fillId="0" borderId="0" xfId="0"/>
    <xf numFmtId="0" fontId="0" fillId="0" borderId="0" xfId="0"/>
    <xf numFmtId="0" fontId="63" fillId="0" borderId="45" xfId="0" applyNumberFormat="1" applyFont="1" applyFill="1" applyBorder="1" applyAlignment="1" applyProtection="1">
      <alignment vertical="center" wrapText="1"/>
    </xf>
    <xf numFmtId="288" fontId="38" fillId="0" borderId="1" xfId="0" applyNumberFormat="1" applyFont="1" applyFill="1" applyBorder="1" applyAlignment="1" applyProtection="1">
      <alignment horizontal="center" vertical="bottom"/>
    </xf>
    <xf numFmtId="397" fontId="62" fillId="0" borderId="42" xfId="0" applyNumberFormat="1" applyFont="1" applyFill="1" applyBorder="1" applyAlignment="1" applyProtection="1">
      <alignment horizontal="center" vertical="center" wrapText="1"/>
    </xf>
    <xf numFmtId="322" fontId="40" fillId="8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306" fontId="26" fillId="0" borderId="1" xfId="0" applyNumberFormat="1" applyFont="1" applyFill="1" applyBorder="1" applyAlignment="1" applyProtection="1">
      <alignment horizontal="center" vertical="center" wrapText="1"/>
    </xf>
    <xf numFmtId="0" fontId="38" fillId="0" borderId="1" xfId="0" applyNumberFormat="1" applyFont="1" applyFill="1" applyBorder="1" applyAlignment="1" applyProtection="1">
      <alignment horizontal="center" vertical="center"/>
    </xf>
    <xf numFmtId="0" fontId="40" fillId="0" borderId="38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vertical="center" wrapText="1"/>
    </xf>
    <xf numFmtId="0" fontId="26" fillId="0" borderId="35" xfId="0" applyNumberFormat="1" applyFont="1" applyFill="1" applyBorder="1" applyAlignment="1" applyProtection="1">
      <alignment horizontal="center" vertical="center" wrapText="1"/>
    </xf>
    <xf numFmtId="0" fontId="34" fillId="0" borderId="1" xfId="0" applyNumberFormat="1" applyFont="1" applyFill="1" applyBorder="1" applyAlignment="1" applyProtection="1">
      <alignment horizontal="center" vertical="center" wrapText="1"/>
    </xf>
    <xf numFmtId="549" fontId="0" fillId="0" borderId="34" xfId="0" applyNumberFormat="1" applyFont="1" applyFill="1" applyBorder="1" applyAlignment="1" applyProtection="1">
      <alignment horizontal="center" vertical="center" wrapText="1"/>
    </xf>
    <xf numFmtId="559" fontId="26" fillId="3" borderId="1" xfId="0" applyNumberFormat="1" applyFont="1" applyFill="1" applyBorder="1" applyAlignment="1" applyProtection="1">
      <alignment horizontal="center" vertical="center" wrapText="1"/>
    </xf>
    <xf numFmtId="462" fontId="62" fillId="0" borderId="45" xfId="0" applyNumberFormat="1" applyFont="1" applyFill="1" applyBorder="1" applyAlignment="1" applyProtection="1">
      <alignment horizontal="center" vertical="center" wrapText="1"/>
    </xf>
    <xf numFmtId="539" fontId="0" fillId="0" borderId="39" xfId="0" applyNumberFormat="1" applyFont="1" applyFill="1" applyBorder="1" applyAlignment="1" applyProtection="1">
      <alignment horizontal="center" vertical="center" wrapText="1"/>
    </xf>
    <xf numFmtId="331" fontId="26" fillId="4" borderId="1" xfId="0" applyNumberFormat="1" applyFont="1" applyFill="1" applyBorder="1" applyAlignment="1" applyProtection="1">
      <alignment vertical="center" wrapText="1"/>
    </xf>
    <xf numFmtId="369" fontId="0" fillId="8" borderId="1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383" fontId="26" fillId="3" borderId="39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bottom"/>
    </xf>
    <xf numFmtId="0" fontId="26" fillId="3" borderId="2" xfId="0" applyNumberFormat="1" applyFont="1" applyFill="1" applyBorder="1" applyAlignment="1" applyProtection="1">
      <alignment horizontal="center" vertical="center" wrapText="1"/>
    </xf>
    <xf numFmtId="0" fontId="62" fillId="0" borderId="37" xfId="0" applyNumberFormat="1" applyFont="1" applyFill="1" applyBorder="1" applyAlignment="1" applyProtection="1">
      <alignment horizontal="center" vertical="center" wrapText="1"/>
    </xf>
    <xf numFmtId="0" fontId="59" fillId="0" borderId="43" xfId="0" applyNumberFormat="1" applyFont="1" applyFill="1" applyBorder="1" applyAlignment="1" applyProtection="1">
      <alignment horizontal="left" vertical="center" wrapText="1"/>
    </xf>
    <xf numFmtId="49" fontId="63" fillId="8" borderId="1" xfId="0" applyNumberFormat="1" applyFont="1" applyFill="1" applyBorder="1" applyAlignment="1" applyProtection="1">
      <alignment horizontal="center" vertical="center" wrapText="1"/>
    </xf>
    <xf numFmtId="0" fontId="35" fillId="0" borderId="1" xfId="0" applyNumberFormat="1" applyFont="1" applyFill="1" applyBorder="1" applyAlignment="1" applyProtection="1">
      <alignment vertical="center" wrapText="1"/>
    </xf>
    <xf numFmtId="541" fontId="0" fillId="0" borderId="37" xfId="0" applyNumberFormat="1" applyFont="1" applyFill="1" applyBorder="1" applyAlignment="1" applyProtection="1">
      <alignment horizontal="center" vertical="center" wrapText="1"/>
    </xf>
    <xf numFmtId="0" fontId="39" fillId="0" borderId="38" xfId="0" applyNumberFormat="1" applyFont="1" applyFill="1" applyBorder="1" applyAlignment="1" applyProtection="1">
      <alignment horizontal="center" vertical="center" wrapText="1"/>
    </xf>
    <xf numFmtId="251" fontId="0" fillId="0" borderId="0" xfId="0" applyNumberFormat="1" applyFont="1" applyFill="1" applyBorder="1" applyAlignment="1" applyProtection="1">
      <alignment vertical="bottom"/>
    </xf>
    <xf numFmtId="49" fontId="38" fillId="0" borderId="1" xfId="0" applyNumberFormat="1" applyFont="1" applyFill="1" applyBorder="1" applyAlignment="1" applyProtection="1">
      <alignment horizontal="center" vertical="bottom"/>
    </xf>
    <xf numFmtId="0" fontId="62" fillId="0" borderId="34" xfId="0" applyNumberFormat="1" applyFont="1" applyFill="1" applyBorder="1" applyAlignment="1" applyProtection="1">
      <alignment horizontal="center" vertical="center" wrapText="1"/>
    </xf>
    <xf numFmtId="0" fontId="62" fillId="0" borderId="44" xfId="0" applyNumberFormat="1" applyFont="1" applyFill="1" applyBorder="1" applyAlignment="1" applyProtection="1">
      <alignment horizontal="center" vertical="center" wrapText="1"/>
    </xf>
    <xf numFmtId="308" fontId="38" fillId="0" borderId="1" xfId="0" applyNumberFormat="1" applyFont="1" applyFill="1" applyBorder="1" applyAlignment="1" applyProtection="1">
      <alignment vertical="bottom"/>
    </xf>
    <xf numFmtId="0" fontId="60" fillId="0" borderId="17" xfId="0" applyNumberFormat="1" applyFont="1" applyFill="1" applyBorder="1" applyAlignment="1" applyProtection="1">
      <alignment horizontal="center" vertical="center" wrapText="1"/>
    </xf>
    <xf numFmtId="397" fontId="62" fillId="0" borderId="16" xfId="0" applyNumberFormat="1" applyFont="1" applyFill="1" applyBorder="1" applyAlignment="1" applyProtection="1">
      <alignment horizontal="center" vertical="center" wrapText="1"/>
    </xf>
    <xf numFmtId="342" fontId="0" fillId="0" borderId="1" xfId="0" applyNumberFormat="1" applyFont="1" applyFill="1" applyBorder="1" applyAlignment="1" applyProtection="1">
      <alignment vertical="bottom"/>
    </xf>
    <xf numFmtId="0" fontId="0" fillId="8" borderId="1" xfId="0" applyNumberFormat="1" applyFont="1" applyFill="1" applyBorder="1" applyAlignment="1" applyProtection="1">
      <alignment horizontal="center" vertical="bottom"/>
    </xf>
    <xf numFmtId="0" fontId="62" fillId="0" borderId="38" xfId="0" applyNumberFormat="1" applyFont="1" applyFill="1" applyBorder="1" applyAlignment="1" applyProtection="1">
      <alignment horizontal="center" vertical="center" wrapText="1"/>
    </xf>
    <xf numFmtId="465" fontId="0" fillId="0" borderId="17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462" fontId="62" fillId="0" borderId="44" xfId="0" applyNumberFormat="1" applyFont="1" applyFill="1" applyBorder="1" applyAlignment="1" applyProtection="1">
      <alignment horizontal="center" vertical="center" wrapText="1"/>
    </xf>
    <xf numFmtId="0" fontId="31" fillId="8" borderId="1" xfId="0" applyNumberFormat="1" applyFont="1" applyFill="1" applyBorder="1" applyAlignment="1" applyProtection="1">
      <alignment horizontal="center" vertical="center" wrapText="1"/>
    </xf>
    <xf numFmtId="0" fontId="38" fillId="0" borderId="0" xfId="0" applyNumberFormat="1" applyFont="1" applyFill="1" applyBorder="1" applyAlignment="1" applyProtection="1">
      <alignment vertical="bottom"/>
    </xf>
    <xf numFmtId="402" fontId="0" fillId="8" borderId="1" xfId="0" applyNumberFormat="1" applyFont="1" applyFill="1" applyBorder="1" applyAlignment="1" applyProtection="1">
      <alignment horizontal="center" vertical="bottom"/>
    </xf>
    <xf numFmtId="393" fontId="38" fillId="0" borderId="1" xfId="0" applyNumberFormat="1" applyFont="1" applyFill="1" applyBorder="1" applyAlignment="1" applyProtection="1">
      <alignment vertical="bottom"/>
    </xf>
    <xf numFmtId="0" fontId="30" fillId="0" borderId="0" xfId="0" applyNumberFormat="1" applyFont="1" applyFill="1" applyBorder="1" applyAlignment="1" applyProtection="1">
      <alignment vertical="bottom" wrapText="1"/>
    </xf>
    <xf numFmtId="414" fontId="26" fillId="3" borderId="38" xfId="0" applyNumberFormat="1" applyFont="1" applyFill="1" applyBorder="1" applyAlignment="1" applyProtection="1">
      <alignment horizontal="center" vertical="center" wrapText="1"/>
    </xf>
    <xf numFmtId="361" fontId="26" fillId="3" borderId="1" xfId="0" applyNumberFormat="1" applyFont="1" applyFill="1" applyBorder="1" applyAlignment="1" applyProtection="1">
      <alignment vertical="center" wrapText="1"/>
    </xf>
    <xf numFmtId="545" fontId="0" fillId="0" borderId="17" xfId="0" applyNumberFormat="1" applyFont="1" applyFill="1" applyBorder="1" applyAlignment="1" applyProtection="1">
      <alignment horizontal="center" vertical="center" wrapText="1"/>
    </xf>
    <xf numFmtId="49" fontId="34" fillId="0" borderId="1" xfId="0" applyNumberFormat="1" applyFont="1" applyFill="1" applyBorder="1" applyAlignment="1" applyProtection="1">
      <alignment horizontal="center" vertical="center" wrapText="1"/>
    </xf>
    <xf numFmtId="462" fontId="62" fillId="0" borderId="17" xfId="0" applyNumberFormat="1" applyFont="1" applyFill="1" applyBorder="1" applyAlignment="1" applyProtection="1">
      <alignment horizontal="center" vertical="center" wrapText="1"/>
    </xf>
    <xf numFmtId="0" fontId="39" fillId="0" borderId="40" xfId="0" applyNumberFormat="1" applyFont="1" applyFill="1" applyBorder="1" applyAlignment="1" applyProtection="1">
      <alignment horizontal="center" vertical="center"/>
    </xf>
    <xf numFmtId="0" fontId="38" fillId="0" borderId="0" xfId="0" applyNumberFormat="1" applyFont="1" applyFill="1" applyBorder="1" applyAlignment="1" applyProtection="1">
      <alignment vertical="bottom"/>
    </xf>
    <xf numFmtId="0" fontId="62" fillId="0" borderId="36" xfId="0" applyNumberFormat="1" applyFont="1" applyFill="1" applyBorder="1" applyAlignment="1" applyProtection="1">
      <alignment horizontal="center" vertical="center" wrapText="1"/>
    </xf>
    <xf numFmtId="436" fontId="0" fillId="5" borderId="38" xfId="0" applyNumberFormat="1" applyFont="1" applyFill="1" applyBorder="1" applyAlignment="1" applyProtection="1">
      <alignment horizontal="center" vertical="center" wrapText="1"/>
    </xf>
    <xf numFmtId="0" fontId="62" fillId="0" borderId="17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Alignment="1" applyProtection="1">
      <alignment vertical="top"/>
      <protection locked="1"/>
    </xf>
    <xf numFmtId="49" fontId="36" fillId="0" borderId="1" xfId="0" applyNumberFormat="1" applyFont="1" applyFill="1" applyBorder="1" applyAlignment="1" applyProtection="1">
      <alignment horizontal="center" vertical="center" wrapText="1"/>
    </xf>
    <xf numFmtId="462" fontId="62" fillId="0" borderId="43" xfId="0" applyNumberFormat="1" applyFont="1" applyFill="1" applyBorder="1" applyAlignment="1" applyProtection="1">
      <alignment horizontal="center" vertical="center" wrapText="1"/>
    </xf>
    <xf numFmtId="0" fontId="42" fillId="8" borderId="1" xfId="0" applyNumberFormat="1" applyFont="1" applyFill="1" applyBorder="1" applyAlignment="1" applyProtection="1">
      <alignment horizontal="center" vertical="center" wrapText="1"/>
    </xf>
    <xf numFmtId="436" fontId="0" fillId="5" borderId="40" xfId="0" applyNumberFormat="1" applyFont="1" applyFill="1" applyBorder="1" applyAlignment="1" applyProtection="1">
      <alignment horizontal="center" vertical="center" wrapText="1"/>
    </xf>
    <xf numFmtId="0" fontId="31" fillId="5" borderId="1" xfId="0" applyNumberFormat="1" applyFont="1" applyFill="1" applyBorder="1" applyAlignment="1" applyProtection="1">
      <alignment horizontal="left" vertical="center" wrapText="1"/>
    </xf>
    <xf numFmtId="280" fontId="38" fillId="0" borderId="1" xfId="0" applyNumberFormat="1" applyFont="1" applyFill="1" applyBorder="1" applyAlignment="1" applyProtection="1">
      <alignment vertical="bottom"/>
    </xf>
    <xf numFmtId="621" fontId="62" fillId="0" borderId="38" xfId="0" applyNumberFormat="1" applyFont="1" applyFill="1" applyBorder="1" applyAlignment="1" applyProtection="1">
      <alignment horizontal="center" vertical="center" wrapText="1"/>
    </xf>
    <xf numFmtId="0" fontId="34" fillId="5" borderId="1" xfId="0" applyNumberFormat="1" applyFont="1" applyFill="1" applyBorder="1" applyAlignment="1" applyProtection="1">
      <alignment horizontal="center" vertical="center" wrapText="1"/>
    </xf>
    <xf numFmtId="0" fontId="34" fillId="0" borderId="1" xfId="0" applyNumberFormat="1" applyFont="1" applyFill="1" applyBorder="1" applyAlignment="1" applyProtection="1">
      <alignment horizontal="center" vertical="center" wrapText="1"/>
    </xf>
    <xf numFmtId="293" fontId="38" fillId="0" borderId="0" xfId="0" applyNumberFormat="1" applyFont="1" applyFill="1" applyBorder="1" applyAlignment="1" applyProtection="1">
      <alignment horizontal="center" vertical="bottom"/>
    </xf>
    <xf numFmtId="302" fontId="38" fillId="0" borderId="1" xfId="0" applyNumberFormat="1" applyFont="1" applyFill="1" applyBorder="1" applyAlignment="1" applyProtection="1">
      <alignment vertical="bottom"/>
    </xf>
    <xf numFmtId="327" fontId="38" fillId="0" borderId="0" xfId="0" applyNumberFormat="1" applyFont="1" applyFill="1" applyBorder="1" applyAlignment="1" applyProtection="1">
      <alignment horizontal="center" vertical="bottom"/>
    </xf>
    <xf numFmtId="618" fontId="0" fillId="0" borderId="23" xfId="0" applyNumberFormat="1" applyFont="1" applyFill="1" applyBorder="1" applyAlignment="1" applyProtection="1">
      <alignment horizontal="center" vertical="center" wrapText="1"/>
    </xf>
    <xf numFmtId="0" fontId="26" fillId="0" borderId="34" xfId="0" applyNumberFormat="1" applyFont="1" applyFill="1" applyBorder="1" applyAlignment="1" applyProtection="1">
      <alignment horizontal="center" vertical="center" wrapText="1"/>
    </xf>
    <xf numFmtId="0" fontId="62" fillId="0" borderId="42" xfId="0" applyNumberFormat="1" applyFont="1" applyFill="1" applyBorder="1" applyAlignment="1" applyProtection="1">
      <alignment horizontal="center" vertical="center"/>
    </xf>
    <xf numFmtId="416" fontId="38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bottom"/>
    </xf>
    <xf numFmtId="0" fontId="26" fillId="0" borderId="37" xfId="0" applyNumberFormat="1" applyFont="1" applyFill="1" applyBorder="1" applyAlignment="1" applyProtection="1">
      <alignment horizontal="center" vertical="center" wrapText="1"/>
    </xf>
    <xf numFmtId="329" fontId="40" fillId="8" borderId="1" xfId="0" applyNumberFormat="1" applyFont="1" applyFill="1" applyBorder="1" applyAlignment="1" applyProtection="1">
      <alignment horizontal="center" vertical="center" wrapText="1"/>
    </xf>
    <xf numFmtId="395" fontId="38" fillId="0" borderId="1" xfId="0" applyNumberFormat="1" applyFont="1" applyFill="1" applyBorder="1" applyAlignment="1" applyProtection="1">
      <alignment horizontal="center" vertical="bottom"/>
    </xf>
    <xf numFmtId="549" fontId="0" fillId="0" borderId="16" xfId="0" applyNumberFormat="1" applyFont="1" applyFill="1" applyBorder="1" applyAlignment="1" applyProtection="1">
      <alignment horizontal="center" vertical="center" wrapText="1"/>
    </xf>
    <xf numFmtId="373" fontId="28" fillId="0" borderId="1" xfId="0" applyNumberFormat="1" applyFont="1" applyFill="1" applyBorder="1" applyAlignment="1" applyProtection="1">
      <alignment horizontal="center" vertical="center" wrapText="1"/>
    </xf>
    <xf numFmtId="0" fontId="38" fillId="0" borderId="1" xfId="0" applyNumberFormat="1" applyFont="1" applyFill="1" applyBorder="1" applyAlignment="1" applyProtection="1">
      <alignment horizontal="center" vertical="bottom"/>
    </xf>
    <xf numFmtId="399" fontId="34" fillId="0" borderId="1" xfId="0" applyNumberFormat="1" applyFont="1" applyFill="1" applyBorder="1" applyAlignment="1" applyProtection="1">
      <alignment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317" fontId="0" fillId="0" borderId="39" xfId="0" applyNumberFormat="1" applyFont="1" applyFill="1" applyBorder="1" applyAlignment="1" applyProtection="1">
      <alignment horizontal="center" vertical="center" wrapText="1"/>
    </xf>
    <xf numFmtId="0" fontId="63" fillId="0" borderId="16" xfId="0" applyNumberFormat="1" applyFont="1" applyFill="1" applyBorder="1" applyAlignment="1" applyProtection="1">
      <alignment vertical="center" wrapText="1"/>
    </xf>
    <xf numFmtId="0" fontId="61" fillId="0" borderId="38" xfId="0" applyNumberFormat="1" applyFont="1" applyFill="1" applyBorder="1" applyAlignment="1" applyProtection="1">
      <alignment horizontal="center" vertical="center" wrapText="1"/>
    </xf>
    <xf numFmtId="0" fontId="0" fillId="0" borderId="17" xfId="0" applyNumberFormat="1" applyFont="1" applyFill="1" applyBorder="1" applyAlignment="1" applyProtection="1">
      <alignment horizontal="center" vertical="center" wrapText="1"/>
    </xf>
    <xf numFmtId="353" fontId="62" fillId="0" borderId="34" xfId="0" applyNumberFormat="1" applyFont="1" applyFill="1" applyBorder="1" applyAlignment="1" applyProtection="1">
      <alignment horizontal="center" vertical="center" wrapText="1"/>
    </xf>
    <xf numFmtId="0" fontId="26" fillId="0" borderId="45" xfId="0" applyNumberFormat="1" applyFont="1" applyFill="1" applyBorder="1" applyAlignment="1" applyProtection="1">
      <alignment horizontal="center" vertical="center" wrapText="1"/>
    </xf>
    <xf numFmtId="0" fontId="61" fillId="0" borderId="40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63" fillId="8" borderId="1" xfId="0" applyNumberFormat="1" applyFont="1" applyFill="1" applyBorder="1" applyAlignment="1" applyProtection="1">
      <alignment horizontal="center" vertical="center" wrapText="1"/>
    </xf>
    <xf numFmtId="0" fontId="26" fillId="0" borderId="16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bottom"/>
    </xf>
    <xf numFmtId="0" fontId="0" fillId="5" borderId="1" xfId="0" applyNumberFormat="1" applyFont="1" applyFill="1" applyBorder="1" applyAlignment="1" applyProtection="1">
      <alignment vertical="bottom"/>
    </xf>
    <xf numFmtId="438" fontId="26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/>
    <xf numFmtId="0" fontId="62" fillId="0" borderId="40" xfId="0" applyNumberFormat="1" applyFont="1" applyFill="1" applyBorder="1" applyAlignment="1" applyProtection="1">
      <alignment horizontal="center" vertical="center" wrapText="1"/>
    </xf>
    <xf numFmtId="389" fontId="26" fillId="0" borderId="1" xfId="0" applyNumberFormat="1" applyFont="1" applyFill="1" applyBorder="1" applyAlignment="1" applyProtection="1">
      <alignment horizontal="center" vertical="center" wrapText="1"/>
    </xf>
    <xf numFmtId="462" fontId="62" fillId="0" borderId="16" xfId="0" applyNumberFormat="1" applyFont="1" applyFill="1" applyBorder="1" applyAlignment="1" applyProtection="1">
      <alignment horizontal="center" vertical="center" wrapText="1"/>
    </xf>
    <xf numFmtId="0" fontId="26" fillId="0" borderId="1" xfId="0" applyNumberFormat="1" applyFont="1" applyFill="1" applyBorder="1" applyAlignment="1" applyProtection="1">
      <alignment horizontal="center" vertical="center" wrapText="1"/>
    </xf>
    <xf numFmtId="558" fontId="0" fillId="0" borderId="1" xfId="0" applyNumberFormat="1" applyFont="1" applyFill="1" applyBorder="1" applyAlignment="1" applyProtection="1">
      <alignment horizontal="left" vertical="bottom"/>
    </xf>
    <xf numFmtId="0" fontId="0" fillId="0" borderId="0" xfId="0"/>
    <xf numFmtId="0" fontId="38" fillId="8" borderId="38" xfId="0" applyNumberFormat="1" applyFont="1" applyFill="1" applyBorder="1" applyAlignment="1" applyProtection="1">
      <alignment horizontal="center" vertical="center"/>
    </xf>
    <xf numFmtId="0" fontId="63" fillId="0" borderId="34" xfId="0" applyNumberFormat="1" applyFont="1" applyFill="1" applyBorder="1" applyAlignment="1" applyProtection="1">
      <alignment vertical="center" wrapText="1"/>
    </xf>
    <xf numFmtId="439" fontId="38" fillId="0" borderId="1" xfId="0" applyNumberFormat="1" applyFont="1" applyFill="1" applyBorder="1" applyAlignment="1" applyProtection="1">
      <alignment horizontal="center" vertical="bottom"/>
    </xf>
    <xf numFmtId="0" fontId="34" fillId="0" borderId="37" xfId="0" applyNumberFormat="1" applyFont="1" applyFill="1" applyBorder="1" applyAlignment="1" applyProtection="1">
      <alignment horizontal="center" vertical="center" wrapText="1"/>
    </xf>
    <xf numFmtId="462" fontId="62" fillId="0" borderId="42" xfId="0" applyNumberFormat="1" applyFont="1" applyFill="1" applyBorder="1" applyAlignment="1" applyProtection="1">
      <alignment horizontal="center" vertical="center" wrapText="1"/>
    </xf>
    <xf numFmtId="0" fontId="0" fillId="0" borderId="38" xfId="0" applyNumberFormat="1" applyFont="1" applyFill="1" applyBorder="1" applyAlignment="1" applyProtection="1">
      <alignment horizontal="center" vertical="bottom"/>
    </xf>
    <xf numFmtId="545" fontId="0" fillId="0" borderId="16" xfId="0" applyNumberFormat="1" applyFont="1" applyFill="1" applyBorder="1" applyAlignment="1" applyProtection="1">
      <alignment horizontal="center" vertical="center" wrapText="1"/>
    </xf>
    <xf numFmtId="404" fontId="0" fillId="5" borderId="34" xfId="0" applyNumberFormat="1" applyFont="1" applyFill="1" applyBorder="1" applyAlignment="1" applyProtection="1">
      <alignment horizontal="center" vertical="center" wrapText="1"/>
    </xf>
    <xf numFmtId="0" fontId="0" fillId="0" borderId="41" xfId="0" applyNumberFormat="1" applyFont="1" applyFill="1" applyBorder="1" applyAlignment="1" applyProtection="1">
      <alignment horizontal="center" vertical="bottom"/>
    </xf>
    <xf numFmtId="501" fontId="28" fillId="0" borderId="1" xfId="0" applyNumberFormat="1" applyFont="1" applyFill="1" applyBorder="1" applyAlignment="1" applyProtection="1">
      <alignment horizontal="center" vertical="center" wrapText="1"/>
    </xf>
    <xf numFmtId="424" fontId="26" fillId="3" borderId="1" xfId="0" applyNumberFormat="1" applyFont="1" applyFill="1" applyBorder="1" applyAlignment="1" applyProtection="1">
      <alignment horizontal="center" vertical="center" wrapText="1"/>
    </xf>
    <xf numFmtId="0" fontId="59" fillId="0" borderId="17" xfId="0" applyNumberFormat="1" applyFont="1" applyFill="1" applyBorder="1" applyAlignment="1" applyProtection="1">
      <alignment horizontal="left" vertical="center" wrapText="1"/>
    </xf>
    <xf numFmtId="0" fontId="0" fillId="5" borderId="0" xfId="0" applyNumberFormat="1" applyFont="1" applyFill="1" applyBorder="1" applyAlignment="1" applyProtection="1">
      <alignment horizontal="left" vertical="center"/>
    </xf>
    <xf numFmtId="414" fontId="26" fillId="3" borderId="39" xfId="0" applyNumberFormat="1" applyFont="1" applyFill="1" applyBorder="1" applyAlignment="1" applyProtection="1">
      <alignment horizontal="center" vertical="center" wrapText="1"/>
    </xf>
    <xf numFmtId="0" fontId="0" fillId="5" borderId="40" xfId="0" applyNumberFormat="1" applyFont="1" applyFill="1" applyBorder="1" applyAlignment="1" applyProtection="1">
      <alignment horizontal="center" vertical="center" wrapText="1"/>
    </xf>
    <xf numFmtId="397" fontId="62" fillId="0" borderId="41" xfId="0" applyNumberFormat="1" applyFont="1" applyFill="1" applyBorder="1" applyAlignment="1" applyProtection="1">
      <alignment horizontal="center" vertical="center" wrapText="1"/>
    </xf>
    <xf numFmtId="0" fontId="0" fillId="5" borderId="0" xfId="0" applyNumberFormat="1" applyFont="1" applyFill="1" applyBorder="1" applyAlignment="1" applyProtection="1">
      <alignment horizontal="left" vertical="bottom"/>
    </xf>
    <xf numFmtId="0" fontId="0" fillId="0" borderId="34" xfId="0" applyNumberFormat="1" applyFont="1" applyFill="1" applyBorder="1" applyAlignment="1" applyProtection="1">
      <alignment horizontal="center" vertical="center" wrapText="1"/>
    </xf>
    <xf numFmtId="384" fontId="40" fillId="8" borderId="1" xfId="0" applyNumberFormat="1" applyFont="1" applyFill="1" applyBorder="1" applyAlignment="1" applyProtection="1">
      <alignment horizontal="center" vertical="center" wrapText="1"/>
    </xf>
    <xf numFmtId="0" fontId="40" fillId="8" borderId="1" xfId="0" applyNumberFormat="1" applyFont="1" applyFill="1" applyBorder="1" applyAlignment="1" applyProtection="1">
      <alignment horizontal="center" vertical="center" wrapText="1"/>
    </xf>
    <xf numFmtId="0" fontId="0" fillId="5" borderId="38" xfId="0" applyNumberFormat="1" applyFont="1" applyFill="1" applyBorder="1" applyAlignment="1" applyProtection="1">
      <alignment horizontal="center" vertical="center" wrapText="1"/>
    </xf>
    <xf numFmtId="0" fontId="0" fillId="0" borderId="34" xfId="0" applyNumberFormat="1" applyFont="1" applyFill="1" applyBorder="1" applyAlignment="1" applyProtection="1">
      <alignment horizontal="center" vertical="bottom"/>
    </xf>
    <xf numFmtId="0" fontId="40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34" fillId="5" borderId="1" xfId="0" applyNumberFormat="1" applyFont="1" applyFill="1" applyBorder="1" applyAlignment="1" applyProtection="1">
      <alignment horizontal="center" vertical="center" wrapText="1"/>
    </xf>
    <xf numFmtId="353" fontId="62" fillId="0" borderId="16" xfId="0" applyNumberFormat="1" applyFont="1" applyFill="1" applyBorder="1" applyAlignment="1" applyProtection="1">
      <alignment horizontal="center" vertical="center" wrapText="1"/>
    </xf>
    <xf numFmtId="0" fontId="0" fillId="0" borderId="35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center" wrapText="1"/>
    </xf>
    <xf numFmtId="545" fontId="0" fillId="0" borderId="23" xfId="0" applyNumberFormat="1" applyFont="1" applyFill="1" applyBorder="1" applyAlignment="1" applyProtection="1">
      <alignment horizontal="center" vertical="center" wrapText="1"/>
    </xf>
    <xf numFmtId="305" fontId="38" fillId="0" borderId="1" xfId="0" applyNumberFormat="1" applyFont="1" applyFill="1" applyBorder="1" applyAlignment="1" applyProtection="1">
      <alignment horizontal="center" vertical="center"/>
    </xf>
    <xf numFmtId="0" fontId="40" fillId="0" borderId="40" xfId="0" applyNumberFormat="1" applyFont="1" applyFill="1" applyBorder="1" applyAlignment="1" applyProtection="1">
      <alignment horizontal="center" vertical="center" wrapText="1"/>
    </xf>
    <xf numFmtId="0" fontId="62" fillId="0" borderId="39" xfId="0" applyNumberFormat="1" applyFont="1" applyFill="1" applyBorder="1" applyAlignment="1" applyProtection="1">
      <alignment horizontal="center" vertical="center" wrapText="1"/>
    </xf>
    <xf numFmtId="0" fontId="25" fillId="0" borderId="0" xfId="0" applyNumberFormat="1" applyFont="1" applyFill="1" applyBorder="1" applyAlignment="1" applyProtection="1">
      <alignment vertical="bottom"/>
    </xf>
    <xf numFmtId="0" fontId="34" fillId="0" borderId="36" xfId="0" applyNumberFormat="1" applyFont="1" applyFill="1" applyBorder="1" applyAlignment="1" applyProtection="1">
      <alignment horizontal="center"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472" fontId="62" fillId="0" borderId="37" xfId="0" applyNumberFormat="1" applyFont="1" applyFill="1" applyBorder="1" applyAlignment="1" applyProtection="1">
      <alignment horizontal="center" vertical="center" wrapText="1"/>
    </xf>
    <xf numFmtId="0" fontId="63" fillId="0" borderId="23" xfId="0" applyNumberFormat="1" applyFont="1" applyFill="1" applyBorder="1" applyAlignment="1" applyProtection="1">
      <alignment vertical="center" wrapText="1"/>
    </xf>
    <xf numFmtId="0" fontId="34" fillId="0" borderId="35" xfId="0" applyNumberFormat="1" applyFont="1" applyFill="1" applyBorder="1" applyAlignment="1" applyProtection="1">
      <alignment horizontal="center" vertical="center" wrapText="1"/>
    </xf>
    <xf numFmtId="0" fontId="62" fillId="0" borderId="1" xfId="0" applyNumberFormat="1" applyFont="1" applyFill="1" applyBorder="1" applyAlignment="1" applyProtection="1">
      <alignment horizontal="center" vertical="center" wrapText="1"/>
    </xf>
    <xf numFmtId="358" fontId="26" fillId="3" borderId="1" xfId="0" applyNumberFormat="1" applyFont="1" applyFill="1" applyBorder="1" applyAlignment="1" applyProtection="1">
      <alignment horizontal="center" vertical="center" wrapText="1"/>
    </xf>
    <xf numFmtId="49" fontId="0" fillId="8" borderId="1" xfId="0" applyNumberFormat="1" applyFont="1" applyFill="1" applyBorder="1" applyAlignment="1" applyProtection="1">
      <alignment horizontal="center" vertical="bottom"/>
    </xf>
    <xf numFmtId="343" fontId="42" fillId="8" borderId="1" xfId="0" applyNumberFormat="1" applyFont="1" applyFill="1" applyBorder="1" applyAlignment="1" applyProtection="1">
      <alignment horizontal="center" vertical="center" wrapText="1"/>
    </xf>
    <xf numFmtId="0" fontId="62" fillId="0" borderId="17" xfId="0" applyNumberFormat="1" applyFont="1" applyFill="1" applyBorder="1" applyAlignment="1" applyProtection="1">
      <alignment horizontal="center" vertical="center"/>
    </xf>
    <xf numFmtId="621" fontId="62" fillId="0" borderId="39" xfId="0" applyNumberFormat="1" applyFont="1" applyFill="1" applyBorder="1" applyAlignment="1" applyProtection="1">
      <alignment horizontal="center" vertical="center" wrapText="1"/>
    </xf>
    <xf numFmtId="0" fontId="62" fillId="0" borderId="35" xfId="0" applyNumberFormat="1" applyFont="1" applyFill="1" applyBorder="1" applyAlignment="1" applyProtection="1">
      <alignment horizontal="center" vertical="center" wrapText="1"/>
    </xf>
    <xf numFmtId="506" fontId="38" fillId="0" borderId="0" xfId="0" applyNumberFormat="1" applyFont="1" applyFill="1" applyBorder="1" applyAlignment="1" applyProtection="1">
      <alignment horizontal="center" vertical="center"/>
    </xf>
    <xf numFmtId="432" fontId="0" fillId="5" borderId="40" xfId="0" applyNumberFormat="1" applyFont="1" applyFill="1" applyBorder="1" applyAlignment="1" applyProtection="1">
      <alignment horizontal="center" vertical="center" wrapText="1"/>
    </xf>
    <xf numFmtId="0" fontId="62" fillId="0" borderId="17" xfId="0" applyNumberFormat="1" applyFont="1" applyFill="1" applyBorder="1" applyAlignment="1" applyProtection="1">
      <alignment horizontal="left" vertical="center" wrapText="1"/>
    </xf>
    <xf numFmtId="472" fontId="62" fillId="0" borderId="35" xfId="0" applyNumberFormat="1" applyFont="1" applyFill="1" applyBorder="1" applyAlignment="1" applyProtection="1">
      <alignment horizontal="center" vertical="center" wrapText="1"/>
    </xf>
    <xf numFmtId="0" fontId="25" fillId="0" borderId="20" xfId="0" applyNumberFormat="1" applyFont="1" applyFill="1" applyBorder="1" applyAlignment="1" applyProtection="1">
      <alignment horizontal="left" vertical="top"/>
    </xf>
    <xf numFmtId="0" fontId="39" fillId="0" borderId="40" xfId="0" applyNumberFormat="1" applyFont="1" applyFill="1" applyBorder="1" applyAlignment="1" applyProtection="1">
      <alignment horizontal="center" vertical="center" wrapText="1"/>
    </xf>
    <xf numFmtId="437" fontId="0" fillId="0" borderId="35" xfId="0" applyNumberFormat="1" applyFont="1" applyFill="1" applyBorder="1" applyAlignment="1" applyProtection="1">
      <alignment horizontal="center" vertical="center" wrapText="1"/>
    </xf>
    <xf numFmtId="465" fontId="0" fillId="0" borderId="23" xfId="0" applyNumberFormat="1" applyFont="1" applyFill="1" applyBorder="1" applyAlignment="1" applyProtection="1">
      <alignment horizontal="center" vertical="center" wrapText="1"/>
    </xf>
    <xf numFmtId="0" fontId="62" fillId="0" borderId="34" xfId="0" applyNumberFormat="1" applyFont="1" applyFill="1" applyBorder="1" applyAlignment="1" applyProtection="1">
      <alignment horizontal="center" vertical="center" wrapText="1"/>
    </xf>
    <xf numFmtId="0" fontId="59" fillId="0" borderId="41" xfId="0" applyNumberFormat="1" applyFont="1" applyFill="1" applyBorder="1" applyAlignment="1" applyProtection="1">
      <alignment horizontal="left" vertical="center" wrapText="1"/>
    </xf>
    <xf numFmtId="404" fontId="0" fillId="5" borderId="23" xfId="0" applyNumberFormat="1" applyFont="1" applyFill="1" applyBorder="1" applyAlignment="1" applyProtection="1">
      <alignment horizontal="center" vertical="center" wrapText="1"/>
    </xf>
    <xf numFmtId="0" fontId="60" fillId="0" borderId="34" xfId="0" applyNumberFormat="1" applyFont="1" applyFill="1" applyBorder="1" applyAlignment="1" applyProtection="1">
      <alignment horizontal="center" vertical="center" wrapText="1"/>
    </xf>
    <xf numFmtId="0" fontId="62" fillId="0" borderId="37" xfId="0" applyNumberFormat="1" applyFont="1" applyFill="1" applyBorder="1" applyAlignment="1" applyProtection="1">
      <alignment horizontal="center" vertical="center"/>
    </xf>
    <xf numFmtId="0" fontId="62" fillId="0" borderId="34" xfId="0" applyNumberFormat="1" applyFont="1" applyFill="1" applyBorder="1" applyAlignment="1" applyProtection="1">
      <alignment horizontal="center" vertical="center"/>
    </xf>
    <xf numFmtId="0" fontId="59" fillId="0" borderId="45" xfId="0" applyNumberFormat="1" applyFont="1" applyFill="1" applyBorder="1" applyAlignment="1" applyProtection="1">
      <alignment horizontal="left" vertical="center" wrapText="1"/>
    </xf>
    <xf numFmtId="0" fontId="0" fillId="0" borderId="37" xfId="0" applyNumberFormat="1" applyFont="1" applyFill="1" applyBorder="1" applyAlignment="1" applyProtection="1">
      <alignment horizontal="center" vertical="bottom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26" fillId="0" borderId="37" xfId="0" applyNumberFormat="1" applyFont="1" applyFill="1" applyBorder="1" applyAlignment="1" applyProtection="1">
      <alignment horizontal="center" vertical="center" wrapText="1"/>
    </xf>
    <xf numFmtId="351" fontId="38" fillId="0" borderId="0" xfId="0" applyNumberFormat="1" applyFont="1" applyFill="1" applyBorder="1" applyAlignment="1" applyProtection="1">
      <alignment vertical="bottom"/>
    </xf>
    <xf numFmtId="0" fontId="63" fillId="0" borderId="43" xfId="0" applyNumberFormat="1" applyFont="1" applyFill="1" applyBorder="1" applyAlignment="1" applyProtection="1">
      <alignment vertical="center" wrapText="1"/>
    </xf>
    <xf numFmtId="451" fontId="0" fillId="0" borderId="0" xfId="0" applyNumberFormat="1" applyFont="1" applyFill="1" applyBorder="1" applyAlignment="1" applyProtection="1">
      <alignment horizontal="left" vertical="bottom"/>
    </xf>
    <xf numFmtId="549" fontId="0" fillId="0" borderId="23" xfId="0" applyNumberFormat="1" applyFont="1" applyFill="1" applyBorder="1" applyAlignment="1" applyProtection="1">
      <alignment horizontal="center" vertical="center" wrapText="1"/>
    </xf>
    <xf numFmtId="0" fontId="0" fillId="0" borderId="35" xfId="0" applyNumberFormat="1" applyFont="1" applyFill="1" applyBorder="1" applyAlignment="1" applyProtection="1">
      <alignment horizontal="center" vertical="bottom"/>
    </xf>
    <xf numFmtId="0" fontId="0" fillId="0" borderId="0" xfId="0" applyNumberFormat="1" applyFont="1" applyFill="1" applyBorder="1" applyAlignment="1" applyProtection="1">
      <alignment vertical="bottom"/>
    </xf>
    <xf numFmtId="447" fontId="40" fillId="8" borderId="1" xfId="0" applyNumberFormat="1" applyFont="1" applyFill="1" applyBorder="1" applyAlignment="1" applyProtection="1">
      <alignment horizontal="center" vertical="center" wrapText="1"/>
    </xf>
    <xf numFmtId="0" fontId="39" fillId="0" borderId="38" xfId="0" applyNumberFormat="1" applyFont="1" applyFill="1" applyBorder="1" applyAlignment="1" applyProtection="1">
      <alignment horizontal="center" vertical="center"/>
    </xf>
    <xf numFmtId="461" fontId="38" fillId="0" borderId="0" xfId="0" applyNumberFormat="1" applyFont="1" applyFill="1" applyBorder="1" applyAlignment="1" applyProtection="1">
      <alignment vertical="bottom"/>
    </xf>
    <xf numFmtId="277" fontId="38" fillId="0" borderId="0" xfId="0" applyNumberFormat="1" applyFont="1" applyFill="1" applyBorder="1" applyAlignment="1" applyProtection="1">
      <alignment horizontal="center" vertical="bottom"/>
    </xf>
    <xf numFmtId="356" fontId="0" fillId="0" borderId="16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center" wrapText="1"/>
    </xf>
    <xf numFmtId="564" fontId="58" fillId="0" borderId="35" xfId="0" applyNumberFormat="1" applyFont="1" applyFill="1" applyBorder="1" applyAlignment="1" applyProtection="1">
      <alignment horizontal="center" vertical="center" wrapText="1"/>
    </xf>
    <xf numFmtId="0" fontId="26" fillId="0" borderId="36" xfId="0" applyNumberFormat="1" applyFont="1" applyFill="1" applyBorder="1" applyAlignment="1" applyProtection="1">
      <alignment horizontal="center" vertical="center" wrapText="1"/>
    </xf>
    <xf numFmtId="0" fontId="28" fillId="0" borderId="1" xfId="0" applyNumberFormat="1" applyFont="1" applyFill="1" applyBorder="1" applyAlignment="1" applyProtection="1">
      <alignment vertical="center" wrapText="1"/>
    </xf>
    <xf numFmtId="383" fontId="26" fillId="3" borderId="40" xfId="0" applyNumberFormat="1" applyFont="1" applyFill="1" applyBorder="1" applyAlignment="1" applyProtection="1">
      <alignment horizontal="center" vertical="center" wrapText="1"/>
    </xf>
    <xf numFmtId="353" fontId="62" fillId="0" borderId="4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 vertical="bottom"/>
    </xf>
    <xf numFmtId="0" fontId="0" fillId="6" borderId="1" xfId="0" applyNumberFormat="1" applyFont="1" applyFill="1" applyBorder="1" applyAlignment="1" applyProtection="1">
      <alignment vertical="bottom"/>
    </xf>
    <xf numFmtId="0" fontId="0" fillId="5" borderId="23" xfId="0" applyNumberFormat="1" applyFont="1" applyFill="1" applyBorder="1" applyAlignment="1" applyProtection="1">
      <alignment horizontal="center" vertical="center" wrapText="1"/>
    </xf>
    <xf numFmtId="406" fontId="0" fillId="0" borderId="1" xfId="0" applyNumberFormat="1" applyFont="1" applyFill="1" applyBorder="1" applyAlignment="1" applyProtection="1">
      <alignment horizontal="center" vertical="center"/>
    </xf>
    <xf numFmtId="0" fontId="62" fillId="0" borderId="23" xfId="0" applyNumberFormat="1" applyFont="1" applyFill="1" applyBorder="1" applyAlignment="1" applyProtection="1">
      <alignment horizontal="center" vertical="center"/>
    </xf>
    <xf numFmtId="564" fontId="58" fillId="0" borderId="37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center" wrapText="1"/>
    </xf>
    <xf numFmtId="0" fontId="31" fillId="8" borderId="1" xfId="0" applyNumberFormat="1" applyFont="1" applyFill="1" applyBorder="1" applyAlignment="1" applyProtection="1">
      <alignment horizontal="center" vertical="center" wrapText="1"/>
    </xf>
    <xf numFmtId="0" fontId="62" fillId="0" borderId="34" xfId="0" applyNumberFormat="1" applyFont="1" applyFill="1" applyBorder="1" applyAlignment="1" applyProtection="1">
      <alignment horizontal="left" vertical="center" wrapText="1"/>
    </xf>
    <xf numFmtId="0" fontId="60" fillId="0" borderId="23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center"/>
    </xf>
    <xf numFmtId="356" fontId="0" fillId="0" borderId="23" xfId="0" applyNumberFormat="1" applyFont="1" applyFill="1" applyBorder="1" applyAlignment="1" applyProtection="1">
      <alignment horizontal="center" vertical="center" wrapText="1"/>
    </xf>
    <xf numFmtId="545" fontId="0" fillId="0" borderId="34" xfId="0" applyNumberFormat="1" applyFont="1" applyFill="1" applyBorder="1" applyAlignment="1" applyProtection="1">
      <alignment horizontal="center" vertical="center" wrapText="1"/>
    </xf>
    <xf numFmtId="0" fontId="60" fillId="0" borderId="41" xfId="0" applyNumberFormat="1" applyFont="1" applyFill="1" applyBorder="1" applyAlignment="1" applyProtection="1">
      <alignment horizontal="center" vertical="center" wrapText="1"/>
    </xf>
    <xf numFmtId="0" fontId="26" fillId="4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bottom"/>
    </xf>
    <xf numFmtId="0" fontId="33" fillId="0" borderId="38" xfId="0" applyNumberFormat="1" applyFont="1" applyFill="1" applyBorder="1" applyAlignment="1" applyProtection="1">
      <alignment horizontal="center" vertical="center" wrapText="1"/>
    </xf>
    <xf numFmtId="0" fontId="62" fillId="0" borderId="16" xfId="0" applyNumberFormat="1" applyFont="1" applyFill="1" applyBorder="1" applyAlignment="1" applyProtection="1">
      <alignment horizontal="center" vertical="center"/>
    </xf>
    <xf numFmtId="404" fontId="0" fillId="5" borderId="17" xfId="0" applyNumberFormat="1" applyFont="1" applyFill="1" applyBorder="1" applyAlignment="1" applyProtection="1">
      <alignment horizontal="center" vertical="center" wrapText="1"/>
    </xf>
    <xf numFmtId="452" fontId="62" fillId="0" borderId="39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center"/>
    </xf>
    <xf numFmtId="49" fontId="37" fillId="0" borderId="1" xfId="0" applyNumberFormat="1" applyFont="1" applyFill="1" applyBorder="1" applyAlignment="1" applyProtection="1">
      <alignment horizontal="center" vertical="center" wrapText="1"/>
    </xf>
    <xf numFmtId="0" fontId="36" fillId="7" borderId="1" xfId="0" applyNumberFormat="1" applyFont="1" applyFill="1" applyBorder="1" applyAlignment="1" applyProtection="1">
      <alignment horizontal="center" vertical="center" wrapText="1"/>
    </xf>
    <xf numFmtId="0" fontId="59" fillId="0" borderId="23" xfId="0" applyNumberFormat="1" applyFont="1" applyFill="1" applyBorder="1" applyAlignment="1" applyProtection="1">
      <alignment horizontal="left" vertical="center" wrapText="1"/>
    </xf>
    <xf numFmtId="0" fontId="38" fillId="8" borderId="39" xfId="0" applyNumberFormat="1" applyFont="1" applyFill="1" applyBorder="1" applyAlignment="1" applyProtection="1">
      <alignment horizontal="center" vertical="center"/>
    </xf>
    <xf numFmtId="0" fontId="38" fillId="8" borderId="1" xfId="0" applyNumberFormat="1" applyFont="1" applyFill="1" applyBorder="1" applyAlignment="1" applyProtection="1">
      <alignment horizontal="center" vertical="bottom"/>
    </xf>
    <xf numFmtId="0" fontId="62" fillId="0" borderId="41" xfId="0" applyNumberFormat="1" applyFont="1" applyFill="1" applyBorder="1" applyAlignment="1" applyProtection="1">
      <alignment horizontal="center" vertical="center" wrapText="1"/>
    </xf>
    <xf numFmtId="470" fontId="0" fillId="8" borderId="1" xfId="0" applyNumberFormat="1" applyFont="1" applyFill="1" applyBorder="1" applyAlignment="1" applyProtection="1">
      <alignment horizontal="center" vertical="bottom"/>
    </xf>
    <xf numFmtId="0" fontId="35" fillId="0" borderId="1" xfId="0" applyNumberFormat="1" applyFont="1" applyFill="1" applyBorder="1" applyAlignment="1" applyProtection="1">
      <alignment horizontal="center" vertical="center" wrapText="1"/>
    </xf>
    <xf numFmtId="0" fontId="62" fillId="0" borderId="42" xfId="0" applyNumberFormat="1" applyFont="1" applyFill="1" applyBorder="1" applyAlignment="1" applyProtection="1">
      <alignment horizontal="center" vertical="center" wrapText="1"/>
    </xf>
    <xf numFmtId="0" fontId="62" fillId="0" borderId="36" xfId="0" applyNumberFormat="1" applyFont="1" applyFill="1" applyBorder="1" applyAlignment="1" applyProtection="1">
      <alignment horizontal="center" vertical="center" wrapText="1"/>
    </xf>
    <xf numFmtId="0" fontId="62" fillId="0" borderId="42" xfId="0" applyNumberFormat="1" applyFont="1" applyFill="1" applyBorder="1" applyAlignment="1" applyProtection="1">
      <alignment horizontal="center" vertical="center" wrapText="1"/>
    </xf>
    <xf numFmtId="556" fontId="38" fillId="0" borderId="0" xfId="0" applyNumberFormat="1" applyFont="1" applyFill="1" applyBorder="1" applyAlignment="1" applyProtection="1">
      <alignment horizontal="center" vertical="bottom"/>
    </xf>
    <xf numFmtId="0" fontId="59" fillId="0" borderId="44" xfId="0" applyNumberFormat="1" applyFont="1" applyFill="1" applyBorder="1" applyAlignment="1" applyProtection="1">
      <alignment horizontal="left" vertical="center" wrapText="1"/>
    </xf>
    <xf numFmtId="0" fontId="59" fillId="0" borderId="42" xfId="0" applyNumberFormat="1" applyFont="1" applyFill="1" applyBorder="1" applyAlignment="1" applyProtection="1">
      <alignment horizontal="left" vertical="center" wrapText="1"/>
    </xf>
    <xf numFmtId="0" fontId="62" fillId="0" borderId="16" xfId="0" applyNumberFormat="1" applyFont="1" applyFill="1" applyBorder="1" applyAlignment="1" applyProtection="1">
      <alignment horizontal="center" vertical="center" wrapText="1"/>
    </xf>
    <xf numFmtId="462" fontId="62" fillId="0" borderId="23" xfId="0" applyNumberFormat="1" applyFont="1" applyFill="1" applyBorder="1" applyAlignment="1" applyProtection="1">
      <alignment horizontal="center" vertical="center" wrapText="1"/>
    </xf>
    <xf numFmtId="475" fontId="0" fillId="0" borderId="35" xfId="0" applyNumberFormat="1" applyFont="1" applyFill="1" applyBorder="1" applyAlignment="1" applyProtection="1">
      <alignment horizontal="center" vertical="center" wrapText="1"/>
    </xf>
    <xf numFmtId="475" fontId="0" fillId="0" borderId="37" xfId="0" applyNumberFormat="1" applyFont="1" applyFill="1" applyBorder="1" applyAlignment="1" applyProtection="1">
      <alignment horizontal="center" vertical="center" wrapText="1"/>
    </xf>
    <xf numFmtId="0" fontId="62" fillId="0" borderId="41" xfId="0" applyNumberFormat="1" applyFont="1" applyFill="1" applyBorder="1" applyAlignment="1" applyProtection="1">
      <alignment horizontal="center" vertical="center"/>
    </xf>
    <xf numFmtId="452" fontId="62" fillId="0" borderId="38" xfId="0" applyNumberFormat="1" applyFont="1" applyFill="1" applyBorder="1" applyAlignment="1" applyProtection="1">
      <alignment horizontal="center" vertical="center" wrapText="1"/>
    </xf>
    <xf numFmtId="474" fontId="38" fillId="0" borderId="0" xfId="0" applyNumberFormat="1" applyFont="1" applyFill="1" applyBorder="1" applyAlignment="1" applyProtection="1">
      <alignment horizontal="center" vertical="center"/>
    </xf>
    <xf numFmtId="414" fontId="26" fillId="3" borderId="40" xfId="0" applyNumberFormat="1" applyFont="1" applyFill="1" applyBorder="1" applyAlignment="1" applyProtection="1">
      <alignment horizontal="center" vertical="center" wrapText="1"/>
    </xf>
    <xf numFmtId="0" fontId="62" fillId="0" borderId="37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bottom"/>
    </xf>
    <xf numFmtId="618" fontId="0" fillId="0" borderId="16" xfId="0" applyNumberFormat="1" applyFont="1" applyFill="1" applyBorder="1" applyAlignment="1" applyProtection="1">
      <alignment horizontal="center" vertical="center" wrapText="1"/>
    </xf>
    <xf numFmtId="500" fontId="28" fillId="0" borderId="1" xfId="0" applyNumberFormat="1" applyFont="1" applyFill="1" applyBorder="1" applyAlignment="1" applyProtection="1">
      <alignment vertical="center" wrapText="1"/>
    </xf>
    <xf numFmtId="0" fontId="26" fillId="4" borderId="2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center" wrapText="1"/>
    </xf>
    <xf numFmtId="0" fontId="0" fillId="8" borderId="1" xfId="0" applyNumberFormat="1" applyFont="1" applyFill="1" applyBorder="1" applyAlignment="1" applyProtection="1">
      <alignment horizontal="center" vertical="bottom"/>
    </xf>
    <xf numFmtId="0" fontId="0" fillId="0" borderId="0" xfId="0"/>
    <xf numFmtId="353" fontId="62" fillId="0" borderId="17" xfId="0" applyNumberFormat="1" applyFont="1" applyFill="1" applyBorder="1" applyAlignment="1" applyProtection="1">
      <alignment horizontal="center" vertical="center" wrapText="1"/>
    </xf>
    <xf numFmtId="0" fontId="59" fillId="0" borderId="34" xfId="0" applyNumberFormat="1" applyFont="1" applyFill="1" applyBorder="1" applyAlignment="1" applyProtection="1">
      <alignment horizontal="left" vertical="center" wrapText="1"/>
    </xf>
    <xf numFmtId="0" fontId="62" fillId="0" borderId="1" xfId="0" applyNumberFormat="1" applyFont="1" applyFill="1" applyBorder="1" applyAlignment="1" applyProtection="1">
      <alignment horizontal="center" vertical="center" wrapText="1"/>
    </xf>
    <xf numFmtId="0" fontId="62" fillId="0" borderId="35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370" fontId="26" fillId="4" borderId="1" xfId="0" applyNumberFormat="1" applyFont="1" applyFill="1" applyBorder="1" applyAlignment="1" applyProtection="1">
      <alignment horizontal="center" vertical="center" wrapText="1"/>
    </xf>
    <xf numFmtId="432" fontId="0" fillId="5" borderId="38" xfId="0" applyNumberFormat="1" applyFont="1" applyFill="1" applyBorder="1" applyAlignment="1" applyProtection="1">
      <alignment horizontal="center" vertical="center" wrapText="1"/>
    </xf>
    <xf numFmtId="527" fontId="0" fillId="0" borderId="37" xfId="0" applyNumberFormat="1" applyFont="1" applyFill="1" applyBorder="1" applyAlignment="1" applyProtection="1">
      <alignment horizontal="center" vertical="center" wrapText="1"/>
    </xf>
    <xf numFmtId="527" fontId="0" fillId="0" borderId="35" xfId="0" applyNumberFormat="1" applyFont="1" applyFill="1" applyBorder="1" applyAlignment="1" applyProtection="1">
      <alignment horizontal="center" vertical="center" wrapText="1"/>
    </xf>
    <xf numFmtId="621" fontId="62" fillId="0" borderId="40" xfId="0" applyNumberFormat="1" applyFont="1" applyFill="1" applyBorder="1" applyAlignment="1" applyProtection="1">
      <alignment horizontal="center" vertical="center" wrapText="1"/>
    </xf>
    <xf numFmtId="452" fontId="62" fillId="0" borderId="40" xfId="0" applyNumberFormat="1" applyFont="1" applyFill="1" applyBorder="1" applyAlignment="1" applyProtection="1">
      <alignment horizontal="center" vertical="center" wrapText="1"/>
    </xf>
    <xf numFmtId="0" fontId="0" fillId="5" borderId="34" xfId="0" applyNumberFormat="1" applyFont="1" applyFill="1" applyBorder="1" applyAlignment="1" applyProtection="1">
      <alignment horizontal="center" vertical="center" wrapText="1"/>
    </xf>
    <xf numFmtId="0" fontId="0" fillId="5" borderId="16" xfId="0" applyNumberFormat="1" applyFont="1" applyFill="1" applyBorder="1" applyAlignment="1" applyProtection="1">
      <alignment horizontal="center" vertical="center" wrapText="1"/>
    </xf>
    <xf numFmtId="0" fontId="0" fillId="5" borderId="42" xfId="0" applyNumberFormat="1" applyFont="1" applyFill="1" applyBorder="1" applyAlignment="1" applyProtection="1">
      <alignment horizontal="center" vertical="center" wrapText="1"/>
    </xf>
    <xf numFmtId="0" fontId="0" fillId="5" borderId="41" xfId="0" applyNumberFormat="1" applyFont="1" applyFill="1" applyBorder="1" applyAlignment="1" applyProtection="1">
      <alignment horizontal="center" vertical="center" wrapText="1"/>
    </xf>
    <xf numFmtId="0" fontId="0" fillId="5" borderId="17" xfId="0" applyNumberFormat="1" applyFont="1" applyFill="1" applyBorder="1" applyAlignment="1" applyProtection="1">
      <alignment horizontal="center" vertical="center" wrapText="1"/>
    </xf>
    <xf numFmtId="397" fontId="62" fillId="0" borderId="17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58" fillId="0" borderId="1" xfId="0" applyNumberFormat="1" applyFont="1" applyFill="1" applyBorder="1" applyAlignment="1" applyProtection="1">
      <alignment horizontal="center" vertical="center"/>
    </xf>
    <xf numFmtId="0" fontId="38" fillId="9" borderId="1" xfId="0" applyNumberFormat="1" applyFont="1" applyFill="1" applyBorder="1" applyAlignment="1" applyProtection="1">
      <alignment horizontal="left" vertical="center"/>
    </xf>
    <xf numFmtId="0" fontId="0" fillId="0" borderId="1" xfId="0" applyNumberFormat="1" applyFont="1" applyFill="1" applyBorder="1" applyAlignment="1" applyProtection="1">
      <alignment horizontal="left" vertical="bottom"/>
    </xf>
    <xf numFmtId="462" fontId="62" fillId="0" borderId="41" xfId="0" applyNumberFormat="1" applyFont="1" applyFill="1" applyBorder="1" applyAlignment="1" applyProtection="1">
      <alignment horizontal="center" vertical="center" wrapText="1"/>
    </xf>
    <xf numFmtId="0" fontId="0" fillId="0" borderId="36" xfId="0" applyNumberFormat="1" applyFont="1" applyFill="1" applyBorder="1" applyAlignment="1" applyProtection="1">
      <alignment horizontal="center" vertical="center" wrapText="1"/>
    </xf>
    <xf numFmtId="0" fontId="62" fillId="0" borderId="23" xfId="0" applyNumberFormat="1" applyFont="1" applyFill="1" applyBorder="1" applyAlignment="1" applyProtection="1">
      <alignment horizontal="center" vertical="center" wrapText="1"/>
    </xf>
    <xf numFmtId="0" fontId="62" fillId="0" borderId="17" xfId="0" applyNumberFormat="1" applyFont="1" applyFill="1" applyBorder="1" applyAlignment="1" applyProtection="1">
      <alignment horizontal="center" vertical="center" wrapText="1"/>
    </xf>
    <xf numFmtId="536" fontId="0" fillId="0" borderId="40" xfId="0" applyNumberFormat="1" applyFont="1" applyFill="1" applyBorder="1" applyAlignment="1" applyProtection="1">
      <alignment horizontal="center" vertical="center" wrapText="1"/>
    </xf>
    <xf numFmtId="536" fontId="0" fillId="0" borderId="38" xfId="0" applyNumberFormat="1" applyFont="1" applyFill="1" applyBorder="1" applyAlignment="1" applyProtection="1">
      <alignment horizontal="center" vertical="center" wrapText="1"/>
    </xf>
    <xf numFmtId="539" fontId="0" fillId="0" borderId="40" xfId="0" applyNumberFormat="1" applyFont="1" applyFill="1" applyBorder="1" applyAlignment="1" applyProtection="1">
      <alignment horizontal="center" vertical="center" wrapText="1"/>
    </xf>
    <xf numFmtId="539" fontId="0" fillId="0" borderId="38" xfId="0" applyNumberFormat="1" applyFont="1" applyFill="1" applyBorder="1" applyAlignment="1" applyProtection="1">
      <alignment horizontal="center" vertical="center" wrapText="1"/>
    </xf>
    <xf numFmtId="0" fontId="0" fillId="0" borderId="45" xfId="0" applyNumberFormat="1" applyFont="1" applyFill="1" applyBorder="1" applyAlignment="1" applyProtection="1">
      <alignment horizontal="center" vertical="center" wrapText="1"/>
    </xf>
    <xf numFmtId="0" fontId="0" fillId="0" borderId="44" xfId="0" applyNumberFormat="1" applyFont="1" applyFill="1" applyBorder="1" applyAlignment="1" applyProtection="1">
      <alignment horizontal="center" vertical="center" wrapText="1"/>
    </xf>
    <xf numFmtId="0" fontId="0" fillId="0" borderId="43" xfId="0" applyNumberFormat="1" applyFont="1" applyFill="1" applyBorder="1" applyAlignment="1" applyProtection="1">
      <alignment horizontal="center" vertical="center" wrapText="1"/>
    </xf>
    <xf numFmtId="0" fontId="0" fillId="0" borderId="40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center" wrapText="1"/>
    </xf>
    <xf numFmtId="0" fontId="0" fillId="0" borderId="38" xfId="0" applyNumberFormat="1" applyFont="1" applyFill="1" applyBorder="1" applyAlignment="1" applyProtection="1">
      <alignment horizontal="center" vertical="center" wrapText="1"/>
    </xf>
    <xf numFmtId="0" fontId="0" fillId="0" borderId="42" xfId="0" applyNumberFormat="1" applyFont="1" applyFill="1" applyBorder="1" applyAlignment="1" applyProtection="1">
      <alignment horizontal="center" vertical="center" wrapText="1"/>
    </xf>
    <xf numFmtId="0" fontId="0" fillId="0" borderId="41" xfId="0" applyNumberFormat="1" applyFont="1" applyFill="1" applyBorder="1" applyAlignment="1" applyProtection="1">
      <alignment horizontal="center" vertical="center" wrapText="1"/>
    </xf>
    <xf numFmtId="521" fontId="0" fillId="0" borderId="37" xfId="0" applyNumberFormat="1" applyFont="1" applyFill="1" applyBorder="1" applyAlignment="1" applyProtection="1">
      <alignment horizontal="center" vertical="center" wrapText="1"/>
    </xf>
    <xf numFmtId="521" fontId="0" fillId="0" borderId="35" xfId="0" applyNumberFormat="1" applyFont="1" applyFill="1" applyBorder="1" applyAlignment="1" applyProtection="1">
      <alignment horizontal="center" vertical="center" wrapText="1"/>
    </xf>
    <xf numFmtId="0" fontId="62" fillId="0" borderId="45" xfId="0" applyNumberFormat="1" applyFont="1" applyFill="1" applyBorder="1" applyAlignment="1" applyProtection="1">
      <alignment horizontal="left" vertical="center" wrapText="1"/>
    </xf>
    <xf numFmtId="0" fontId="38" fillId="0" borderId="1" xfId="0" applyNumberFormat="1" applyFont="1" applyFill="1" applyBorder="1" applyAlignment="1" applyProtection="1">
      <alignment horizontal="center" vertical="center" wrapText="1"/>
    </xf>
    <xf numFmtId="0" fontId="63" fillId="0" borderId="1" xfId="0" applyNumberFormat="1" applyFont="1" applyFill="1" applyBorder="1" applyAlignment="1" applyProtection="1">
      <alignment horizontal="center" vertical="center" wrapText="1"/>
    </xf>
    <xf numFmtId="0" fontId="63" fillId="0" borderId="1" xfId="0" applyNumberFormat="1" applyFont="1" applyFill="1" applyBorder="1" applyAlignment="1" applyProtection="1">
      <alignment horizontal="center" vertical="center" wrapText="1"/>
    </xf>
    <xf numFmtId="0" fontId="62" fillId="0" borderId="43" xfId="0" applyNumberFormat="1" applyFont="1" applyFill="1" applyBorder="1" applyAlignment="1" applyProtection="1">
      <alignment horizontal="left" vertical="center" wrapText="1"/>
    </xf>
    <xf numFmtId="0" fontId="38" fillId="9" borderId="1" xfId="0" applyNumberFormat="1" applyFont="1" applyFill="1" applyBorder="1" applyAlignment="1" applyProtection="1">
      <alignment horizontal="left" vertical="bottom"/>
    </xf>
    <xf numFmtId="0" fontId="59" fillId="0" borderId="16" xfId="0" applyNumberFormat="1" applyFont="1" applyFill="1" applyBorder="1" applyAlignment="1" applyProtection="1">
      <alignment horizontal="left" vertical="center" wrapText="1"/>
    </xf>
    <xf numFmtId="0" fontId="37" fillId="0" borderId="1" xfId="0" applyNumberFormat="1" applyFont="1" applyFill="1" applyBorder="1" applyAlignment="1" applyProtection="1">
      <alignment horizontal="center" vertical="center" wrapText="1"/>
    </xf>
    <xf numFmtId="0" fontId="38" fillId="9" borderId="1" xfId="0" applyNumberFormat="1" applyFont="1" applyFill="1" applyBorder="1" applyAlignment="1" applyProtection="1">
      <alignment horizontal="center" vertical="center"/>
    </xf>
    <xf numFmtId="0" fontId="0" fillId="0" borderId="37" xfId="0" applyNumberFormat="1" applyFont="1" applyFill="1" applyBorder="1" applyAlignment="1" applyProtection="1">
      <alignment horizontal="center" vertical="center" wrapText="1"/>
    </xf>
    <xf numFmtId="0" fontId="0" fillId="0" borderId="35" xfId="0" applyNumberFormat="1" applyFont="1" applyFill="1" applyBorder="1" applyAlignment="1" applyProtection="1">
      <alignment horizontal="center" vertical="center" wrapText="1"/>
    </xf>
    <xf numFmtId="0" fontId="62" fillId="0" borderId="45" xfId="0" applyNumberFormat="1" applyFont="1" applyFill="1" applyBorder="1" applyAlignment="1" applyProtection="1">
      <alignment horizontal="center" vertical="center" wrapText="1"/>
    </xf>
    <xf numFmtId="0" fontId="62" fillId="0" borderId="43" xfId="0" applyNumberFormat="1" applyFont="1" applyFill="1" applyBorder="1" applyAlignment="1" applyProtection="1">
      <alignment horizontal="center" vertical="center" wrapText="1"/>
    </xf>
    <xf numFmtId="353" fontId="62" fillId="0" borderId="42" xfId="0" applyNumberFormat="1" applyFont="1" applyFill="1" applyBorder="1" applyAlignment="1" applyProtection="1">
      <alignment horizontal="center" vertical="center" wrapText="1"/>
    </xf>
    <xf numFmtId="0" fontId="0" fillId="0" borderId="34" xfId="0" applyNumberFormat="1" applyFont="1" applyFill="1" applyBorder="1" applyAlignment="1" applyProtection="1">
      <alignment horizontal="center" vertical="center" wrapText="1"/>
    </xf>
    <xf numFmtId="0" fontId="0" fillId="0" borderId="16" xfId="0" applyNumberFormat="1" applyFont="1" applyFill="1" applyBorder="1" applyAlignment="1" applyProtection="1">
      <alignment horizontal="center" vertical="center" wrapText="1"/>
    </xf>
    <xf numFmtId="0" fontId="0" fillId="0" borderId="17" xfId="0" applyNumberFormat="1" applyFont="1" applyFill="1" applyBorder="1" applyAlignment="1" applyProtection="1">
      <alignment horizontal="center" vertical="center" wrapText="1"/>
    </xf>
    <xf numFmtId="0" fontId="0" fillId="0" borderId="23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bottom"/>
    </xf>
    <xf numFmtId="618" fontId="0" fillId="0" borderId="41" xfId="0" applyNumberFormat="1" applyFont="1" applyFill="1" applyBorder="1" applyAlignment="1" applyProtection="1">
      <alignment horizontal="center" vertical="center" wrapText="1"/>
    </xf>
    <xf numFmtId="0" fontId="0" fillId="0" borderId="39" xfId="0" applyNumberFormat="1" applyFont="1" applyFill="1" applyBorder="1" applyAlignment="1" applyProtection="1">
      <alignment horizontal="center" vertical="center" wrapText="1"/>
    </xf>
    <xf numFmtId="555" fontId="26" fillId="4" borderId="1" xfId="0" applyNumberFormat="1" applyFont="1" applyFill="1" applyBorder="1" applyAlignment="1" applyProtection="1">
      <alignment horizontal="center" vertical="center" wrapText="1"/>
    </xf>
    <xf numFmtId="353" fontId="62" fillId="0" borderId="23" xfId="0" applyNumberFormat="1" applyFont="1" applyFill="1" applyBorder="1" applyAlignment="1" applyProtection="1">
      <alignment horizontal="center" vertical="center" wrapText="1"/>
    </xf>
    <xf numFmtId="437" fontId="0" fillId="0" borderId="37" xfId="0" applyNumberFormat="1" applyFont="1" applyFill="1" applyBorder="1" applyAlignment="1" applyProtection="1">
      <alignment horizontal="center" vertical="center" wrapText="1"/>
    </xf>
    <xf numFmtId="404" fontId="0" fillId="5" borderId="16" xfId="0" applyNumberFormat="1" applyFont="1" applyFill="1" applyBorder="1" applyAlignment="1" applyProtection="1">
      <alignment horizontal="center" vertical="center" wrapText="1"/>
    </xf>
    <xf numFmtId="565" fontId="25" fillId="0" borderId="0" xfId="0" applyNumberFormat="1" applyFont="1" applyFill="1" applyBorder="1" applyAlignment="1" applyProtection="1">
      <alignment vertical="bottom"/>
    </xf>
    <xf numFmtId="0" fontId="0" fillId="0" borderId="38" xfId="0" applyNumberFormat="1" applyFont="1" applyFill="1" applyBorder="1" applyAlignment="1" applyProtection="1">
      <alignment horizontal="center" vertical="bottom"/>
    </xf>
    <xf numFmtId="325" fontId="26" fillId="3" borderId="40" xfId="0" applyNumberFormat="1" applyFont="1" applyFill="1" applyBorder="1" applyAlignment="1" applyProtection="1">
      <alignment horizontal="center" vertical="center" wrapText="1"/>
    </xf>
    <xf numFmtId="0" fontId="0" fillId="0" borderId="37" xfId="0" applyNumberFormat="1" applyFont="1" applyFill="1" applyBorder="1" applyAlignment="1" applyProtection="1">
      <alignment horizontal="center" vertical="center" wrapText="1"/>
    </xf>
    <xf numFmtId="549" fontId="0" fillId="0" borderId="17" xfId="0" applyNumberFormat="1" applyFont="1" applyFill="1" applyBorder="1" applyAlignment="1" applyProtection="1">
      <alignment horizontal="center" vertical="center" wrapText="1"/>
    </xf>
    <xf numFmtId="0" fontId="61" fillId="0" borderId="39" xfId="0" applyNumberFormat="1" applyFont="1" applyFill="1" applyBorder="1" applyAlignment="1" applyProtection="1">
      <alignment horizontal="center" vertical="center" wrapText="1"/>
    </xf>
    <xf numFmtId="0" fontId="63" fillId="0" borderId="17" xfId="0" applyNumberFormat="1" applyFont="1" applyFill="1" applyBorder="1" applyAlignment="1" applyProtection="1">
      <alignment vertical="center" wrapText="1"/>
    </xf>
    <xf numFmtId="0" fontId="0" fillId="0" borderId="16" xfId="0" applyNumberFormat="1" applyFont="1" applyFill="1" applyBorder="1" applyAlignment="1" applyProtection="1">
      <alignment horizontal="center" vertical="bottom"/>
    </xf>
    <xf numFmtId="0" fontId="2" fillId="0" borderId="0" xfId="0" applyNumberFormat="1" applyFont="1" applyAlignment="1" applyProtection="1">
      <alignment vertical="top"/>
      <protection locked="1"/>
    </xf>
    <xf numFmtId="0" fontId="0" fillId="0" borderId="0" applyAlignment="1" applyProtection="1">
      <alignment vertical="top"/>
      <protection locked="0"/>
    </xf>
    <xf numFmtId="633" fontId="2" fillId="0" borderId="0" xfId="1" applyNumberFormat="1" applyFont="1" applyAlignment="1" applyProtection="1">
      <alignment vertical="center"/>
      <protection locked="1"/>
    </xf>
    <xf numFmtId="634" fontId="2" fillId="0" borderId="0" xfId="2" applyNumberFormat="1" applyFont="1" applyAlignment="1" applyProtection="1">
      <alignment vertical="center"/>
      <protection locked="1"/>
    </xf>
    <xf numFmtId="635" fontId="2" fillId="0" borderId="0" xfId="3" applyNumberFormat="1" applyFont="1" applyAlignment="1" applyProtection="1">
      <alignment vertical="center"/>
      <protection locked="1"/>
    </xf>
    <xf numFmtId="636" fontId="2" fillId="0" borderId="0" xfId="4" applyNumberFormat="1" applyFont="1" applyAlignment="1" applyProtection="1">
      <alignment vertical="center"/>
      <protection locked="1"/>
    </xf>
    <xf numFmtId="637" fontId="2" fillId="0" borderId="0" xfId="5" applyNumberFormat="1" applyFont="1" applyAlignment="1" applyProtection="1">
      <alignment vertical="center"/>
      <protection locked="1"/>
    </xf>
    <xf numFmtId="0" fontId="64" fillId="0" borderId="0" xfId="6" applyNumberFormat="1" applyFont="1" applyAlignment="1" applyProtection="1">
      <alignment vertical="center"/>
      <protection locked="1"/>
    </xf>
    <xf numFmtId="0" fontId="65" fillId="0" borderId="0" xfId="7" applyNumberFormat="1" applyFont="1" applyAlignment="1" applyProtection="1">
      <alignment vertical="center"/>
      <protection locked="1"/>
    </xf>
    <xf numFmtId="0" fontId="2" fillId="41" borderId="4" xfId="8" applyNumberFormat="1" applyFont="1" applyFill="1" applyBorder="1" applyAlignment="1" applyProtection="1">
      <alignment vertical="center"/>
      <protection locked="1"/>
    </xf>
    <xf numFmtId="0" fontId="66" fillId="0" borderId="0" xfId="9" applyNumberFormat="1" applyFont="1" applyAlignment="1" applyProtection="1">
      <alignment vertical="center"/>
      <protection locked="1"/>
    </xf>
    <xf numFmtId="0" fontId="67" fillId="0" borderId="0" xfId="10" applyNumberFormat="1" applyFont="1" applyAlignment="1" applyProtection="1">
      <alignment vertical="center"/>
      <protection locked="1"/>
    </xf>
    <xf numFmtId="0" fontId="68" fillId="0" borderId="0" xfId="11" applyNumberFormat="1" applyFont="1" applyAlignment="1" applyProtection="1">
      <alignment vertical="center"/>
      <protection locked="1"/>
    </xf>
    <xf numFmtId="0" fontId="69" fillId="0" borderId="12" xfId="12" applyNumberFormat="1" applyFont="1" applyBorder="1" applyAlignment="1" applyProtection="1">
      <alignment vertical="center"/>
      <protection locked="1"/>
    </xf>
    <xf numFmtId="0" fontId="70" fillId="0" borderId="12" xfId="13" applyNumberFormat="1" applyFont="1" applyBorder="1" applyAlignment="1" applyProtection="1">
      <alignment vertical="center"/>
      <protection locked="1"/>
    </xf>
    <xf numFmtId="0" fontId="71" fillId="0" borderId="13" xfId="14" applyNumberFormat="1" applyFont="1" applyBorder="1" applyAlignment="1" applyProtection="1">
      <alignment vertical="center"/>
      <protection locked="1"/>
    </xf>
    <xf numFmtId="0" fontId="71" fillId="0" borderId="0" xfId="15" applyNumberFormat="1" applyFont="1" applyAlignment="1" applyProtection="1">
      <alignment vertical="center"/>
      <protection locked="1"/>
    </xf>
    <xf numFmtId="0" fontId="72" fillId="42" borderId="7" xfId="16" applyNumberFormat="1" applyFont="1" applyFill="1" applyBorder="1" applyAlignment="1" applyProtection="1">
      <alignment vertical="center"/>
      <protection locked="1"/>
    </xf>
    <xf numFmtId="0" fontId="73" fillId="43" borderId="8" xfId="17" applyNumberFormat="1" applyFont="1" applyFill="1" applyBorder="1" applyAlignment="1" applyProtection="1">
      <alignment vertical="center"/>
      <protection locked="1"/>
    </xf>
    <xf numFmtId="0" fontId="74" fillId="43" borderId="7" xfId="18" applyNumberFormat="1" applyFont="1" applyFill="1" applyBorder="1" applyAlignment="1" applyProtection="1">
      <alignment vertical="center"/>
      <protection locked="1"/>
    </xf>
    <xf numFmtId="0" fontId="75" fillId="44" borderId="9" xfId="19" applyNumberFormat="1" applyFont="1" applyFill="1" applyBorder="1" applyAlignment="1" applyProtection="1">
      <alignment vertical="center"/>
      <protection locked="1"/>
    </xf>
    <xf numFmtId="0" fontId="76" fillId="0" borderId="10" xfId="20" applyNumberFormat="1" applyFont="1" applyBorder="1" applyAlignment="1" applyProtection="1">
      <alignment vertical="center"/>
      <protection locked="1"/>
    </xf>
    <xf numFmtId="0" fontId="77" fillId="0" borderId="29" xfId="21" applyNumberFormat="1" applyFont="1" applyBorder="1" applyAlignment="1" applyProtection="1">
      <alignment vertical="center"/>
      <protection locked="1"/>
    </xf>
    <xf numFmtId="0" fontId="78" fillId="45" borderId="0" xfId="22" applyNumberFormat="1" applyFont="1" applyFill="1" applyAlignment="1" applyProtection="1">
      <alignment vertical="center"/>
      <protection locked="1"/>
    </xf>
    <xf numFmtId="0" fontId="79" fillId="46" borderId="0" xfId="23" applyNumberFormat="1" applyFont="1" applyFill="1" applyAlignment="1" applyProtection="1">
      <alignment vertical="center"/>
      <protection locked="1"/>
    </xf>
    <xf numFmtId="0" fontId="80" fillId="47" borderId="0" xfId="24" applyNumberFormat="1" applyFont="1" applyFill="1" applyAlignment="1" applyProtection="1">
      <alignment vertical="center"/>
      <protection locked="1"/>
    </xf>
    <xf numFmtId="0" fontId="81" fillId="48" borderId="0" xfId="25" applyNumberFormat="1" applyFont="1" applyFill="1" applyAlignment="1" applyProtection="1">
      <alignment vertical="center"/>
      <protection locked="1"/>
    </xf>
    <xf numFmtId="0" fontId="82" fillId="49" borderId="0" xfId="26" applyNumberFormat="1" applyFont="1" applyFill="1" applyAlignment="1" applyProtection="1">
      <alignment vertical="center"/>
      <protection locked="1"/>
    </xf>
    <xf numFmtId="0" fontId="82" fillId="50" borderId="0" xfId="27" applyNumberFormat="1" applyFont="1" applyFill="1" applyAlignment="1" applyProtection="1">
      <alignment vertical="center"/>
      <protection locked="1"/>
    </xf>
    <xf numFmtId="0" fontId="81" fillId="51" borderId="0" xfId="28" applyNumberFormat="1" applyFont="1" applyFill="1" applyAlignment="1" applyProtection="1">
      <alignment vertical="center"/>
      <protection locked="1"/>
    </xf>
    <xf numFmtId="0" fontId="81" fillId="52" borderId="0" xfId="29" applyNumberFormat="1" applyFont="1" applyFill="1" applyAlignment="1" applyProtection="1">
      <alignment vertical="center"/>
      <protection locked="1"/>
    </xf>
    <xf numFmtId="0" fontId="82" fillId="53" borderId="0" xfId="30" applyNumberFormat="1" applyFont="1" applyFill="1" applyAlignment="1" applyProtection="1">
      <alignment vertical="center"/>
      <protection locked="1"/>
    </xf>
    <xf numFmtId="0" fontId="82" fillId="54" borderId="0" xfId="31" applyNumberFormat="1" applyFont="1" applyFill="1" applyAlignment="1" applyProtection="1">
      <alignment vertical="center"/>
      <protection locked="1"/>
    </xf>
    <xf numFmtId="0" fontId="81" fillId="55" borderId="0" xfId="32" applyNumberFormat="1" applyFont="1" applyFill="1" applyAlignment="1" applyProtection="1">
      <alignment vertical="center"/>
      <protection locked="1"/>
    </xf>
    <xf numFmtId="0" fontId="81" fillId="56" borderId="0" xfId="33" applyNumberFormat="1" applyFont="1" applyFill="1" applyAlignment="1" applyProtection="1">
      <alignment vertical="center"/>
      <protection locked="1"/>
    </xf>
    <xf numFmtId="0" fontId="82" fillId="57" borderId="0" xfId="34" applyNumberFormat="1" applyFont="1" applyFill="1" applyAlignment="1" applyProtection="1">
      <alignment vertical="center"/>
      <protection locked="1"/>
    </xf>
    <xf numFmtId="0" fontId="82" fillId="58" borderId="0" xfId="35" applyNumberFormat="1" applyFont="1" applyFill="1" applyAlignment="1" applyProtection="1">
      <alignment vertical="center"/>
      <protection locked="1"/>
    </xf>
    <xf numFmtId="0" fontId="81" fillId="59" borderId="0" xfId="36" applyNumberFormat="1" applyFont="1" applyFill="1" applyAlignment="1" applyProtection="1">
      <alignment vertical="center"/>
      <protection locked="1"/>
    </xf>
    <xf numFmtId="0" fontId="81" fillId="60" borderId="0" xfId="37" applyNumberFormat="1" applyFont="1" applyFill="1" applyAlignment="1" applyProtection="1">
      <alignment vertical="center"/>
      <protection locked="1"/>
    </xf>
    <xf numFmtId="0" fontId="82" fillId="61" borderId="0" xfId="38" applyNumberFormat="1" applyFont="1" applyFill="1" applyAlignment="1" applyProtection="1">
      <alignment vertical="center"/>
      <protection locked="1"/>
    </xf>
    <xf numFmtId="0" fontId="82" fillId="62" borderId="0" xfId="39" applyNumberFormat="1" applyFont="1" applyFill="1" applyAlignment="1" applyProtection="1">
      <alignment vertical="center"/>
      <protection locked="1"/>
    </xf>
    <xf numFmtId="0" fontId="81" fillId="63" borderId="0" xfId="40" applyNumberFormat="1" applyFont="1" applyFill="1" applyAlignment="1" applyProtection="1">
      <alignment vertical="center"/>
      <protection locked="1"/>
    </xf>
    <xf numFmtId="0" fontId="81" fillId="64" borderId="0" xfId="41" applyNumberFormat="1" applyFont="1" applyFill="1" applyAlignment="1" applyProtection="1">
      <alignment vertical="center"/>
      <protection locked="1"/>
    </xf>
    <xf numFmtId="0" fontId="82" fillId="65" borderId="0" xfId="42" applyNumberFormat="1" applyFont="1" applyFill="1" applyAlignment="1" applyProtection="1">
      <alignment vertical="center"/>
      <protection locked="1"/>
    </xf>
    <xf numFmtId="0" fontId="82" fillId="66" borderId="0" xfId="43" applyNumberFormat="1" applyFont="1" applyFill="1" applyAlignment="1" applyProtection="1">
      <alignment vertical="center"/>
      <protection locked="1"/>
    </xf>
    <xf numFmtId="0" fontId="81" fillId="67" borderId="0" xfId="44" applyNumberFormat="1" applyFont="1" applyFill="1" applyAlignment="1" applyProtection="1">
      <alignment vertical="center"/>
      <protection locked="1"/>
    </xf>
    <xf numFmtId="0" fontId="81" fillId="68" borderId="0" xfId="45" applyNumberFormat="1" applyFont="1" applyFill="1" applyAlignment="1" applyProtection="1">
      <alignment vertical="center"/>
      <protection locked="1"/>
    </xf>
    <xf numFmtId="0" fontId="82" fillId="69" borderId="0" xfId="46" applyNumberFormat="1" applyFont="1" applyFill="1" applyAlignment="1" applyProtection="1">
      <alignment vertical="center"/>
      <protection locked="1"/>
    </xf>
    <xf numFmtId="0" fontId="82" fillId="70" borderId="0" xfId="47" applyNumberFormat="1" applyFont="1" applyFill="1" applyAlignment="1" applyProtection="1">
      <alignment vertical="center"/>
      <protection locked="1"/>
    </xf>
    <xf numFmtId="0" fontId="81" fillId="71" borderId="0" xfId="48" applyNumberFormat="1" applyFont="1" applyFill="1" applyAlignment="1" applyProtection="1">
      <alignment vertical="center"/>
      <protection locked="1"/>
    </xf>
    <xf numFmtId="0" fontId="2" fillId="0" borderId="0" xfId="49" applyNumberFormat="1" applyFont="1" applyAlignment="1" applyProtection="1">
      <alignment vertical="bottom"/>
      <protection locked="1"/>
    </xf>
    <xf numFmtId="0" fontId="2" fillId="0" borderId="0" xfId="50" applyNumberFormat="1" applyFont="1" applyAlignment="1" applyProtection="1">
      <alignment vertical="bottom"/>
      <protection locked="1"/>
    </xf>
    <xf numFmtId="0" fontId="83" fillId="0" borderId="0" applyNumberFormat="1" applyFont="1" applyFill="1" applyAlignment="1" applyProtection="1">
      <alignment vertical="top"/>
      <protection locked="0"/>
    </xf>
    <xf numFmtId="620" fontId="38" fillId="0" borderId="1" xfId="0" applyNumberFormat="1" applyFont="1" applyFill="1" applyBorder="1" applyAlignment="1" applyProtection="1">
      <alignment vertical="bottom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465" fontId="0" fillId="0" borderId="16" xfId="0" applyNumberFormat="1" applyFont="1" applyFill="1" applyBorder="1" applyAlignment="1" applyProtection="1">
      <alignment horizontal="center" vertical="center" wrapText="1"/>
    </xf>
    <xf numFmtId="536" fontId="0" fillId="0" borderId="39" xfId="0" applyNumberFormat="1" applyFont="1" applyFill="1" applyBorder="1" applyAlignment="1" applyProtection="1">
      <alignment horizontal="center" vertical="center" wrapText="1"/>
    </xf>
    <xf numFmtId="317" fontId="0" fillId="0" borderId="40" xfId="0" applyNumberFormat="1" applyFont="1" applyFill="1" applyBorder="1" applyAlignment="1" applyProtection="1">
      <alignment horizontal="center" vertical="center" wrapText="1"/>
    </xf>
    <xf numFmtId="317" fontId="0" fillId="0" borderId="38" xfId="0" applyNumberFormat="1" applyFont="1" applyFill="1" applyBorder="1" applyAlignment="1" applyProtection="1">
      <alignment horizontal="center" vertical="center" wrapText="1"/>
    </xf>
    <xf numFmtId="356" fontId="0" fillId="0" borderId="17" xfId="0" applyNumberFormat="1" applyFont="1" applyFill="1" applyBorder="1" applyAlignment="1" applyProtection="1">
      <alignment horizontal="center" vertical="center" wrapText="1"/>
    </xf>
    <xf numFmtId="0" fontId="60" fillId="0" borderId="42" xfId="0" applyNumberFormat="1" applyFont="1" applyFill="1" applyBorder="1" applyAlignment="1" applyProtection="1">
      <alignment horizontal="center" vertical="center" wrapText="1"/>
    </xf>
    <xf numFmtId="624" fontId="38" fillId="0" borderId="1" xfId="0" applyNumberFormat="1" applyFont="1" applyFill="1" applyBorder="1" applyAlignment="1" applyProtection="1">
      <alignment vertical="bottom"/>
    </xf>
    <xf numFmtId="0" fontId="0" fillId="0" borderId="0" xfId="0"/>
    <xf numFmtId="356" fontId="0" fillId="0" borderId="34" xfId="0" applyNumberFormat="1" applyFont="1" applyFill="1" applyBorder="1" applyAlignment="1" applyProtection="1">
      <alignment horizontal="center" vertical="center" wrapText="1"/>
    </xf>
  </cellXfs>
  <cellStyles>
    <cellStyle xfId="0" builtinId="0" name="常规"/>
    <cellStyle xfId="1" builtinId="3" name="千位分隔"/>
    <cellStyle xfId="2" builtinId="4" name="货币"/>
    <cellStyle xfId="3" builtinId="5" name="百分比"/>
    <cellStyle xfId="4" builtinId="6" name="千位分隔[0]"/>
    <cellStyle xfId="5" builtinId="7" name="货币[0]"/>
    <cellStyle xfId="6" builtinId="8" name="超链接"/>
    <cellStyle xfId="7" builtinId="9" name="已访问的超链接"/>
    <cellStyle xfId="8" builtinId="10" name="注释"/>
    <cellStyle xfId="9" builtinId="11" name="警告文本"/>
    <cellStyle xfId="10" builtinId="15" name="标题"/>
    <cellStyle xfId="11" builtinId="53" name="解释性文本"/>
    <cellStyle xfId="12" builtinId="16" name="标题 1"/>
    <cellStyle xfId="13" builtinId="17" name="标题 2"/>
    <cellStyle xfId="14" builtinId="18" name="标题 3"/>
    <cellStyle xfId="15" builtinId="19" name="标题 4"/>
    <cellStyle xfId="16" builtinId="20" name="输入"/>
    <cellStyle xfId="17" builtinId="21" name="输出"/>
    <cellStyle xfId="18" builtinId="22" name="计算"/>
    <cellStyle xfId="19" builtinId="23" name="检查单元格"/>
    <cellStyle xfId="20" builtinId="24" name="链接单元格"/>
    <cellStyle xfId="21" builtinId="25" name="汇总"/>
    <cellStyle xfId="22" builtinId="26" name="好"/>
    <cellStyle xfId="23" builtinId="27" name="差"/>
    <cellStyle xfId="24" builtinId="28" name="适中"/>
    <cellStyle xfId="25" builtinId="29" name="着色 1"/>
    <cellStyle xfId="26" builtinId="30" name="20% - 着色 1"/>
    <cellStyle xfId="27" builtinId="31" name="40% - 着色 1"/>
    <cellStyle xfId="28" builtinId="32" name="60% - 着色 1"/>
    <cellStyle xfId="29" builtinId="33" name="着色 2"/>
    <cellStyle xfId="30" builtinId="34" name="20% - 着色 2"/>
    <cellStyle xfId="31" builtinId="35" name="40% - 着色 2"/>
    <cellStyle xfId="32" builtinId="36" name="60% - 着色 2"/>
    <cellStyle xfId="33" builtinId="37" name="着色 3"/>
    <cellStyle xfId="34" builtinId="38" name="20% - 着色 3"/>
    <cellStyle xfId="35" builtinId="39" name="40% - 着色 3"/>
    <cellStyle xfId="36" builtinId="40" name="60% - 着色 3"/>
    <cellStyle xfId="37" builtinId="41" name="着色 4"/>
    <cellStyle xfId="38" builtinId="42" name="20% - 着色 4"/>
    <cellStyle xfId="39" builtinId="43" name="40% - 着色 4"/>
    <cellStyle xfId="40" builtinId="44" name="60% - 着色 4"/>
    <cellStyle xfId="41" builtinId="45" name="着色 5"/>
    <cellStyle xfId="42" builtinId="46" name="20% - 着色 5"/>
    <cellStyle xfId="43" builtinId="47" name="40% - 着色 5"/>
    <cellStyle xfId="44" builtinId="48" name="60% - 着色 5"/>
    <cellStyle xfId="45" builtinId="49" name="着色 6"/>
    <cellStyle xfId="46" builtinId="50" name="20% - 着色 6"/>
    <cellStyle xfId="47" builtinId="51" name="40% - 着色 6"/>
    <cellStyle xfId="48" builtinId="52" name="60% - 着色 6"/>
    <cellStyle xfId="49" name="常规 2"/>
    <cellStyle xfId="50" name="常规 3"/>
  </cellStyles>
  <dxfs>
    <dxf/>
    <dxf>
      <fill>
        <patternFill patternType="solid">
          <fgColor rgb="FFFF0000"/>
          <bgColor rgb="FFFF0000"/>
        </patternFill>
      </fill>
      <protection locked="0" hidden="0"/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worksheet" Target="worksheets/sheet11.xml" Id="rId12" /><Relationship Type="http://schemas.openxmlformats.org/officeDocument/2006/relationships/worksheet" Target="worksheets/sheet12.xml" Id="rId13" /><Relationship Type="http://schemas.openxmlformats.org/officeDocument/2006/relationships/worksheet" Target="worksheets/sheet13.xml" Id="rId14" /><Relationship Type="http://schemas.openxmlformats.org/officeDocument/2006/relationships/worksheet" Target="worksheets/sheet14.xml" Id="rId15" /><Relationship Type="http://schemas.openxmlformats.org/officeDocument/2006/relationships/worksheet" Target="worksheets/sheet15.xml" Id="rId16" /><Relationship Type="http://schemas.openxmlformats.org/officeDocument/2006/relationships/worksheet" Target="worksheets/sheet16.xml" Id="rId17" /><Relationship Type="http://schemas.openxmlformats.org/officeDocument/2006/relationships/worksheet" Target="worksheets/sheet17.xml" Id="rId18" /><Relationship Type="http://schemas.openxmlformats.org/officeDocument/2006/relationships/worksheet" Target="worksheets/sheet18.xml" Id="rId19" /><Relationship Type="http://schemas.openxmlformats.org/officeDocument/2006/relationships/worksheet" Target="worksheets/sheet19.xml" Id="rId20" /><Relationship Type="http://schemas.openxmlformats.org/officeDocument/2006/relationships/sharedStrings" Target="sharedStrings.xml" Id="rId21" /><Relationship Type="http://schemas.openxmlformats.org/officeDocument/2006/relationships/styles" Target="styles.xml" Id="rId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xsi="http://www.w3.org/2001/XMLSchema-instance" xmlns:xsd="http://www.w3.org/2001/XMLSchema" xmlns="http://schemas.openxmlformats.org/drawingml/2006/spreadsheetDrawing">
  <twoCellAnchor>
    <from>
      <col>0</col>
      <colOff>38100</colOff>
      <row>0</row>
      <rowOff>57150</rowOff>
    </from>
    <to>
      <col>1</col>
      <colOff>571500</colOff>
      <row>2</row>
      <rowOff>180975</rowOff>
    </to>
    <sp>
      <nvSpPr>
        <cNvPr id="2" name="图片 1"/>
        <cNvSpPr/>
      </nvSpPr>
      <spPr>
        <xfrm xmlns="http://schemas.openxmlformats.org/drawingml/2006/main">
          <off x="38100" y="57150"/>
          <ext cx="942975" cy="638175"/>
        </xfrm>
        <prstGeom xmlns="http://schemas.openxmlformats.org/drawingml/2006/main" prst="rect">
          <avLst/>
        </prstGeom>
        <blipFill xmlns="http://schemas.openxmlformats.org/drawingml/2006/main">
          <blip xmlns:d6p1="http://schemas.openxmlformats.org/officeDocument/2006/relationships" d6p1:embed="rId1"/>
          <stretch>
            <fillRect/>
          </stretch>
        </blipFill>
      </spPr>
      <txBody>
        <bodyPr xmlns="http://schemas.openxmlformats.org/drawingml/2006/main" vertOverflow="clip" horzOverflow="clip" vert="horz" wrap="square" rtlCol="0" anchor="ctr" upright="1"/>
        <lstStyle xmlns="http://schemas.openxmlformats.org/drawingml/2006/main"/>
        <p xmlns="http://schemas.openxmlformats.org/drawingml/2006/main">
          <pPr algn="ctr"/>
          <endParaRPr lang="en-US" sz="825">
            <solidFill>
              <srgbClr val="000000"/>
            </solidFill>
            <latin typeface="Microsoft Sans Serif"/>
          </endParaRPr>
        </p>
      </txBody>
    </sp>
    <clientData fLocksWithSheet="0"/>
  </twoCellAnchor>
</wsDr>
</file>

<file path=xl/theme/theme1.xml><?xml version="1.0" encoding="utf-8"?>
<a:theme xmlns:a="http://schemas.openxmlformats.org/drawingml/2006/main" xmlns:gc="http://schemas.grapecity.com/office/spreadsheet/2018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O113"/>
  <sheetViews>
    <sheetView topLeftCell="A1" workbookViewId="0" zoomScale="70" showGridLines="0" showRowColHeaders="0" zoomScaleNormal="70" zoomScalePageLayoutView="80">
      <pane topLeftCell="A1"/>
      <selection activeCellId="0" activeCell="A1" sqref="A1"/>
    </sheetView>
  </sheetViews>
  <sheetFormatPr defaultColWidth="9" defaultRowHeight="13.5" customHeight="1"/>
  <cols>
    <col min="1" max="1" width="5.38" customWidth="1" style="9"/>
    <col min="2" max="2" width="8.75" customWidth="1" style="9"/>
    <col min="3" max="3" width="8.13" customWidth="1" style="9"/>
    <col min="4" max="5" width="8.5" customWidth="1" style="9"/>
    <col min="6" max="6" width="3.38" customWidth="1" style="9"/>
    <col min="7" max="7" width="3.5" customWidth="1" style="9"/>
    <col min="8" max="8" width="7.13" customWidth="1" style="9"/>
    <col min="9" max="9" width="3.75" customWidth="1" style="9"/>
    <col min="10" max="10" width="6.75" customWidth="1" style="9"/>
    <col min="11" max="11" width="7.5" customWidth="1" style="9"/>
    <col min="12" max="12" width="6.88" customWidth="1" style="9"/>
    <col min="13" max="13" width="8.5" customWidth="1" style="9"/>
    <col min="14" max="14" width="4.75" customWidth="1" style="9"/>
    <col min="15" max="15" width="4.63" customWidth="1" style="20"/>
    <col min="16" max="16384" width="9" style="9"/>
  </cols>
  <sheetData>
    <row r="1" ht="20.25" customHeight="1">
      <c r="A1" s="226"/>
      <c s="171"/>
      <c s="172" t="s">
        <v>0</v>
      </c>
      <c s="390"/>
      <c s="390"/>
      <c s="390"/>
      <c s="390"/>
      <c s="390"/>
      <c s="390"/>
      <c s="390"/>
      <c s="176"/>
      <c s="114" t="s">
        <v>1</v>
      </c>
      <c s="240"/>
      <c s="286"/>
      <c s="37"/>
    </row>
    <row r="2" ht="20.25" customHeight="1">
      <c r="A2" s="254"/>
      <c s="87"/>
      <c s="279" t="s">
        <v>2</v>
      </c>
      <c s="283"/>
      <c s="283"/>
      <c s="283"/>
      <c s="283"/>
      <c s="283"/>
      <c s="283"/>
      <c s="283"/>
      <c s="46"/>
      <c s="114" t="s">
        <v>3</v>
      </c>
      <c s="240"/>
      <c s="286"/>
      <c s="37"/>
    </row>
    <row r="3" ht="20.25" customHeight="1">
      <c r="A3" s="391"/>
      <c s="191"/>
      <c s="120"/>
      <c s="453"/>
      <c s="453"/>
      <c s="453"/>
      <c s="453"/>
      <c s="453"/>
      <c s="453"/>
      <c s="453"/>
      <c s="246"/>
      <c s="260" t="s">
        <v>4</v>
      </c>
      <c s="138"/>
      <c s="94"/>
      <c s="220"/>
    </row>
    <row r="4" ht="18" customHeight="1">
      <c r="A4" s="355" t="s">
        <v>5</v>
      </c>
      <c s="354"/>
      <c s="353"/>
      <c s="355" t="s">
        <v>6</v>
      </c>
      <c s="354"/>
      <c s="354"/>
      <c s="353"/>
      <c s="355" t="s">
        <v>7</v>
      </c>
      <c s="354"/>
      <c s="354"/>
      <c s="353"/>
      <c s="355" t="s">
        <v>8</v>
      </c>
      <c s="353"/>
      <c s="355" t="s">
        <v>9</v>
      </c>
      <c s="353"/>
    </row>
    <row r="5" ht="18" customHeight="1">
      <c r="A5" s="355" t="str">
        <f>IFERROR(VLOOKUP(MID(D5,3,5),'对应信息'!A:B,2,0),"")</f>
        <v>T600A</v>
      </c>
      <c s="354"/>
      <c s="353"/>
      <c s="224" t="s">
        <v>359</v>
      </c>
      <c s="380"/>
      <c s="380"/>
      <c s="318"/>
      <c s="157">
        <v>1</v>
      </c>
      <c s="379"/>
      <c s="379"/>
      <c s="315"/>
      <c s="355"/>
      <c s="353"/>
      <c s="355"/>
      <c s="353"/>
    </row>
    <row r="6" ht="18" customHeight="1">
      <c r="A6" s="377" t="s">
        <v>10</v>
      </c>
      <c s="375"/>
      <c s="377"/>
      <c s="375"/>
      <c s="58" t="s">
        <v>11</v>
      </c>
      <c s="51"/>
      <c s="27"/>
      <c s="23"/>
      <c s="198"/>
      <c s="198"/>
      <c s="392"/>
      <c s="377" t="s">
        <v>12</v>
      </c>
      <c s="375"/>
      <c s="377"/>
      <c s="375"/>
    </row>
    <row r="7" ht="18" customHeight="1">
      <c r="A7" s="355" t="s">
        <v>13</v>
      </c>
      <c s="353"/>
      <c s="355"/>
      <c s="353"/>
      <c s="355" t="s">
        <v>14</v>
      </c>
      <c s="354"/>
      <c s="353"/>
      <c s="355"/>
      <c s="354"/>
      <c s="353"/>
      <c s="386" t="s">
        <v>15</v>
      </c>
      <c s="78"/>
      <c s="195" t="s">
        <v>360</v>
      </c>
      <c s="378"/>
      <c s="314"/>
    </row>
    <row r="8" ht="18.75" customHeight="1">
      <c r="A8" s="143" t="s">
        <v>16</v>
      </c>
      <c s="173" t="s">
        <v>17</v>
      </c>
      <c s="217"/>
      <c s="207"/>
      <c s="173" t="s">
        <v>18</v>
      </c>
      <c s="217"/>
      <c s="217"/>
      <c s="217"/>
      <c s="217"/>
      <c s="217"/>
      <c s="217"/>
      <c s="217"/>
      <c s="217"/>
      <c s="217"/>
      <c s="207"/>
    </row>
    <row r="9" ht="18.75" customHeight="1">
      <c r="A9" s="216">
        <v>1</v>
      </c>
      <c s="370" t="s">
        <v>19</v>
      </c>
      <c s="377" t="s">
        <v>20</v>
      </c>
      <c s="375"/>
      <c s="355" t="s">
        <v>21</v>
      </c>
      <c s="354"/>
      <c s="353"/>
      <c s="355" t="s">
        <v>22</v>
      </c>
      <c s="354"/>
      <c s="354"/>
      <c s="354"/>
      <c s="354"/>
      <c s="354"/>
      <c s="354"/>
      <c s="353"/>
    </row>
    <row r="10" ht="18.75" customHeight="1">
      <c r="A10" s="343"/>
      <c s="343"/>
      <c s="352"/>
      <c s="350"/>
      <c s="355" t="s">
        <v>23</v>
      </c>
      <c s="354"/>
      <c s="353"/>
      <c s="355" t="s">
        <v>24</v>
      </c>
      <c s="354"/>
      <c s="353"/>
      <c s="349" t="s">
        <v>25</v>
      </c>
      <c s="348"/>
      <c s="355" t="s">
        <v>25</v>
      </c>
      <c s="354"/>
      <c s="353"/>
    </row>
    <row r="11" ht="18.75" customHeight="1">
      <c r="A11" s="343"/>
      <c s="343"/>
      <c s="352"/>
      <c s="350"/>
      <c s="355" t="s">
        <v>26</v>
      </c>
      <c s="354"/>
      <c s="353"/>
      <c s="349" t="str">
        <f>'波长示值误差与重复性校验'!B4</f>
        <v>807.4</v>
      </c>
      <c s="102"/>
      <c s="348"/>
      <c s="349" t="str">
        <f>'波长示值误差与重复性校验'!B2</f>
        <v>656.1</v>
      </c>
      <c s="348"/>
      <c s="349" t="str">
        <f>'波长示值误差与重复性校验'!B3</f>
        <v>486</v>
      </c>
      <c s="102"/>
      <c s="348"/>
    </row>
    <row r="12" ht="18.75" customHeight="1">
      <c r="A12" s="343"/>
      <c s="343"/>
      <c s="352"/>
      <c s="350"/>
      <c s="377" t="s">
        <v>27</v>
      </c>
      <c s="357"/>
      <c s="375"/>
      <c s="347">
        <f>'波长示值误差与重复性校验'!C4</f>
      </c>
      <c s="449"/>
      <c s="346"/>
      <c s="347">
        <f>'波长示值误差与重复性校验'!C2</f>
        <v>656.08</v>
      </c>
      <c s="346"/>
      <c s="347">
        <f>'波长示值误差与重复性校验'!C3</f>
      </c>
      <c s="449"/>
      <c s="346"/>
    </row>
    <row r="13" ht="18.75" customHeight="1">
      <c r="A13" s="343"/>
      <c s="343"/>
      <c s="352"/>
      <c s="350"/>
      <c s="352"/>
      <c s="351"/>
      <c s="350"/>
      <c s="347">
        <f>'波长示值误差与重复性校验'!D4</f>
      </c>
      <c s="449"/>
      <c s="346"/>
      <c s="347">
        <f>'波长示值误差与重复性校验'!D2</f>
        <v>656.08</v>
      </c>
      <c s="346"/>
      <c s="347">
        <f>'波长示值误差与重复性校验'!D3</f>
      </c>
      <c s="449"/>
      <c s="346"/>
    </row>
    <row r="14" ht="18.75" customHeight="1">
      <c r="A14" s="343"/>
      <c s="343"/>
      <c s="352"/>
      <c s="350"/>
      <c s="376"/>
      <c s="356"/>
      <c s="374"/>
      <c s="347">
        <f>'波长示值误差与重复性校验'!E4</f>
      </c>
      <c s="449"/>
      <c s="346"/>
      <c s="347">
        <f>'波长示值误差与重复性校验'!E2</f>
        <v>656.08</v>
      </c>
      <c s="346"/>
      <c s="347">
        <f>'波长示值误差与重复性校验'!E3</f>
      </c>
      <c s="449"/>
      <c s="346"/>
    </row>
    <row r="15" ht="18.75" customHeight="1">
      <c r="A15" s="343"/>
      <c s="343"/>
      <c s="352"/>
      <c s="350"/>
      <c s="355" t="s">
        <v>28</v>
      </c>
      <c s="354"/>
      <c s="353"/>
      <c s="347" t="str">
        <f>'波长示值误差与重复性校验'!F4</f>
        <v/>
      </c>
      <c s="449"/>
      <c s="346"/>
      <c s="347">
        <f>'波长示值误差与重复性校验'!F2</f>
        <v>656.08</v>
      </c>
      <c s="346"/>
      <c s="347" t="str">
        <f>'波长示值误差与重复性校验'!F3</f>
        <v/>
      </c>
      <c s="449"/>
      <c s="346"/>
    </row>
    <row r="16" ht="18.75" customHeight="1">
      <c r="A16" s="343"/>
      <c s="343"/>
      <c s="352"/>
      <c s="350"/>
      <c s="355" t="s">
        <v>29</v>
      </c>
      <c s="354"/>
      <c s="353"/>
      <c s="347" t="str">
        <f>'波长示值误差与重复性校验'!G4</f>
        <v/>
      </c>
      <c s="449"/>
      <c s="346"/>
      <c s="347">
        <f>'波长示值误差与重复性校验'!G2</f>
        <v>-0.01999999999998181</v>
      </c>
      <c s="346"/>
      <c s="347" t="str">
        <f>'波长示值误差与重复性校验'!G3</f>
        <v/>
      </c>
      <c s="449"/>
      <c s="346"/>
    </row>
    <row r="17" ht="18.75" customHeight="1">
      <c r="A17" s="343"/>
      <c s="369"/>
      <c s="376"/>
      <c s="374"/>
      <c s="355" t="s">
        <v>30</v>
      </c>
      <c s="354"/>
      <c s="353"/>
      <c s="451">
        <f>'波长示值误差与重复性校验'!H4</f>
        <v>0</v>
      </c>
      <c s="170"/>
      <c s="450"/>
      <c s="347">
        <f>'波长示值误差与重复性校验'!H2</f>
        <v>0</v>
      </c>
      <c s="346"/>
      <c s="451">
        <f>'波长示值误差与重复性校验'!H3</f>
        <v>0</v>
      </c>
      <c s="170"/>
      <c s="450"/>
    </row>
    <row r="18" ht="18.75" customHeight="1">
      <c r="A18" s="343"/>
      <c s="370" t="s">
        <v>31</v>
      </c>
      <c s="377" t="s">
        <v>32</v>
      </c>
      <c s="375"/>
      <c s="355" t="s">
        <v>23</v>
      </c>
      <c s="354"/>
      <c s="353"/>
      <c s="355" t="s">
        <v>33</v>
      </c>
      <c s="354"/>
      <c s="354"/>
      <c s="354"/>
      <c s="354"/>
      <c s="354"/>
      <c s="354"/>
      <c s="353"/>
    </row>
    <row r="19" ht="18.75" customHeight="1">
      <c r="A19" s="343"/>
      <c s="343"/>
      <c s="352"/>
      <c s="350"/>
      <c s="377" t="s">
        <v>26</v>
      </c>
      <c s="357"/>
      <c s="375"/>
      <c s="242" t="str">
        <f>'波长示值误差与重复性校验'!B5</f>
        <v>640.7</v>
      </c>
      <c s="448"/>
      <c s="241" t="str">
        <f>'波长示值误差与重复性校验'!B6</f>
        <v>536.8</v>
      </c>
      <c s="241" t="str">
        <f>'波长示值误差与重复性校验'!B7</f>
        <v>416.5</v>
      </c>
      <c s="241" t="str">
        <f>'波长示值误差与重复性校验'!B8</f>
        <v>361.0</v>
      </c>
      <c s="241" t="str">
        <f>'波长示值误差与重复性校验'!B9</f>
        <v>287.4</v>
      </c>
      <c s="242" t="str">
        <f>'波长示值误差与重复性校验'!B10</f>
        <v>241.0</v>
      </c>
      <c s="448"/>
    </row>
    <row r="20" hidden="1" ht="19.5" customHeight="1">
      <c r="A20" s="343"/>
      <c s="343"/>
      <c s="352"/>
      <c s="350"/>
      <c s="376"/>
      <c s="356"/>
      <c s="374"/>
      <c s="125"/>
      <c s="34"/>
      <c s="383"/>
      <c s="383"/>
      <c s="383"/>
      <c s="383"/>
      <c s="125"/>
      <c s="34"/>
    </row>
    <row r="21" ht="18.75" customHeight="1">
      <c r="A21" s="343"/>
      <c s="343"/>
      <c s="352"/>
      <c s="350"/>
      <c s="377" t="s">
        <v>27</v>
      </c>
      <c s="357"/>
      <c s="375"/>
      <c s="218">
        <f>'波长示值误差与重复性校验'!C5</f>
      </c>
      <c s="196"/>
      <c s="43">
        <f>'波长示值误差与重复性校验'!C6</f>
      </c>
      <c s="43">
        <f>'波长示值误差与重复性校验'!C7</f>
      </c>
      <c s="43">
        <f>'波长示值误差与重复性校验'!C8</f>
      </c>
      <c s="43">
        <f>'波长示值误差与重复性校验'!C9</f>
      </c>
      <c s="218">
        <f>'波长示值误差与重复性校验'!C10</f>
      </c>
      <c s="196"/>
    </row>
    <row r="22" hidden="1" ht="19.5" customHeight="1">
      <c r="A22" s="343"/>
      <c s="343"/>
      <c s="352"/>
      <c s="350"/>
      <c s="352"/>
      <c s="351"/>
      <c s="350"/>
      <c s="135"/>
      <c s="282"/>
      <c s="113"/>
      <c s="113"/>
      <c s="113"/>
      <c s="113"/>
      <c s="135"/>
      <c s="282"/>
    </row>
    <row r="23" ht="18.75" customHeight="1">
      <c r="A23" s="343"/>
      <c s="343"/>
      <c s="352"/>
      <c s="350"/>
      <c s="352"/>
      <c s="351"/>
      <c s="350"/>
      <c s="218">
        <f>'波长示值误差与重复性校验'!D5</f>
      </c>
      <c s="196"/>
      <c s="43">
        <f>'波长示值误差与重复性校验'!D6</f>
      </c>
      <c s="43">
        <f>'波长示值误差与重复性校验'!D7</f>
      </c>
      <c s="43">
        <f>'波长示值误差与重复性校验'!D8</f>
      </c>
      <c s="43">
        <f>'波长示值误差与重复性校验'!D9</f>
      </c>
      <c s="218">
        <f>'波长示值误差与重复性校验'!D10</f>
      </c>
      <c s="196"/>
    </row>
    <row r="24" hidden="1" ht="19.5" customHeight="1">
      <c r="A24" s="343"/>
      <c s="343"/>
      <c s="352"/>
      <c s="350"/>
      <c s="352"/>
      <c s="351"/>
      <c s="350"/>
      <c s="135"/>
      <c s="282"/>
      <c s="113"/>
      <c s="113"/>
      <c s="113"/>
      <c s="113"/>
      <c s="135"/>
      <c s="282"/>
    </row>
    <row r="25" ht="18.75" customHeight="1">
      <c r="A25" s="343"/>
      <c s="343"/>
      <c s="352"/>
      <c s="350"/>
      <c s="352"/>
      <c s="351"/>
      <c s="350"/>
      <c s="218">
        <f>'波长示值误差与重复性校验'!E5</f>
      </c>
      <c s="196"/>
      <c s="43">
        <f>'波长示值误差与重复性校验'!E6</f>
      </c>
      <c s="43">
        <f>'波长示值误差与重复性校验'!E7</f>
      </c>
      <c s="43">
        <f>'波长示值误差与重复性校验'!E8</f>
      </c>
      <c s="43">
        <f>'波长示值误差与重复性校验'!E9</f>
      </c>
      <c s="218">
        <f>'波长示值误差与重复性校验'!E10</f>
      </c>
      <c s="196"/>
    </row>
    <row r="26" hidden="1" ht="19.5" customHeight="1">
      <c r="A26" s="343"/>
      <c s="343"/>
      <c s="352"/>
      <c s="350"/>
      <c s="376"/>
      <c s="356"/>
      <c s="374"/>
      <c s="135"/>
      <c s="282"/>
      <c s="113"/>
      <c s="113"/>
      <c s="113"/>
      <c s="113"/>
      <c s="135"/>
      <c s="282"/>
    </row>
    <row r="27" ht="18.75" customHeight="1">
      <c r="A27" s="343"/>
      <c s="343"/>
      <c s="352"/>
      <c s="350"/>
      <c s="377" t="s">
        <v>28</v>
      </c>
      <c s="357"/>
      <c s="375"/>
      <c s="218" t="str">
        <f>'波长示值误差与重复性校验'!F5</f>
        <v/>
      </c>
      <c s="196"/>
      <c s="43" t="str">
        <f>'波长示值误差与重复性校验'!F6</f>
        <v/>
      </c>
      <c s="43" t="str">
        <f>'波长示值误差与重复性校验'!F7</f>
        <v/>
      </c>
      <c s="43" t="str">
        <f>'波长示值误差与重复性校验'!F8</f>
        <v/>
      </c>
      <c s="43" t="str">
        <f>'波长示值误差与重复性校验'!F9</f>
        <v/>
      </c>
      <c s="218" t="str">
        <f>'波长示值误差与重复性校验'!F10</f>
        <v/>
      </c>
      <c s="196"/>
    </row>
    <row r="28" hidden="1" ht="19.5" customHeight="1">
      <c r="A28" s="343"/>
      <c s="343"/>
      <c s="352"/>
      <c s="350"/>
      <c s="376"/>
      <c s="356"/>
      <c s="374"/>
      <c s="135"/>
      <c s="282"/>
      <c s="113"/>
      <c s="113"/>
      <c s="113"/>
      <c s="113"/>
      <c s="135"/>
      <c s="282"/>
    </row>
    <row r="29" ht="18.75" customHeight="1">
      <c r="A29" s="343"/>
      <c s="343"/>
      <c s="352"/>
      <c s="350"/>
      <c s="377" t="s">
        <v>29</v>
      </c>
      <c s="357"/>
      <c s="375"/>
      <c s="218" t="str">
        <f>'波长示值误差与重复性校验'!G5</f>
        <v/>
      </c>
      <c s="196"/>
      <c s="43" t="str">
        <f>'波长示值误差与重复性校验'!G6</f>
        <v/>
      </c>
      <c s="43" t="str">
        <f>'波长示值误差与重复性校验'!G7</f>
        <v/>
      </c>
      <c s="43" t="str">
        <f>'波长示值误差与重复性校验'!G8</f>
        <v/>
      </c>
      <c s="43" t="str">
        <f>'波长示值误差与重复性校验'!G9</f>
        <v/>
      </c>
      <c s="218" t="str">
        <f>'波长示值误差与重复性校验'!G10</f>
        <v/>
      </c>
      <c s="196"/>
    </row>
    <row r="30" hidden="1" ht="18" customHeight="1">
      <c r="A30" s="343"/>
      <c s="343"/>
      <c s="352"/>
      <c s="350"/>
      <c s="376"/>
      <c s="356"/>
      <c s="374"/>
      <c s="135"/>
      <c s="282"/>
      <c s="113"/>
      <c s="113"/>
      <c s="113"/>
      <c s="113"/>
      <c s="135"/>
      <c s="282"/>
    </row>
    <row r="31" ht="18.75" customHeight="1">
      <c r="A31" s="343"/>
      <c s="343"/>
      <c s="352"/>
      <c s="350"/>
      <c s="377" t="s">
        <v>30</v>
      </c>
      <c s="357"/>
      <c s="375"/>
      <c s="256">
        <f>'波长示值误差与重复性校验'!H5</f>
        <v>0</v>
      </c>
      <c s="165"/>
      <c s="307">
        <f>'波长示值误差与重复性校验'!H6</f>
        <v>0</v>
      </c>
      <c s="307">
        <f>'波长示值误差与重复性校验'!H7</f>
        <v>0</v>
      </c>
      <c s="307">
        <f>'波长示值误差与重复性校验'!H8</f>
        <v>0</v>
      </c>
      <c s="307">
        <f>'波长示值误差与重复性校验'!H9</f>
        <v>0</v>
      </c>
      <c s="256">
        <f>'波长示值误差与重复性校验'!H10</f>
        <v>0</v>
      </c>
      <c s="165"/>
    </row>
    <row r="32" hidden="1" ht="19.5" customHeight="1">
      <c r="A32" s="369"/>
      <c s="369"/>
      <c s="376"/>
      <c s="374"/>
      <c s="376"/>
      <c s="356"/>
      <c s="374"/>
      <c s="389"/>
      <c s="99"/>
      <c s="308"/>
      <c s="308"/>
      <c s="308"/>
      <c s="308"/>
      <c s="389"/>
      <c s="99"/>
    </row>
    <row r="33" ht="15" customHeight="1">
      <c r="A33" s="216">
        <v>2</v>
      </c>
      <c s="370" t="s">
        <v>34</v>
      </c>
      <c s="377" t="s">
        <v>35</v>
      </c>
      <c s="375"/>
      <c s="377" t="s">
        <v>23</v>
      </c>
      <c s="357"/>
      <c s="375"/>
      <c s="377" t="s">
        <v>36</v>
      </c>
      <c s="357"/>
      <c s="357"/>
      <c s="357"/>
      <c s="357"/>
      <c s="357"/>
      <c s="357"/>
      <c s="375"/>
    </row>
    <row r="34" ht="15" customHeight="1">
      <c r="A34" s="343"/>
      <c s="343"/>
      <c s="352"/>
      <c s="350"/>
      <c s="376"/>
      <c s="356"/>
      <c s="374"/>
      <c s="376"/>
      <c s="356"/>
      <c s="356"/>
      <c s="356"/>
      <c s="356"/>
      <c s="356"/>
      <c s="356"/>
      <c s="374"/>
    </row>
    <row r="35" ht="18.75" customHeight="1">
      <c r="A35" s="343"/>
      <c s="343"/>
      <c s="352"/>
      <c s="350"/>
      <c s="355" t="s">
        <v>37</v>
      </c>
      <c s="353"/>
      <c s="355" t="s">
        <v>38</v>
      </c>
      <c s="353"/>
      <c s="169">
        <f>'透射比示值误差与重复性校验'!B6</f>
        <v>635</v>
      </c>
      <c s="354"/>
      <c s="353"/>
      <c s="169">
        <f>'透射比示值误差与重复性校验'!B7</f>
        <v>546</v>
      </c>
      <c s="353"/>
      <c s="169">
        <f>'透射比示值误差与重复性校验'!B8</f>
        <v>440</v>
      </c>
      <c s="353"/>
    </row>
    <row r="36" ht="18.75" customHeight="1">
      <c r="A36" s="343"/>
      <c s="343"/>
      <c s="352"/>
      <c s="350"/>
      <c s="377" t="s">
        <v>39</v>
      </c>
      <c s="375"/>
      <c s="355" t="s">
        <v>40</v>
      </c>
      <c s="353"/>
      <c s="349">
        <f>'透射比示值误差与重复性校验'!C6</f>
        <v>7.62</v>
      </c>
      <c s="102"/>
      <c s="348"/>
      <c s="349">
        <f>'透射比示值误差与重复性校验'!C7</f>
        <v>11.03</v>
      </c>
      <c s="348"/>
      <c s="349">
        <f>'透射比示值误差与重复性校验'!C8</f>
        <v>11.46</v>
      </c>
      <c s="348"/>
    </row>
    <row r="37" ht="18.75" customHeight="1">
      <c r="A37" s="343"/>
      <c s="343"/>
      <c s="352"/>
      <c s="350"/>
      <c s="352"/>
      <c s="350"/>
      <c s="377" t="s">
        <v>41</v>
      </c>
      <c s="375"/>
      <c s="347">
        <f>'透射比示值误差与重复性校验'!D6</f>
      </c>
      <c s="449"/>
      <c s="346"/>
      <c s="347">
        <f>'透射比示值误差与重复性校验'!D7</f>
      </c>
      <c s="346"/>
      <c s="347">
        <f>'透射比示值误差与重复性校验'!D8</f>
      </c>
      <c s="346"/>
    </row>
    <row r="38" ht="18.75" customHeight="1">
      <c r="A38" s="343"/>
      <c s="343"/>
      <c s="352"/>
      <c s="350"/>
      <c s="352"/>
      <c s="350"/>
      <c s="352"/>
      <c s="350"/>
      <c s="347">
        <f>'透射比示值误差与重复性校验'!E6</f>
      </c>
      <c s="449"/>
      <c s="346"/>
      <c s="347">
        <f>'透射比示值误差与重复性校验'!E7</f>
      </c>
      <c s="346"/>
      <c s="347">
        <f>'透射比示值误差与重复性校验'!E8</f>
      </c>
      <c s="346"/>
    </row>
    <row r="39" ht="18.75" customHeight="1">
      <c r="A39" s="343"/>
      <c s="343"/>
      <c s="352"/>
      <c s="350"/>
      <c s="352"/>
      <c s="350"/>
      <c s="376"/>
      <c s="374"/>
      <c s="347">
        <f>'透射比示值误差与重复性校验'!F6</f>
      </c>
      <c s="449"/>
      <c s="346"/>
      <c s="347">
        <f>'透射比示值误差与重复性校验'!F7</f>
      </c>
      <c s="346"/>
      <c s="347">
        <f>'透射比示值误差与重复性校验'!F8</f>
      </c>
      <c s="346"/>
    </row>
    <row r="40" ht="18.75" customHeight="1">
      <c r="A40" s="343"/>
      <c s="343"/>
      <c s="352"/>
      <c s="350"/>
      <c s="352"/>
      <c s="350"/>
      <c s="355" t="s">
        <v>42</v>
      </c>
      <c s="353"/>
      <c s="347" t="str">
        <f>'透射比示值误差与重复性校验'!G6</f>
        <v/>
      </c>
      <c s="449"/>
      <c s="346"/>
      <c s="347" t="str">
        <f>'透射比示值误差与重复性校验'!G7</f>
        <v/>
      </c>
      <c s="346"/>
      <c s="347" t="str">
        <f>'透射比示值误差与重复性校验'!G8</f>
        <v/>
      </c>
      <c s="346"/>
    </row>
    <row r="41" ht="18.75" customHeight="1">
      <c r="A41" s="343"/>
      <c s="343"/>
      <c s="352"/>
      <c s="350"/>
      <c s="352"/>
      <c s="350"/>
      <c s="355" t="s">
        <v>43</v>
      </c>
      <c s="353"/>
      <c s="347" t="str">
        <f>'透射比示值误差与重复性校验'!H6</f>
        <v/>
      </c>
      <c s="449"/>
      <c s="346"/>
      <c s="347" t="str">
        <f>'透射比示值误差与重复性校验'!H7</f>
        <v/>
      </c>
      <c s="346"/>
      <c s="347" t="str">
        <f>'透射比示值误差与重复性校验'!H8</f>
        <v/>
      </c>
      <c s="346"/>
    </row>
    <row r="42" ht="18.75" customHeight="1">
      <c r="A42" s="343"/>
      <c s="343"/>
      <c s="352"/>
      <c s="350"/>
      <c s="376"/>
      <c s="374"/>
      <c s="355" t="s">
        <v>44</v>
      </c>
      <c s="353"/>
      <c s="347">
        <f>'透射比示值误差与重复性校验'!I6</f>
        <v>0</v>
      </c>
      <c s="449"/>
      <c s="346"/>
      <c s="347">
        <f>'透射比示值误差与重复性校验'!I7</f>
        <v>0</v>
      </c>
      <c s="346"/>
      <c s="347">
        <f>'透射比示值误差与重复性校验'!I8</f>
        <v>0</v>
      </c>
      <c s="346"/>
    </row>
    <row r="43" ht="18.75" customHeight="1">
      <c r="A43" s="343"/>
      <c s="343"/>
      <c s="352"/>
      <c s="350"/>
      <c s="377" t="s">
        <v>45</v>
      </c>
      <c s="375"/>
      <c s="355" t="s">
        <v>40</v>
      </c>
      <c s="353"/>
      <c s="349">
        <f>'透射比示值误差与重复性校验'!C9</f>
        <v>17.64</v>
      </c>
      <c s="102"/>
      <c s="348"/>
      <c s="349">
        <f>'透射比示值误差与重复性校验'!C10</f>
        <v>21.74</v>
      </c>
      <c s="348"/>
      <c s="349">
        <f>'透射比示值误差与重复性校验'!C11</f>
        <v>21.92</v>
      </c>
      <c s="348"/>
    </row>
    <row r="44" ht="18.75" customHeight="1">
      <c r="A44" s="343"/>
      <c s="343"/>
      <c s="352"/>
      <c s="350"/>
      <c s="352"/>
      <c s="350"/>
      <c s="377" t="s">
        <v>41</v>
      </c>
      <c s="375"/>
      <c s="347">
        <f>'透射比示值误差与重复性校验'!D9</f>
      </c>
      <c s="449"/>
      <c s="346"/>
      <c s="347">
        <f>'透射比示值误差与重复性校验'!D10</f>
      </c>
      <c s="346"/>
      <c s="347">
        <f>'透射比示值误差与重复性校验'!D11</f>
      </c>
      <c s="346"/>
    </row>
    <row r="45" ht="18.75" customHeight="1">
      <c r="A45" s="343"/>
      <c s="343"/>
      <c s="352"/>
      <c s="350"/>
      <c s="352"/>
      <c s="350"/>
      <c s="352"/>
      <c s="350"/>
      <c s="347">
        <f>'透射比示值误差与重复性校验'!E9</f>
      </c>
      <c s="449"/>
      <c s="346"/>
      <c s="347">
        <f>'透射比示值误差与重复性校验'!E10</f>
      </c>
      <c s="346"/>
      <c s="347">
        <f>'透射比示值误差与重复性校验'!E11</f>
      </c>
      <c s="346"/>
    </row>
    <row r="46" ht="18.75" customHeight="1">
      <c r="A46" s="343"/>
      <c s="343"/>
      <c s="352"/>
      <c s="350"/>
      <c s="352"/>
      <c s="350"/>
      <c s="376"/>
      <c s="374"/>
      <c s="347">
        <f>'透射比示值误差与重复性校验'!F9</f>
      </c>
      <c s="449"/>
      <c s="346"/>
      <c s="347">
        <f>'透射比示值误差与重复性校验'!F10</f>
      </c>
      <c s="346"/>
      <c s="347">
        <f>'透射比示值误差与重复性校验'!F11</f>
      </c>
      <c s="346"/>
    </row>
    <row r="47" ht="18.75" customHeight="1">
      <c r="A47" s="343"/>
      <c s="343"/>
      <c s="352"/>
      <c s="350"/>
      <c s="352"/>
      <c s="350"/>
      <c s="355" t="s">
        <v>42</v>
      </c>
      <c s="353"/>
      <c s="347" t="str">
        <f>'透射比示值误差与重复性校验'!G9</f>
        <v/>
      </c>
      <c s="449"/>
      <c s="346"/>
      <c s="347" t="str">
        <f>'透射比示值误差与重复性校验'!G10</f>
        <v/>
      </c>
      <c s="346"/>
      <c s="347" t="str">
        <f>'透射比示值误差与重复性校验'!G11</f>
        <v/>
      </c>
      <c s="346"/>
    </row>
    <row r="48" ht="18.75" customHeight="1">
      <c r="A48" s="343"/>
      <c s="343"/>
      <c s="352"/>
      <c s="350"/>
      <c s="352"/>
      <c s="350"/>
      <c s="355" t="s">
        <v>43</v>
      </c>
      <c s="353"/>
      <c s="347" t="str">
        <f>'透射比示值误差与重复性校验'!H9</f>
        <v/>
      </c>
      <c s="449"/>
      <c s="346"/>
      <c s="347" t="str">
        <f>'透射比示值误差与重复性校验'!H10</f>
        <v/>
      </c>
      <c s="346"/>
      <c s="347" t="str">
        <f>'透射比示值误差与重复性校验'!H11</f>
        <v/>
      </c>
      <c s="346"/>
    </row>
    <row r="49" ht="18.75" customHeight="1">
      <c r="A49" s="369"/>
      <c s="369"/>
      <c s="376"/>
      <c s="374"/>
      <c s="376"/>
      <c s="374"/>
      <c s="355" t="s">
        <v>44</v>
      </c>
      <c s="353"/>
      <c s="349">
        <f>'透射比示值误差与重复性校验'!I9</f>
        <v>0</v>
      </c>
      <c s="102"/>
      <c s="348"/>
      <c s="347">
        <f>'透射比示值误差与重复性校验'!I10</f>
        <v>0</v>
      </c>
      <c s="346"/>
      <c s="349">
        <f>'透射比示值误差与重复性校验'!I11</f>
        <v>0</v>
      </c>
      <c s="348"/>
    </row>
    <row r="50" ht="19.5" customHeight="1">
      <c r="A50" s="216">
        <v>2</v>
      </c>
      <c s="370" t="s">
        <v>34</v>
      </c>
      <c s="377" t="s">
        <v>46</v>
      </c>
      <c s="375"/>
      <c s="377" t="s">
        <v>47</v>
      </c>
      <c s="375"/>
      <c s="355" t="s">
        <v>40</v>
      </c>
      <c s="353"/>
      <c s="349">
        <f>'透射比示值误差与重复性校验'!C12</f>
        <v>23.59</v>
      </c>
      <c s="102"/>
      <c s="348"/>
      <c s="349">
        <f>'透射比示值误差与重复性校验'!C13</f>
        <v>29.32</v>
      </c>
      <c s="348"/>
      <c s="349">
        <f>'透射比示值误差与重复性校验'!C14</f>
        <v>29.91</v>
      </c>
      <c s="348"/>
    </row>
    <row r="51" ht="19.5" customHeight="1">
      <c r="A51" s="343"/>
      <c s="343"/>
      <c s="352"/>
      <c s="350"/>
      <c s="352"/>
      <c s="350"/>
      <c s="377" t="s">
        <v>41</v>
      </c>
      <c s="375"/>
      <c s="347">
        <f>'透射比示值误差与重复性校验'!D12</f>
      </c>
      <c s="449"/>
      <c s="346"/>
      <c s="347">
        <f>'透射比示值误差与重复性校验'!D13</f>
      </c>
      <c s="346"/>
      <c s="347">
        <f>'透射比示值误差与重复性校验'!D14</f>
      </c>
      <c s="346"/>
    </row>
    <row r="52" ht="19.5" customHeight="1">
      <c r="A52" s="343"/>
      <c s="343"/>
      <c s="352"/>
      <c s="350"/>
      <c s="352"/>
      <c s="350"/>
      <c s="352"/>
      <c s="350"/>
      <c s="347">
        <f>'透射比示值误差与重复性校验'!E12</f>
      </c>
      <c s="449"/>
      <c s="346"/>
      <c s="347">
        <f>'透射比示值误差与重复性校验'!E13</f>
      </c>
      <c s="346"/>
      <c s="347">
        <f>'透射比示值误差与重复性校验'!E14</f>
      </c>
      <c s="346"/>
    </row>
    <row r="53" ht="19.5" customHeight="1">
      <c r="A53" s="343"/>
      <c s="343"/>
      <c s="352"/>
      <c s="350"/>
      <c s="352"/>
      <c s="350"/>
      <c s="376"/>
      <c s="374"/>
      <c s="347">
        <f>'透射比示值误差与重复性校验'!F12</f>
      </c>
      <c s="449"/>
      <c s="346"/>
      <c s="347">
        <f>'透射比示值误差与重复性校验'!F13</f>
      </c>
      <c s="346"/>
      <c s="347">
        <f>'透射比示值误差与重复性校验'!F14</f>
      </c>
      <c s="346"/>
    </row>
    <row r="54" ht="19.5" customHeight="1">
      <c r="A54" s="343"/>
      <c s="343"/>
      <c s="352"/>
      <c s="350"/>
      <c s="352"/>
      <c s="350"/>
      <c s="355" t="s">
        <v>42</v>
      </c>
      <c s="353"/>
      <c s="347" t="str">
        <f>'透射比示值误差与重复性校验'!G12</f>
        <v/>
      </c>
      <c s="449"/>
      <c s="346"/>
      <c s="347" t="str">
        <f>'透射比示值误差与重复性校验'!G13</f>
        <v/>
      </c>
      <c s="346"/>
      <c s="347" t="str">
        <f>'透射比示值误差与重复性校验'!G14</f>
        <v/>
      </c>
      <c s="346"/>
    </row>
    <row r="55" ht="19.5" customHeight="1">
      <c r="A55" s="343"/>
      <c s="343"/>
      <c s="352"/>
      <c s="350"/>
      <c s="352"/>
      <c s="350"/>
      <c s="355" t="s">
        <v>43</v>
      </c>
      <c s="353"/>
      <c s="347" t="str">
        <f>'透射比示值误差与重复性校验'!H12</f>
        <v/>
      </c>
      <c s="449"/>
      <c s="346"/>
      <c s="347" t="str">
        <f>'透射比示值误差与重复性校验'!H13</f>
        <v/>
      </c>
      <c s="346"/>
      <c s="347" t="str">
        <f>'透射比示值误差与重复性校验'!H14</f>
        <v/>
      </c>
      <c s="346"/>
    </row>
    <row r="56" ht="19.5" customHeight="1">
      <c r="A56" s="369"/>
      <c s="369"/>
      <c s="376"/>
      <c s="374"/>
      <c s="376"/>
      <c s="374"/>
      <c s="355" t="s">
        <v>44</v>
      </c>
      <c s="353"/>
      <c s="347">
        <f>'透射比示值误差与重复性校验'!I12</f>
        <v>0</v>
      </c>
      <c s="449"/>
      <c s="346"/>
      <c s="347">
        <f>'透射比示值误差与重复性校验'!I13</f>
        <v>0</v>
      </c>
      <c s="346"/>
      <c s="347">
        <f>'透射比示值误差与重复性校验'!I14</f>
        <v>0</v>
      </c>
      <c s="346"/>
    </row>
    <row r="57" ht="19.5" customHeight="1">
      <c r="A57" s="216">
        <v>3</v>
      </c>
      <c s="370" t="s">
        <v>48</v>
      </c>
      <c s="377" t="s">
        <v>35</v>
      </c>
      <c s="375"/>
      <c s="355" t="s">
        <v>23</v>
      </c>
      <c s="354"/>
      <c s="353"/>
      <c s="355" t="s">
        <v>49</v>
      </c>
      <c s="354"/>
      <c s="354"/>
      <c s="354"/>
      <c s="354"/>
      <c s="354"/>
      <c s="354"/>
      <c s="353"/>
    </row>
    <row r="58" ht="19.5" customHeight="1">
      <c r="A58" s="343"/>
      <c s="343"/>
      <c s="352"/>
      <c s="350"/>
      <c s="377" t="s">
        <v>50</v>
      </c>
      <c s="357"/>
      <c s="375"/>
      <c s="169">
        <f>'透射比示值误差与重复性校验'!B2</f>
        <v>350</v>
      </c>
      <c s="353"/>
      <c s="169">
        <f>'透射比示值误差与重复性校验'!B3</f>
        <v>313</v>
      </c>
      <c s="353"/>
      <c s="210">
        <f>'透射比示值误差与重复性校验'!B4</f>
        <v>257</v>
      </c>
      <c s="204"/>
      <c s="210">
        <f>'透射比示值误差与重复性校验'!B5</f>
        <v>235</v>
      </c>
      <c s="204"/>
    </row>
    <row r="59" ht="19.5" customHeight="1">
      <c r="A59" s="343"/>
      <c s="343"/>
      <c s="352"/>
      <c s="350"/>
      <c s="376"/>
      <c s="356"/>
      <c s="374"/>
      <c s="349">
        <f>'透射比示值误差与重复性校验'!C2</f>
        <v>23.2</v>
      </c>
      <c s="348"/>
      <c s="349">
        <f>'透射比示值误差与重复性校验'!C3</f>
        <v>51.58</v>
      </c>
      <c s="348"/>
      <c s="327">
        <f>'透射比示值误差与重复性校验'!C4</f>
        <v>14.06</v>
      </c>
      <c s="236"/>
      <c s="327">
        <f>'透射比示值误差与重复性校验'!C5</f>
        <v>18.42</v>
      </c>
      <c s="236"/>
    </row>
    <row r="60" ht="19.5" customHeight="1">
      <c r="A60" s="343"/>
      <c s="343"/>
      <c s="352"/>
      <c s="350"/>
      <c s="377" t="s">
        <v>51</v>
      </c>
      <c s="357"/>
      <c s="375"/>
      <c s="347">
        <f>'透射比示值误差与重复性校验'!D2</f>
      </c>
      <c s="346"/>
      <c s="347">
        <f>'透射比示值误差与重复性校验'!D3</f>
      </c>
      <c s="346"/>
      <c s="141">
        <f>'透射比示值误差与重复性校验'!D4</f>
      </c>
      <c s="148"/>
      <c s="141">
        <f>'透射比示值误差与重复性校验'!D5</f>
      </c>
      <c s="148"/>
    </row>
    <row r="61" ht="19.5" customHeight="1">
      <c r="A61" s="343"/>
      <c s="343"/>
      <c s="352"/>
      <c s="350"/>
      <c s="352"/>
      <c s="351"/>
      <c s="350"/>
      <c s="347">
        <f>'透射比示值误差与重复性校验'!E2</f>
      </c>
      <c s="346"/>
      <c s="347">
        <f>'透射比示值误差与重复性校验'!E3</f>
      </c>
      <c s="346"/>
      <c s="141">
        <f>'透射比示值误差与重复性校验'!E4</f>
      </c>
      <c s="148"/>
      <c s="141">
        <f>'透射比示值误差与重复性校验'!E5</f>
      </c>
      <c s="148"/>
    </row>
    <row r="62" ht="19.5" customHeight="1">
      <c r="A62" s="343"/>
      <c s="343"/>
      <c s="352"/>
      <c s="350"/>
      <c s="376"/>
      <c s="356"/>
      <c s="374"/>
      <c s="347">
        <f>'透射比示值误差与重复性校验'!F2</f>
      </c>
      <c s="346"/>
      <c s="347">
        <f>'透射比示值误差与重复性校验'!F3</f>
      </c>
      <c s="346"/>
      <c s="141">
        <f>'透射比示值误差与重复性校验'!F4</f>
      </c>
      <c s="148"/>
      <c s="141">
        <f>'透射比示值误差与重复性校验'!F5</f>
      </c>
      <c s="148"/>
    </row>
    <row r="63" ht="19.5" customHeight="1">
      <c r="A63" s="343"/>
      <c s="343"/>
      <c s="352"/>
      <c s="350"/>
      <c s="355" t="s">
        <v>42</v>
      </c>
      <c s="354"/>
      <c s="353"/>
      <c s="347" t="str">
        <f>'透射比示值误差与重复性校验'!G2</f>
        <v/>
      </c>
      <c s="346"/>
      <c s="347" t="str">
        <f>'透射比示值误差与重复性校验'!G3</f>
        <v/>
      </c>
      <c s="346"/>
      <c s="347" t="str">
        <f>'透射比示值误差与重复性校验'!G4</f>
        <v/>
      </c>
      <c s="346"/>
      <c s="347" t="str">
        <f>'透射比示值误差与重复性校验'!G5</f>
        <v/>
      </c>
      <c s="346"/>
    </row>
    <row r="64" ht="19.5" customHeight="1">
      <c r="A64" s="343"/>
      <c s="343"/>
      <c s="352"/>
      <c s="350"/>
      <c s="355" t="s">
        <v>43</v>
      </c>
      <c s="354"/>
      <c s="353"/>
      <c s="347" t="str">
        <f>'透射比示值误差与重复性校验'!H2</f>
        <v/>
      </c>
      <c s="346"/>
      <c s="347" t="str">
        <f>'透射比示值误差与重复性校验'!H3</f>
        <v/>
      </c>
      <c s="346"/>
      <c s="347" t="str">
        <f>'透射比示值误差与重复性校验'!H4</f>
        <v/>
      </c>
      <c s="346"/>
      <c s="347" t="str">
        <f>'透射比示值误差与重复性校验'!H5</f>
        <v/>
      </c>
      <c s="346"/>
    </row>
    <row r="65" ht="19.5" customHeight="1">
      <c r="A65" s="369"/>
      <c s="369"/>
      <c s="376"/>
      <c s="374"/>
      <c s="355" t="s">
        <v>44</v>
      </c>
      <c s="354"/>
      <c s="353"/>
      <c s="349">
        <f>'透射比示值误差与重复性校验'!I2</f>
        <v>0</v>
      </c>
      <c s="348"/>
      <c s="349">
        <f>'透射比示值误差与重复性校验'!I3</f>
        <v>0</v>
      </c>
      <c s="348"/>
      <c s="349">
        <f>'透射比示值误差与重复性校验'!I4</f>
        <v>0</v>
      </c>
      <c s="348"/>
      <c s="349">
        <f>'透射比示值误差与重复性校验'!I5</f>
        <v>0</v>
      </c>
      <c s="348"/>
    </row>
    <row r="66" ht="18.75" customHeight="1">
      <c r="A66" s="216">
        <v>4</v>
      </c>
      <c s="324" t="s">
        <v>52</v>
      </c>
      <c s="377"/>
      <c s="375"/>
      <c s="344" t="s">
        <v>53</v>
      </c>
      <c s="296"/>
      <c s="305"/>
      <c s="344"/>
      <c s="305"/>
      <c s="216">
        <v>1</v>
      </c>
      <c s="216">
        <v>2</v>
      </c>
      <c s="216">
        <v>3</v>
      </c>
      <c s="272" t="s">
        <v>18</v>
      </c>
      <c s="335"/>
      <c s="333"/>
    </row>
    <row r="67" hidden="1" ht="30" customHeight="1">
      <c r="A67" s="343"/>
      <c s="300"/>
      <c s="376"/>
      <c s="374"/>
      <c s="345"/>
      <c s="299"/>
      <c s="117"/>
      <c s="345"/>
      <c s="117"/>
      <c s="369"/>
      <c s="369"/>
      <c s="369"/>
      <c s="336"/>
      <c s="334"/>
      <c s="332"/>
    </row>
    <row r="68" ht="18.75" customHeight="1">
      <c r="A68" s="343"/>
      <c s="300"/>
      <c s="64" t="s">
        <v>54</v>
      </c>
      <c s="370" t="s">
        <v>55</v>
      </c>
      <c s="344" t="s">
        <v>56</v>
      </c>
      <c s="296"/>
      <c s="305"/>
      <c s="377" t="s">
        <v>57</v>
      </c>
      <c s="375"/>
      <c s="265">
        <f>'杂散光校验'!C2</f>
      </c>
      <c s="329">
        <f>'杂散光校验'!D2</f>
      </c>
      <c s="265">
        <f>'杂散光校验'!E2</f>
      </c>
      <c s="272" t="str">
        <f>'杂散光校验'!G2</f>
        <v>未检测</v>
      </c>
      <c s="335"/>
      <c s="333"/>
    </row>
    <row r="69" hidden="1" ht="30" customHeight="1">
      <c r="A69" s="343"/>
      <c s="300"/>
      <c s="247"/>
      <c s="369"/>
      <c s="345"/>
      <c s="299"/>
      <c s="117"/>
      <c s="352"/>
      <c s="350"/>
      <c s="275"/>
      <c s="328"/>
      <c s="275"/>
      <c s="336"/>
      <c s="334"/>
      <c s="332"/>
    </row>
    <row r="70" ht="30" customHeight="1">
      <c r="A70" s="343"/>
      <c s="300"/>
      <c s="64" t="s">
        <v>58</v>
      </c>
      <c s="370" t="s">
        <v>59</v>
      </c>
      <c s="344" t="s">
        <v>60</v>
      </c>
      <c s="296"/>
      <c s="305"/>
      <c s="352"/>
      <c s="350"/>
      <c s="265">
        <f>'杂散光校验'!C3</f>
      </c>
      <c s="329">
        <f>'杂散光校验'!D3</f>
      </c>
      <c s="265">
        <f>'杂散光校验'!E3</f>
      </c>
      <c s="272" t="str">
        <f>'杂散光校验'!G3</f>
        <v>未检测</v>
      </c>
      <c s="335"/>
      <c s="333"/>
    </row>
    <row r="71" hidden="1" ht="30" customHeight="1">
      <c r="A71" s="369"/>
      <c s="109"/>
      <c s="247"/>
      <c s="369"/>
      <c s="345"/>
      <c s="299"/>
      <c s="117"/>
      <c s="376"/>
      <c s="374"/>
      <c s="275"/>
      <c s="328"/>
      <c s="275"/>
      <c s="336"/>
      <c s="334"/>
      <c s="332"/>
    </row>
    <row r="72" ht="30" customHeight="1">
      <c r="A72" s="216">
        <v>5</v>
      </c>
      <c s="324" t="s">
        <v>61</v>
      </c>
      <c s="377" t="s">
        <v>62</v>
      </c>
      <c s="357"/>
      <c s="357"/>
      <c s="357"/>
      <c s="375"/>
      <c s="377" t="s">
        <v>63</v>
      </c>
      <c s="357"/>
      <c s="357"/>
      <c s="357"/>
      <c s="375"/>
      <c s="59">
        <f>'基线平直度检验'!B2</f>
      </c>
      <c s="205"/>
      <c s="121"/>
    </row>
    <row r="73" hidden="1" ht="30" customHeight="1">
      <c r="A73" s="369"/>
      <c s="109"/>
      <c s="376"/>
      <c s="356"/>
      <c s="356"/>
      <c s="356"/>
      <c s="374"/>
      <c s="376"/>
      <c s="356"/>
      <c s="356"/>
      <c s="356"/>
      <c s="374"/>
      <c s="337"/>
      <c s="89"/>
      <c s="26"/>
    </row>
    <row r="74" ht="30" customHeight="1">
      <c r="A74" s="234">
        <v>6</v>
      </c>
      <c s="324" t="s">
        <v>64</v>
      </c>
      <c s="377" t="s">
        <v>65</v>
      </c>
      <c s="357"/>
      <c s="357"/>
      <c s="357"/>
      <c s="375"/>
      <c s="377" t="s">
        <v>51</v>
      </c>
      <c s="357"/>
      <c s="357"/>
      <c s="357"/>
      <c s="375"/>
      <c s="382">
        <f>'基线暗噪声检验'!B2</f>
      </c>
      <c s="269"/>
      <c s="215"/>
    </row>
    <row r="75" hidden="1" ht="30" customHeight="1">
      <c r="A75" s="109"/>
      <c s="109"/>
      <c s="376"/>
      <c s="356"/>
      <c s="356"/>
      <c s="356"/>
      <c s="374"/>
      <c s="376"/>
      <c s="356"/>
      <c s="356"/>
      <c s="356"/>
      <c s="374"/>
      <c s="321"/>
      <c s="373"/>
      <c s="174"/>
    </row>
    <row r="76" ht="30" customHeight="1">
      <c r="A76" s="234">
        <v>7</v>
      </c>
      <c s="324" t="s">
        <v>66</v>
      </c>
      <c s="377" t="s">
        <v>67</v>
      </c>
      <c s="375"/>
      <c s="124" t="s">
        <v>68</v>
      </c>
      <c s="221"/>
      <c s="184"/>
      <c s="151" t="s">
        <v>69</v>
      </c>
      <c s="233"/>
      <c s="233"/>
      <c s="233"/>
      <c s="330"/>
      <c s="306"/>
      <c s="342"/>
      <c s="186"/>
    </row>
    <row r="77" ht="20.25" customHeight="1">
      <c r="A77" s="300"/>
      <c s="300"/>
      <c s="352"/>
      <c s="350"/>
      <c s="124" t="s">
        <v>70</v>
      </c>
      <c s="221"/>
      <c s="184"/>
      <c s="310">
        <f>'光谱带宽与仪器最小光谱带宽'!D2</f>
      </c>
      <c s="289"/>
      <c s="289"/>
      <c s="289"/>
      <c s="331"/>
      <c s="146"/>
      <c s="127"/>
      <c s="101"/>
    </row>
    <row r="78" ht="20.25" customHeight="1">
      <c r="A78" s="109"/>
      <c s="109"/>
      <c s="376"/>
      <c s="374"/>
      <c s="355" t="s">
        <v>71</v>
      </c>
      <c s="354"/>
      <c s="353"/>
      <c s="151">
        <f>'光谱带宽与仪器最小光谱带宽'!E2</f>
        <v>-100</v>
      </c>
      <c s="233"/>
      <c s="233"/>
      <c s="233"/>
      <c s="330"/>
      <c s="137"/>
      <c s="194"/>
      <c s="81"/>
    </row>
    <row r="79" ht="30" customHeight="1">
      <c r="A79" s="234">
        <v>8</v>
      </c>
      <c s="324" t="s">
        <v>72</v>
      </c>
      <c s="359">
        <v>1</v>
      </c>
      <c s="370" t="s">
        <v>73</v>
      </c>
      <c s="344" t="s">
        <v>51</v>
      </c>
      <c s="296"/>
      <c s="305"/>
      <c s="281">
        <f>'噪声检验'!C2</f>
      </c>
      <c s="263"/>
      <c s="238">
        <v>0</v>
      </c>
      <c s="377" t="s">
        <v>74</v>
      </c>
      <c s="375"/>
      <c s="370" t="s">
        <v>57</v>
      </c>
      <c s="245">
        <f>'噪声检验'!C2</f>
      </c>
      <c s="384"/>
    </row>
    <row r="80" hidden="1" ht="30" customHeight="1">
      <c r="A80" s="300"/>
      <c s="109"/>
      <c s="358"/>
      <c s="369"/>
      <c s="345"/>
      <c s="299"/>
      <c s="117"/>
      <c s="452"/>
      <c s="456"/>
      <c s="225"/>
      <c s="376"/>
      <c s="374"/>
      <c s="369"/>
      <c s="288"/>
      <c s="197"/>
    </row>
    <row r="81" ht="30" customHeight="1">
      <c r="A81" s="300"/>
      <c s="324" t="s">
        <v>75</v>
      </c>
      <c s="359">
        <v>1</v>
      </c>
      <c s="370" t="s">
        <v>73</v>
      </c>
      <c s="344" t="s">
        <v>51</v>
      </c>
      <c s="296"/>
      <c s="305"/>
      <c s="281">
        <f>'噪声检验'!C4</f>
      </c>
      <c s="263"/>
      <c s="238">
        <v>0</v>
      </c>
      <c s="377" t="s">
        <v>74</v>
      </c>
      <c s="375"/>
      <c s="370" t="s">
        <v>57</v>
      </c>
      <c s="245">
        <f>'噪声检验'!C3</f>
      </c>
      <c s="384"/>
    </row>
    <row r="82" hidden="1" ht="30" customHeight="1">
      <c r="A82" s="300"/>
      <c s="109"/>
      <c s="358"/>
      <c s="369"/>
      <c s="345"/>
      <c s="299"/>
      <c s="117"/>
      <c s="452"/>
      <c s="456"/>
      <c s="225"/>
      <c s="376"/>
      <c s="374"/>
      <c s="369"/>
      <c s="288"/>
      <c s="197"/>
    </row>
    <row r="83" ht="45" customHeight="1">
      <c r="A83" s="300"/>
      <c s="324" t="s">
        <v>76</v>
      </c>
      <c s="359">
        <v>1</v>
      </c>
      <c s="370" t="s">
        <v>77</v>
      </c>
      <c s="344" t="s">
        <v>51</v>
      </c>
      <c s="296"/>
      <c s="305"/>
      <c s="218">
        <f>'波长边缘噪声'!C2</f>
      </c>
      <c s="196"/>
      <c s="238">
        <v>0</v>
      </c>
      <c s="377" t="s">
        <v>59</v>
      </c>
      <c s="375"/>
      <c s="370" t="s">
        <v>57</v>
      </c>
      <c s="245">
        <f>'噪声检验'!C4</f>
      </c>
      <c s="384"/>
    </row>
    <row r="84" hidden="1" ht="45" customHeight="1">
      <c r="A84" s="300"/>
      <c s="109"/>
      <c s="358"/>
      <c s="369"/>
      <c s="345"/>
      <c s="299"/>
      <c s="117"/>
      <c s="135"/>
      <c s="282"/>
      <c s="225"/>
      <c s="376"/>
      <c s="374"/>
      <c s="369"/>
      <c s="288"/>
      <c s="197"/>
    </row>
    <row r="85" ht="30" customHeight="1">
      <c r="A85" s="300"/>
      <c s="324" t="s">
        <v>78</v>
      </c>
      <c s="359">
        <v>1</v>
      </c>
      <c s="370" t="s">
        <v>77</v>
      </c>
      <c s="344" t="s">
        <v>51</v>
      </c>
      <c s="296"/>
      <c s="305"/>
      <c s="218">
        <f>'波长边缘噪声'!C4</f>
      </c>
      <c s="196"/>
      <c s="238">
        <v>0</v>
      </c>
      <c s="377" t="s">
        <v>59</v>
      </c>
      <c s="375"/>
      <c s="370" t="s">
        <v>57</v>
      </c>
      <c s="245">
        <f>'噪声检验'!C5</f>
      </c>
      <c s="384"/>
    </row>
    <row r="86" hidden="1" ht="30" customHeight="1">
      <c r="A86" s="109"/>
      <c s="109"/>
      <c s="358"/>
      <c s="369"/>
      <c s="345"/>
      <c s="299"/>
      <c s="117"/>
      <c s="135"/>
      <c s="282"/>
      <c s="225"/>
      <c s="376"/>
      <c s="374"/>
      <c s="369"/>
      <c s="288"/>
      <c s="197"/>
    </row>
    <row r="87" ht="24.75" customHeight="1">
      <c r="A87" s="234">
        <v>9</v>
      </c>
      <c s="324" t="s">
        <v>79</v>
      </c>
      <c s="344" t="s">
        <v>80</v>
      </c>
      <c s="296"/>
      <c s="296"/>
      <c s="296"/>
      <c s="305"/>
      <c s="274" t="s">
        <v>51</v>
      </c>
      <c s="309"/>
      <c s="309"/>
      <c s="309"/>
      <c s="287"/>
      <c s="382">
        <f>'漂移检验'!C2</f>
      </c>
      <c s="269"/>
      <c s="215"/>
    </row>
    <row r="88" hidden="1" ht="24.75" customHeight="1">
      <c r="A88" s="109"/>
      <c s="109"/>
      <c s="345"/>
      <c s="299"/>
      <c s="299"/>
      <c s="299"/>
      <c s="117"/>
      <c s="232"/>
      <c s="159"/>
      <c s="159"/>
      <c s="159"/>
      <c s="248"/>
      <c s="321"/>
      <c s="373"/>
      <c s="174"/>
    </row>
    <row r="89" ht="21.75" customHeight="1">
      <c r="A89" s="234">
        <v>10</v>
      </c>
      <c s="324" t="s">
        <v>81</v>
      </c>
      <c s="324" t="s">
        <v>82</v>
      </c>
      <c s="377" t="s">
        <v>53</v>
      </c>
      <c s="375"/>
      <c s="344" t="s">
        <v>83</v>
      </c>
      <c s="296"/>
      <c s="296"/>
      <c s="296"/>
      <c s="296"/>
      <c s="305"/>
      <c s="370" t="s">
        <v>84</v>
      </c>
      <c s="370" t="s">
        <v>85</v>
      </c>
      <c s="272" t="s">
        <v>86</v>
      </c>
      <c s="333"/>
    </row>
    <row r="90" hidden="1" ht="21.75" customHeight="1">
      <c r="A90" s="300"/>
      <c s="300"/>
      <c s="300"/>
      <c s="376"/>
      <c s="374"/>
      <c s="345"/>
      <c s="299"/>
      <c s="299"/>
      <c s="299"/>
      <c s="299"/>
      <c s="117"/>
      <c s="369"/>
      <c s="369"/>
      <c s="336"/>
      <c s="332"/>
    </row>
    <row r="91" ht="21.75" customHeight="1">
      <c r="A91" s="300"/>
      <c s="300"/>
      <c s="300"/>
      <c s="377" t="s">
        <v>87</v>
      </c>
      <c s="375"/>
      <c s="344" t="s">
        <v>88</v>
      </c>
      <c s="296"/>
      <c s="296"/>
      <c s="296"/>
      <c s="296"/>
      <c s="305"/>
      <c s="324"/>
      <c s="324"/>
      <c s="344"/>
      <c s="305"/>
    </row>
    <row r="92" hidden="1" ht="21.75" customHeight="1">
      <c r="A92" s="300"/>
      <c s="300"/>
      <c s="300"/>
      <c s="352"/>
      <c s="350"/>
      <c s="345"/>
      <c s="299"/>
      <c s="299"/>
      <c s="299"/>
      <c s="299"/>
      <c s="117"/>
      <c s="109"/>
      <c s="109"/>
      <c s="345"/>
      <c s="117"/>
    </row>
    <row r="93" ht="21.75" customHeight="1">
      <c r="A93" s="300"/>
      <c s="300"/>
      <c s="300"/>
      <c s="352"/>
      <c s="350"/>
      <c s="344" t="s">
        <v>89</v>
      </c>
      <c s="296"/>
      <c s="296"/>
      <c s="296"/>
      <c s="296"/>
      <c s="305"/>
      <c s="257"/>
      <c s="257"/>
      <c s="23"/>
      <c s="392"/>
    </row>
    <row r="94" hidden="1" ht="21.75" customHeight="1">
      <c r="A94" s="300"/>
      <c s="300"/>
      <c s="300"/>
      <c s="352"/>
      <c s="350"/>
      <c s="345"/>
      <c s="299"/>
      <c s="299"/>
      <c s="299"/>
      <c s="299"/>
      <c s="117"/>
      <c s="250"/>
      <c s="250"/>
      <c s="52"/>
      <c s="211"/>
    </row>
    <row r="95" ht="21.75" customHeight="1">
      <c r="A95" s="300"/>
      <c s="300"/>
      <c s="300"/>
      <c s="352"/>
      <c s="350"/>
      <c s="344" t="s">
        <v>90</v>
      </c>
      <c s="296"/>
      <c s="296"/>
      <c s="296"/>
      <c s="296"/>
      <c s="305"/>
      <c s="324"/>
      <c s="324"/>
      <c s="344"/>
      <c s="305"/>
    </row>
    <row r="96" hidden="1" ht="21.75" customHeight="1">
      <c r="A96" s="300"/>
      <c s="300"/>
      <c s="300"/>
      <c s="352"/>
      <c s="350"/>
      <c s="345"/>
      <c s="299"/>
      <c s="299"/>
      <c s="299"/>
      <c s="299"/>
      <c s="117"/>
      <c s="109"/>
      <c s="109"/>
      <c s="345"/>
      <c s="117"/>
    </row>
    <row r="97" ht="21.75" customHeight="1">
      <c r="A97" s="300"/>
      <c s="300"/>
      <c s="300"/>
      <c s="352"/>
      <c s="350"/>
      <c s="344" t="s">
        <v>91</v>
      </c>
      <c s="296"/>
      <c s="296"/>
      <c s="296"/>
      <c s="296"/>
      <c s="305"/>
      <c s="324"/>
      <c s="324"/>
      <c s="344"/>
      <c s="305"/>
    </row>
    <row r="98" hidden="1" ht="21.75" customHeight="1">
      <c r="A98" s="109"/>
      <c s="109"/>
      <c s="109"/>
      <c s="376"/>
      <c s="374"/>
      <c s="345"/>
      <c s="299"/>
      <c s="299"/>
      <c s="299"/>
      <c s="299"/>
      <c s="117"/>
      <c s="109"/>
      <c s="109"/>
      <c s="345"/>
      <c s="117"/>
    </row>
    <row r="99" ht="30" customHeight="1">
      <c r="A99" s="234">
        <v>11</v>
      </c>
      <c s="324" t="s">
        <v>92</v>
      </c>
      <c s="344" t="s">
        <v>93</v>
      </c>
      <c s="296"/>
      <c s="305"/>
      <c s="344" t="s">
        <v>94</v>
      </c>
      <c s="296"/>
      <c s="296"/>
      <c s="296"/>
      <c s="296"/>
      <c s="305"/>
      <c s="344" t="s">
        <v>95</v>
      </c>
      <c s="296"/>
      <c s="296"/>
      <c s="305"/>
    </row>
    <row r="100" hidden="1" ht="30" customHeight="1">
      <c r="A100" s="109"/>
      <c s="109"/>
      <c s="345"/>
      <c s="299"/>
      <c s="117"/>
      <c s="345"/>
      <c s="299"/>
      <c s="299"/>
      <c s="299"/>
      <c s="299"/>
      <c s="117"/>
      <c s="345"/>
      <c s="299"/>
      <c s="299"/>
      <c s="117"/>
    </row>
    <row r="101" ht="30" customHeight="1">
      <c r="A101" s="234">
        <v>12</v>
      </c>
      <c s="324" t="s">
        <v>96</v>
      </c>
      <c s="124" t="s">
        <v>97</v>
      </c>
      <c s="221"/>
      <c s="184"/>
      <c s="344" t="s">
        <v>98</v>
      </c>
      <c s="296"/>
      <c s="296"/>
      <c s="296"/>
      <c s="296"/>
      <c s="305"/>
      <c s="124" t="s">
        <v>99</v>
      </c>
      <c s="184"/>
      <c s="124"/>
      <c s="184"/>
    </row>
    <row r="102" ht="30" customHeight="1">
      <c r="A102" s="109"/>
      <c s="109"/>
      <c s="124" t="s">
        <v>100</v>
      </c>
      <c s="221"/>
      <c s="184"/>
      <c s="345"/>
      <c s="299"/>
      <c s="299"/>
      <c s="299"/>
      <c s="299"/>
      <c s="117"/>
      <c s="124" t="s">
        <v>99</v>
      </c>
      <c s="184"/>
      <c s="124"/>
      <c s="184"/>
    </row>
    <row r="103" ht="30" customHeight="1">
      <c r="A103" s="234">
        <v>13</v>
      </c>
      <c s="324" t="s">
        <v>101</v>
      </c>
      <c s="344" t="s">
        <v>102</v>
      </c>
      <c s="296"/>
      <c s="305"/>
      <c s="344" t="s">
        <v>103</v>
      </c>
      <c s="296"/>
      <c s="296"/>
      <c s="296"/>
      <c s="296"/>
      <c s="305"/>
      <c s="344" t="s">
        <v>104</v>
      </c>
      <c s="305"/>
      <c s="344"/>
      <c s="305"/>
    </row>
    <row r="104" hidden="1" ht="30" customHeight="1">
      <c r="A104" s="109"/>
      <c s="109"/>
      <c s="345"/>
      <c s="299"/>
      <c s="117"/>
      <c s="345"/>
      <c s="299"/>
      <c s="299"/>
      <c s="299"/>
      <c s="299"/>
      <c s="117"/>
      <c s="345"/>
      <c s="117"/>
      <c s="345"/>
      <c s="117"/>
    </row>
    <row r="105" ht="30" customHeight="1">
      <c r="A105" s="234">
        <v>14</v>
      </c>
      <c s="324" t="s">
        <v>105</v>
      </c>
      <c s="344" t="s">
        <v>106</v>
      </c>
      <c s="296"/>
      <c s="305"/>
      <c s="344" t="s">
        <v>107</v>
      </c>
      <c s="296"/>
      <c s="296"/>
      <c s="296"/>
      <c s="296"/>
      <c s="305"/>
      <c s="344" t="s">
        <v>108</v>
      </c>
      <c s="305"/>
      <c s="344"/>
      <c s="305"/>
    </row>
    <row r="106" hidden="1" ht="30" customHeight="1">
      <c r="A106" s="109"/>
      <c s="109"/>
      <c s="345"/>
      <c s="299"/>
      <c s="117"/>
      <c s="345"/>
      <c s="299"/>
      <c s="299"/>
      <c s="299"/>
      <c s="299"/>
      <c s="117"/>
      <c s="345"/>
      <c s="117"/>
      <c s="345"/>
      <c s="117"/>
    </row>
    <row r="107" ht="30" customHeight="1">
      <c r="A107" s="228">
        <v>15</v>
      </c>
      <c s="124" t="s">
        <v>109</v>
      </c>
      <c s="184"/>
      <c s="124" t="s">
        <v>110</v>
      </c>
      <c s="221"/>
      <c s="184"/>
      <c s="124" t="s">
        <v>111</v>
      </c>
      <c s="221"/>
      <c s="184"/>
      <c s="124" t="str">
        <f>IFERROR(MID('样品池准确度与重复性校验'!A1,SEARCH("样品池 1 (%) =",'样品池准确度与重复性校验'!A1)+LEN("样品池 1 (%) ="),SEARCH(CHAR(10),'样品池准确度与重复性校验'!A1,SEARCH("样品池 1 (%) =",'样品池准确度与重复性校验'!A1))-SEARCH("样品池 1 (%) =",'样品池准确度与重复性校验'!A1)-LEN("样品池 1 (%) =")),"")</f>
        <v/>
      </c>
      <c s="184"/>
      <c s="323" t="s">
        <v>44</v>
      </c>
      <c s="124" t="str">
        <f>IFERROR(MID('样品池准确度与重复性校验'!A1,SEARCH("最大值与最小值差值为：",'样品池准确度与重复性校验'!A1)+LEN("最大值与最小值差值为："),FIND(CHAR(10),'样品池准确度与重复性校验'!A1,SEARCH("最大值与最小值差值为：",'样品池准确度与重复性校验'!A1))-SEARCH("最大值与最小值差值为：",'样品池准确度与重复性校验'!A1)-LEN("最大值与最小值差值为：")),"")</f>
        <v/>
      </c>
      <c s="221"/>
      <c s="184"/>
    </row>
    <row r="108" ht="77.25" customHeight="1">
      <c r="A108" s="140">
        <v>16</v>
      </c>
      <c s="325" t="s">
        <v>112</v>
      </c>
      <c s="372" t="s">
        <v>113</v>
      </c>
      <c s="118"/>
      <c s="118"/>
      <c s="118"/>
      <c s="118"/>
      <c s="118"/>
      <c s="118"/>
      <c s="118"/>
      <c s="118"/>
      <c s="118"/>
      <c s="371"/>
      <c s="364" t="s">
        <v>114</v>
      </c>
      <c s="360"/>
    </row>
    <row r="109" ht="30" customHeight="1">
      <c r="A109" s="313"/>
      <c s="388"/>
      <c s="142"/>
      <c s="301"/>
      <c s="301"/>
      <c s="301"/>
      <c s="301"/>
      <c s="301"/>
      <c s="301"/>
      <c s="301"/>
      <c s="301"/>
      <c s="301"/>
      <c s="243"/>
      <c s="237"/>
      <c s="278"/>
    </row>
    <row r="110" ht="27.75" customHeight="1">
      <c r="A110" s="124" t="s">
        <v>115</v>
      </c>
      <c s="184"/>
      <c s="124" t="s">
        <v>116</v>
      </c>
      <c s="221"/>
      <c s="221"/>
      <c s="221"/>
      <c s="221"/>
      <c s="221"/>
      <c s="221"/>
      <c s="221"/>
      <c s="221"/>
      <c s="221"/>
      <c s="221"/>
      <c s="221"/>
      <c s="184"/>
    </row>
    <row r="111" ht="14.25" customHeight="1">
      <c r="A111" s="377" t="s">
        <v>117</v>
      </c>
      <c s="375"/>
      <c s="293" t="s">
        <v>118</v>
      </c>
      <c s="244"/>
      <c s="244"/>
      <c s="244"/>
      <c s="244"/>
      <c s="244"/>
      <c s="244"/>
      <c s="244"/>
      <c s="244"/>
      <c s="244"/>
      <c s="244"/>
      <c s="244"/>
      <c s="366"/>
    </row>
    <row r="112" ht="14.25" customHeight="1">
      <c r="A112" s="352"/>
      <c s="350"/>
      <c s="110"/>
      <c s="303"/>
      <c s="303"/>
      <c s="303"/>
      <c s="303"/>
      <c s="303"/>
      <c s="303"/>
      <c s="303"/>
      <c s="303"/>
      <c s="303"/>
      <c s="303"/>
      <c s="303"/>
      <c s="249"/>
    </row>
    <row r="113" ht="27" customHeight="1">
      <c r="A113" s="376"/>
      <c s="374"/>
      <c s="201"/>
      <c s="304"/>
      <c s="304"/>
      <c s="304"/>
      <c s="304"/>
      <c s="304"/>
      <c s="304"/>
      <c s="304"/>
      <c s="304"/>
      <c s="304"/>
      <c s="304"/>
      <c s="304"/>
      <c s="322"/>
    </row>
  </sheetData>
  <mergeCells>
    <mergeCell ref="D89:E90"/>
    <mergeCell ref="C89:C98"/>
    <mergeCell ref="D85:D86"/>
    <mergeCell ref="C101:E101"/>
    <mergeCell ref="E83:G84"/>
    <mergeCell ref="E81:G82"/>
    <mergeCell ref="E85:G86"/>
    <mergeCell ref="C87:G88"/>
    <mergeCell ref="C85:C86"/>
    <mergeCell ref="C72:G73"/>
    <mergeCell ref="E70:G71"/>
    <mergeCell ref="E79:G80"/>
    <mergeCell ref="E78:G78"/>
    <mergeCell ref="E77:G77"/>
    <mergeCell ref="E76:G76"/>
    <mergeCell ref="C74:G75"/>
    <mergeCell ref="C66:D67"/>
    <mergeCell ref="E66:G67"/>
    <mergeCell ref="D68:D69"/>
    <mergeCell ref="E68:G69"/>
    <mergeCell ref="E65:G65"/>
    <mergeCell ref="E60:G62"/>
    <mergeCell ref="E63:G63"/>
    <mergeCell ref="E64:G64"/>
    <mergeCell ref="H65:I65"/>
    <mergeCell ref="H66:I67"/>
    <mergeCell ref="H68:I71"/>
    <mergeCell ref="H64:I64"/>
    <mergeCell ref="H63:I63"/>
    <mergeCell ref="H62:I62"/>
    <mergeCell ref="B72:B73"/>
    <mergeCell ref="B74:B75"/>
    <mergeCell ref="D70:D71"/>
    <mergeCell ref="C70:C71"/>
    <mergeCell ref="A66:A71"/>
    <mergeCell ref="B66:B71"/>
    <mergeCell ref="C68:C69"/>
    <mergeCell ref="C57:D65"/>
    <mergeCell ref="B57:B65"/>
    <mergeCell ref="A57:A65"/>
    <mergeCell ref="B76:B78"/>
    <mergeCell ref="B79:B80"/>
    <mergeCell ref="B81:B82"/>
    <mergeCell ref="B85:B86"/>
    <mergeCell ref="C81:C82"/>
    <mergeCell ref="D81:D82"/>
    <mergeCell ref="C76:D78"/>
    <mergeCell ref="D79:D80"/>
    <mergeCell ref="C79:C80"/>
    <mergeCell ref="B83:B84"/>
    <mergeCell ref="C83:C84"/>
    <mergeCell ref="D83:D84"/>
    <mergeCell ref="H79:I80"/>
    <mergeCell ref="H81:I82"/>
    <mergeCell ref="H85:I86"/>
    <mergeCell ref="H83:I84"/>
    <mergeCell ref="A72:A73"/>
    <mergeCell ref="A74:A75"/>
    <mergeCell ref="A76:A78"/>
    <mergeCell ref="A79:A86"/>
    <mergeCell ref="B89:B98"/>
    <mergeCell ref="B87:B88"/>
    <mergeCell ref="A89:A98"/>
    <mergeCell ref="A87:A88"/>
    <mergeCell ref="M76:O78"/>
    <mergeCell ref="M74:O75"/>
    <mergeCell ref="M72:O73"/>
    <mergeCell ref="M70:O71"/>
    <mergeCell ref="M68:O69"/>
    <mergeCell ref="M66:O67"/>
    <mergeCell ref="N65:O65"/>
    <mergeCell ref="N64:O64"/>
    <mergeCell ref="N63:O63"/>
    <mergeCell ref="N60:O60"/>
    <mergeCell ref="N61:O61"/>
    <mergeCell ref="N62:O62"/>
    <mergeCell ref="J66:J67"/>
    <mergeCell ref="K66:K67"/>
    <mergeCell ref="L66:L67"/>
    <mergeCell ref="J68:J69"/>
    <mergeCell ref="K68:K69"/>
    <mergeCell ref="L68:L69"/>
    <mergeCell ref="J70:J71"/>
    <mergeCell ref="K70:K71"/>
    <mergeCell ref="L70:L71"/>
    <mergeCell ref="H76:L76"/>
    <mergeCell ref="H74:L75"/>
    <mergeCell ref="H72:L73"/>
    <mergeCell ref="J62:K62"/>
    <mergeCell ref="J65:K65"/>
    <mergeCell ref="J64:K64"/>
    <mergeCell ref="J63:K63"/>
    <mergeCell ref="L65:M65"/>
    <mergeCell ref="L64:M64"/>
    <mergeCell ref="L63:M63"/>
    <mergeCell ref="L62:M62"/>
    <mergeCell ref="L61:M61"/>
    <mergeCell ref="L60:M60"/>
    <mergeCell ref="L59:M59"/>
    <mergeCell ref="H57:O57"/>
    <mergeCell ref="H58:I58"/>
    <mergeCell ref="N58:O58"/>
    <mergeCell ref="N59:O59"/>
    <mergeCell ref="H59:I59"/>
    <mergeCell ref="L58:M58"/>
    <mergeCell ref="N83:O84"/>
    <mergeCell ref="N81:O82"/>
    <mergeCell ref="N79:O80"/>
    <mergeCell ref="N85:O86"/>
    <mergeCell ref="M85:M86"/>
    <mergeCell ref="K85:L86"/>
    <mergeCell ref="L89:L90"/>
    <mergeCell ref="N89:O90"/>
    <mergeCell ref="M89:M90"/>
    <mergeCell ref="M87:O88"/>
    <mergeCell ref="J85:J86"/>
    <mergeCell ref="J83:J84"/>
    <mergeCell ref="K83:L84"/>
    <mergeCell ref="J81:J82"/>
    <mergeCell ref="K81:L82"/>
    <mergeCell ref="K79:L80"/>
    <mergeCell ref="M79:M80"/>
    <mergeCell ref="M81:M82"/>
    <mergeCell ref="M83:M84"/>
    <mergeCell ref="H78:L78"/>
    <mergeCell ref="H77:L77"/>
    <mergeCell ref="J79:J80"/>
    <mergeCell ref="C99:E100"/>
    <mergeCell ref="F101:K102"/>
    <mergeCell ref="C102:E102"/>
    <mergeCell ref="F99:K100"/>
    <mergeCell ref="B99:B100"/>
    <mergeCell ref="B101:B102"/>
    <mergeCell ref="A99:A100"/>
    <mergeCell ref="D91:E98"/>
    <mergeCell ref="F97:K98"/>
    <mergeCell ref="H87:L88"/>
    <mergeCell ref="F89:K90"/>
    <mergeCell ref="F91:K92"/>
    <mergeCell ref="F95:K96"/>
    <mergeCell ref="F93:K94"/>
    <mergeCell ref="G107:I107"/>
    <mergeCell ref="F105:K106"/>
    <mergeCell ref="F103:K104"/>
    <mergeCell ref="B103:B104"/>
    <mergeCell ref="C103:E104"/>
    <mergeCell ref="C105:E106"/>
    <mergeCell ref="B105:B106"/>
    <mergeCell ref="A108:A109"/>
    <mergeCell ref="A105:A106"/>
    <mergeCell ref="A103:A104"/>
    <mergeCell ref="A101:A102"/>
    <mergeCell ref="D107:F107"/>
    <mergeCell ref="B107:C107"/>
    <mergeCell ref="A110:B110"/>
    <mergeCell ref="N108:O109"/>
    <mergeCell ref="C108:M109"/>
    <mergeCell ref="C110:O110"/>
    <mergeCell ref="B108:B109"/>
    <mergeCell ref="A111:B113"/>
    <mergeCell ref="C111:O113"/>
    <mergeCell ref="L91:L92"/>
    <mergeCell ref="M91:M92"/>
    <mergeCell ref="N91:O92"/>
    <mergeCell ref="L93:L94"/>
    <mergeCell ref="M93:M94"/>
    <mergeCell ref="N93:O94"/>
    <mergeCell ref="N95:O96"/>
    <mergeCell ref="L95:L96"/>
    <mergeCell ref="M95:M96"/>
    <mergeCell ref="L97:L98"/>
    <mergeCell ref="M97:M98"/>
    <mergeCell ref="N97:O98"/>
    <mergeCell ref="M107:O107"/>
    <mergeCell ref="N101:O101"/>
    <mergeCell ref="N102:O102"/>
    <mergeCell ref="N103:O104"/>
    <mergeCell ref="N105:O106"/>
    <mergeCell ref="L102:M102"/>
    <mergeCell ref="L101:M101"/>
    <mergeCell ref="L99:O100"/>
    <mergeCell ref="J107:K107"/>
    <mergeCell ref="L105:M106"/>
    <mergeCell ref="L103:M104"/>
    <mergeCell ref="E12:G14"/>
    <mergeCell ref="E11:G11"/>
    <mergeCell ref="E10:G10"/>
    <mergeCell ref="E9:G9"/>
    <mergeCell ref="E17:G17"/>
    <mergeCell ref="E16:G16"/>
    <mergeCell ref="E15:G15"/>
    <mergeCell ref="E18:G18"/>
    <mergeCell ref="E19:G20"/>
    <mergeCell ref="E21:G26"/>
    <mergeCell ref="E27:G28"/>
    <mergeCell ref="E35:F35"/>
    <mergeCell ref="E33:G34"/>
    <mergeCell ref="E31:G32"/>
    <mergeCell ref="E29:G30"/>
    <mergeCell ref="C50:D56"/>
    <mergeCell ref="C33:D49"/>
    <mergeCell ref="C18:D32"/>
    <mergeCell ref="A9:A32"/>
    <mergeCell ref="A33:A49"/>
    <mergeCell ref="A50:A56"/>
    <mergeCell ref="B50:B56"/>
    <mergeCell ref="B33:B49"/>
    <mergeCell ref="B18:B32"/>
    <mergeCell ref="B8:D8"/>
    <mergeCell ref="C9:D17"/>
    <mergeCell ref="B9:B17"/>
    <mergeCell ref="A6:B6"/>
    <mergeCell ref="A1:B3"/>
    <mergeCell ref="A4:C4"/>
    <mergeCell ref="A5:C5"/>
    <mergeCell ref="A7:B7"/>
    <mergeCell ref="H23:I24"/>
    <mergeCell ref="J23:J24"/>
    <mergeCell ref="K23:K24"/>
    <mergeCell ref="H21:I22"/>
    <mergeCell ref="J21:J22"/>
    <mergeCell ref="K21:K22"/>
    <mergeCell ref="N23:O24"/>
    <mergeCell ref="M23:M24"/>
    <mergeCell ref="L23:L24"/>
    <mergeCell ref="N21:O22"/>
    <mergeCell ref="M21:M22"/>
    <mergeCell ref="L21:L22"/>
    <mergeCell ref="K13:L13"/>
    <mergeCell ref="K17:L17"/>
    <mergeCell ref="K16:L16"/>
    <mergeCell ref="K15:L15"/>
    <mergeCell ref="K14:L14"/>
    <mergeCell ref="M15:O15"/>
    <mergeCell ref="M16:O16"/>
    <mergeCell ref="M17:O17"/>
    <mergeCell ref="M19:M20"/>
    <mergeCell ref="L19:L20"/>
    <mergeCell ref="H18:O18"/>
    <mergeCell ref="N19:O20"/>
    <mergeCell ref="H19:I20"/>
    <mergeCell ref="J19:J20"/>
    <mergeCell ref="K19:K20"/>
    <mergeCell ref="H14:J14"/>
    <mergeCell ref="H15:J15"/>
    <mergeCell ref="H16:J16"/>
    <mergeCell ref="H17:J17"/>
    <mergeCell ref="H12:J12"/>
    <mergeCell ref="H11:J11"/>
    <mergeCell ref="H10:J10"/>
    <mergeCell ref="H13:J13"/>
    <mergeCell ref="K7:L7"/>
    <mergeCell ref="K12:L12"/>
    <mergeCell ref="K11:L11"/>
    <mergeCell ref="M11:O11"/>
    <mergeCell ref="K10:L10"/>
    <mergeCell ref="M10:O10"/>
    <mergeCell ref="M12:O12"/>
    <mergeCell ref="M13:O13"/>
    <mergeCell ref="M14:O14"/>
    <mergeCell ref="N4:O4"/>
    <mergeCell ref="N6:O6"/>
    <mergeCell ref="N5:O5"/>
    <mergeCell ref="L4:M4"/>
    <mergeCell ref="L6:M6"/>
    <mergeCell ref="L5:M5"/>
    <mergeCell ref="M7:O7"/>
    <mergeCell ref="E7:G7"/>
    <mergeCell ref="E6:G6"/>
    <mergeCell ref="E8:O8"/>
    <mergeCell ref="H9:O9"/>
    <mergeCell ref="H7:J7"/>
    <mergeCell ref="H6:K6"/>
    <mergeCell ref="H5:K5"/>
    <mergeCell ref="H4:K4"/>
    <mergeCell ref="L1:M1"/>
    <mergeCell ref="L2:M2"/>
    <mergeCell ref="L3:M3"/>
    <mergeCell ref="N3:O3"/>
    <mergeCell ref="N2:O2"/>
    <mergeCell ref="N1:O1"/>
    <mergeCell ref="C1:K1"/>
    <mergeCell ref="C2:K3"/>
    <mergeCell ref="C7:D7"/>
    <mergeCell ref="C6:D6"/>
    <mergeCell ref="D5:G5"/>
    <mergeCell ref="D4:G4"/>
    <mergeCell ref="N35:O35"/>
    <mergeCell ref="N36:O36"/>
    <mergeCell ref="L36:M36"/>
    <mergeCell ref="H33:O34"/>
    <mergeCell ref="L35:M35"/>
    <mergeCell ref="K27:K28"/>
    <mergeCell ref="J27:J28"/>
    <mergeCell ref="H27:I28"/>
    <mergeCell ref="H31:I32"/>
    <mergeCell ref="H29:I30"/>
    <mergeCell ref="N29:O30"/>
    <mergeCell ref="M29:M30"/>
    <mergeCell ref="L29:L30"/>
    <mergeCell ref="K29:K30"/>
    <mergeCell ref="J29:J30"/>
    <mergeCell ref="N31:O32"/>
    <mergeCell ref="M31:M32"/>
    <mergeCell ref="L31:L32"/>
    <mergeCell ref="K31:K32"/>
    <mergeCell ref="J31:J32"/>
    <mergeCell ref="L27:L28"/>
    <mergeCell ref="M27:M28"/>
    <mergeCell ref="N27:O28"/>
    <mergeCell ref="N25:O26"/>
    <mergeCell ref="M25:M26"/>
    <mergeCell ref="L25:L26"/>
    <mergeCell ref="H25:I26"/>
    <mergeCell ref="J25:J26"/>
    <mergeCell ref="K25:K26"/>
    <mergeCell ref="I40:K40"/>
    <mergeCell ref="I41:K41"/>
    <mergeCell ref="I42:K42"/>
    <mergeCell ref="I44:K44"/>
    <mergeCell ref="I47:K47"/>
    <mergeCell ref="I45:K45"/>
    <mergeCell ref="I46:K46"/>
    <mergeCell ref="I48:K48"/>
    <mergeCell ref="I43:K43"/>
    <mergeCell ref="I39:K39"/>
    <mergeCell ref="I35:K35"/>
    <mergeCell ref="I36:K36"/>
    <mergeCell ref="I37:K37"/>
    <mergeCell ref="I38:K38"/>
    <mergeCell ref="E43:F49"/>
    <mergeCell ref="G43:H43"/>
    <mergeCell ref="G44:H46"/>
    <mergeCell ref="G48:H48"/>
    <mergeCell ref="G47:H47"/>
    <mergeCell ref="E36:F42"/>
    <mergeCell ref="G41:H41"/>
    <mergeCell ref="G36:H36"/>
    <mergeCell ref="G35:H35"/>
    <mergeCell ref="G37:H39"/>
    <mergeCell ref="G42:H42"/>
    <mergeCell ref="G40:H40"/>
    <mergeCell ref="E50:F56"/>
    <mergeCell ref="G56:H56"/>
    <mergeCell ref="G54:H54"/>
    <mergeCell ref="G49:H49"/>
    <mergeCell ref="G50:H50"/>
    <mergeCell ref="G51:H53"/>
    <mergeCell ref="G55:H55"/>
    <mergeCell ref="I49:K49"/>
    <mergeCell ref="I50:K50"/>
    <mergeCell ref="I51:K51"/>
    <mergeCell ref="I54:K54"/>
    <mergeCell ref="I53:K53"/>
    <mergeCell ref="I52:K52"/>
    <mergeCell ref="I55:K55"/>
    <mergeCell ref="J60:K60"/>
    <mergeCell ref="J59:K59"/>
    <mergeCell ref="J58:K58"/>
    <mergeCell ref="I56:K56"/>
    <mergeCell ref="H61:I61"/>
    <mergeCell ref="H60:I60"/>
    <mergeCell ref="J61:K61"/>
    <mergeCell ref="E57:G57"/>
    <mergeCell ref="E58:G59"/>
    <mergeCell ref="L43:M43"/>
    <mergeCell ref="L44:M44"/>
    <mergeCell ref="L45:M45"/>
    <mergeCell ref="L40:M40"/>
    <mergeCell ref="L41:M41"/>
    <mergeCell ref="L42:M42"/>
    <mergeCell ref="L37:M37"/>
    <mergeCell ref="L38:M38"/>
    <mergeCell ref="L39:M39"/>
    <mergeCell ref="N41:O41"/>
    <mergeCell ref="N40:O40"/>
    <mergeCell ref="N37:O37"/>
    <mergeCell ref="N38:O38"/>
    <mergeCell ref="N39:O39"/>
    <mergeCell ref="N42:O42"/>
    <mergeCell ref="N45:O45"/>
    <mergeCell ref="N43:O43"/>
    <mergeCell ref="N44:O44"/>
    <mergeCell ref="N46:O46"/>
    <mergeCell ref="N51:O51"/>
    <mergeCell ref="N50:O50"/>
    <mergeCell ref="N47:O47"/>
    <mergeCell ref="N48:O48"/>
    <mergeCell ref="N49:O49"/>
    <mergeCell ref="N52:O52"/>
    <mergeCell ref="N53:O53"/>
    <mergeCell ref="N56:O56"/>
    <mergeCell ref="N55:O55"/>
    <mergeCell ref="N54:O54"/>
    <mergeCell ref="L46:M46"/>
    <mergeCell ref="L47:M47"/>
    <mergeCell ref="L48:M48"/>
    <mergeCell ref="L52:M52"/>
    <mergeCell ref="L51:M51"/>
    <mergeCell ref="L50:M50"/>
    <mergeCell ref="L49:M49"/>
    <mergeCell ref="L53:M53"/>
    <mergeCell ref="L56:M56"/>
    <mergeCell ref="L55:M55"/>
    <mergeCell ref="L54:M54"/>
  </mergeCells>
  <printOptions horizontalCentered="1"/>
  <pageMargins left="0.511811023622047" right="0.511811023622047" top="0.748031496062992" bottom="0.748031496062992" header="0.196850393700787" footer="0.196850393700787"/>
  <pageSetup paperSize="9" firstPageNumber="4294963191" copies="0" scale="95"/>
  <headerFooter/>
  <drawing r:id="rId1"/>
  <extLst/>
</worksheet>
</file>

<file path=xl/worksheets/sheet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R11"/>
  <sheetViews>
    <sheetView topLeftCell="A1" workbookViewId="0" showGridLines="0" showRowColHeaders="0">
      <pane topLeftCell="A1"/>
      <selection activeCellId="0" activeCell="A1" sqref="A1"/>
    </sheetView>
  </sheetViews>
  <sheetFormatPr defaultColWidth="8.88" defaultRowHeight="13.5" customHeight="1"/>
  <cols>
    <col min="1" max="1" width="18.38" customWidth="1" style="17"/>
    <col min="2" max="2" width="19.38" customWidth="1" style="17"/>
    <col min="3" max="3" width="21.5" customWidth="1" style="17"/>
    <col min="4" max="4" width="7.88" customWidth="1" style="17"/>
    <col min="5" max="7" width="14.13" customWidth="1" style="17"/>
    <col min="8" max="12" width="11" customWidth="1" style="17"/>
    <col min="13" max="13" width="16.38" customWidth="1" style="17"/>
    <col min="14" max="14" width="11" customWidth="1" style="17"/>
    <col min="15" max="15" width="20.13" customWidth="1" style="17"/>
    <col min="16" max="16" width="16.38" customWidth="1" style="19"/>
    <col min="17" max="16384" width="8.88" style="17"/>
  </cols>
  <sheetData>
    <row r="1" ht="32.25" customHeight="1" customFormat="1" s="15">
      <c r="A1" s="361" t="s">
        <v>119</v>
      </c>
      <c s="361" t="s">
        <v>120</v>
      </c>
      <c s="361" t="s">
        <v>121</v>
      </c>
      <c s="361"/>
      <c s="367" t="s">
        <v>122</v>
      </c>
      <c s="367" t="s">
        <v>123</v>
      </c>
      <c s="367" t="s">
        <v>123</v>
      </c>
      <c s="367" t="s">
        <v>124</v>
      </c>
      <c s="367" t="s">
        <v>125</v>
      </c>
      <c s="367" t="s">
        <v>125</v>
      </c>
      <c s="367" t="s">
        <v>126</v>
      </c>
      <c s="367" t="s">
        <v>126</v>
      </c>
      <c s="367" t="s">
        <v>127</v>
      </c>
      <c s="367" t="s">
        <v>128</v>
      </c>
      <c s="367" t="s">
        <v>129</v>
      </c>
      <c s="291" t="s">
        <v>130</v>
      </c>
      <c s="367" t="s">
        <v>131</v>
      </c>
      <c s="367" t="s">
        <v>132</v>
      </c>
    </row>
    <row r="2" customHeight="1">
      <c r="A2" s="338" t="s">
        <v>25</v>
      </c>
      <c s="91">
        <v>656.1</v>
      </c>
      <c s="91">
        <v>656.1</v>
      </c>
      <c s="338"/>
      <c s="338" t="s">
        <v>133</v>
      </c>
      <c s="338" t="s">
        <v>134</v>
      </c>
      <c s="91">
        <v>0</v>
      </c>
      <c s="338"/>
      <c s="338" t="s">
        <v>135</v>
      </c>
      <c s="91">
        <v>0</v>
      </c>
      <c s="338" t="s">
        <v>136</v>
      </c>
      <c s="91">
        <v>0</v>
      </c>
      <c s="338"/>
      <c s="91">
        <v>1</v>
      </c>
      <c r="P2" s="251">
        <v>0.2</v>
      </c>
      <c s="251"/>
      <c s="338"/>
    </row>
    <row r="3" customHeight="1">
      <c r="A3" s="338" t="s">
        <v>137</v>
      </c>
      <c s="91">
        <v>253.7</v>
      </c>
      <c s="91">
        <v>253.7</v>
      </c>
      <c s="338"/>
      <c s="338" t="s">
        <v>138</v>
      </c>
      <c s="338" t="s">
        <v>25</v>
      </c>
      <c s="91">
        <v>1</v>
      </c>
      <c s="338" t="s">
        <v>139</v>
      </c>
      <c s="338" t="s">
        <v>140</v>
      </c>
      <c s="91">
        <v>1</v>
      </c>
      <c s="338" t="s">
        <v>141</v>
      </c>
      <c s="91">
        <v>1</v>
      </c>
      <c s="213">
        <v>0.02</v>
      </c>
      <c s="91">
        <v>2</v>
      </c>
      <c s="91">
        <v>1</v>
      </c>
      <c s="251">
        <v>0.5</v>
      </c>
      <c s="91">
        <v>1</v>
      </c>
      <c s="91">
        <v>0.5</v>
      </c>
    </row>
    <row r="4" customHeight="1">
      <c r="A4" s="338" t="s">
        <v>142</v>
      </c>
      <c s="338" t="s">
        <v>143</v>
      </c>
      <c s="338" t="s">
        <v>143</v>
      </c>
      <c s="338"/>
      <c s="338"/>
      <c s="338" t="s">
        <v>144</v>
      </c>
      <c s="91">
        <v>2</v>
      </c>
      <c s="338"/>
      <c s="338" t="s">
        <v>145</v>
      </c>
      <c s="91">
        <v>2</v>
      </c>
      <c s="338" t="s">
        <v>146</v>
      </c>
      <c s="91">
        <v>2</v>
      </c>
      <c s="91">
        <v>0.1</v>
      </c>
      <c s="91">
        <v>3</v>
      </c>
      <c s="91">
        <v>2</v>
      </c>
      <c s="251" t="s">
        <v>147</v>
      </c>
      <c s="91">
        <v>2</v>
      </c>
      <c s="91">
        <v>1</v>
      </c>
    </row>
    <row r="5" customHeight="1">
      <c r="A5" s="338" t="s">
        <v>24</v>
      </c>
      <c s="338" t="s">
        <v>148</v>
      </c>
      <c s="338" t="s">
        <v>148</v>
      </c>
      <c s="338"/>
      <c s="338"/>
      <c s="338"/>
      <c s="338"/>
      <c s="338"/>
      <c s="338" t="s">
        <v>149</v>
      </c>
      <c s="91">
        <v>3</v>
      </c>
      <c s="338" t="s">
        <v>150</v>
      </c>
      <c s="91">
        <v>3</v>
      </c>
      <c s="91">
        <v>0.2</v>
      </c>
      <c s="91">
        <v>4</v>
      </c>
      <c s="338"/>
      <c s="251" t="s">
        <v>151</v>
      </c>
      <c s="91">
        <v>3</v>
      </c>
      <c s="91">
        <v>2</v>
      </c>
    </row>
    <row r="6" customHeight="1">
      <c r="A6" s="338" t="s">
        <v>39</v>
      </c>
      <c s="338" t="s">
        <v>152</v>
      </c>
      <c s="338"/>
      <c s="338"/>
      <c s="338"/>
      <c s="338"/>
      <c s="338"/>
      <c s="338"/>
      <c s="338" t="s">
        <v>153</v>
      </c>
      <c s="91">
        <v>4</v>
      </c>
      <c s="338" t="s">
        <v>154</v>
      </c>
      <c s="91">
        <v>4</v>
      </c>
      <c s="91">
        <v>0.5</v>
      </c>
      <c s="91">
        <v>5</v>
      </c>
      <c s="338"/>
      <c s="251" t="s">
        <v>155</v>
      </c>
      <c s="91">
        <v>4</v>
      </c>
      <c s="338"/>
    </row>
    <row r="7" customHeight="1">
      <c r="A7" s="338" t="s">
        <v>45</v>
      </c>
      <c s="338" t="s">
        <v>156</v>
      </c>
      <c s="338"/>
      <c s="338"/>
      <c s="338"/>
      <c s="338"/>
      <c s="338"/>
      <c s="338"/>
      <c s="338"/>
      <c s="338"/>
      <c s="338" t="s">
        <v>157</v>
      </c>
      <c s="338"/>
      <c s="91">
        <v>1</v>
      </c>
      <c s="338"/>
      <c s="338"/>
      <c s="251"/>
      <c s="91">
        <v>5</v>
      </c>
      <c s="338"/>
    </row>
    <row r="8" customHeight="1">
      <c r="A8" s="338" t="s">
        <v>47</v>
      </c>
      <c s="338" t="s">
        <v>158</v>
      </c>
      <c s="338"/>
      <c s="338"/>
      <c s="338"/>
      <c s="338"/>
      <c s="338"/>
      <c s="338"/>
      <c s="338"/>
      <c s="338"/>
      <c s="338"/>
      <c s="338"/>
      <c s="91">
        <v>2</v>
      </c>
      <c s="338"/>
      <c s="338"/>
      <c s="251"/>
      <c s="338"/>
      <c s="338"/>
    </row>
    <row r="9" customHeight="1">
      <c r="A9" s="339" t="s">
        <v>159</v>
      </c>
      <c s="273">
        <v>350313257235</v>
      </c>
      <c s="338" t="s">
        <v>160</v>
      </c>
      <c s="273"/>
      <c s="338"/>
      <c s="338"/>
      <c s="338"/>
      <c s="338"/>
      <c s="338"/>
      <c s="338"/>
      <c s="338"/>
      <c s="338"/>
      <c s="91">
        <v>5</v>
      </c>
      <c s="338"/>
      <c s="338"/>
      <c s="251"/>
      <c s="338"/>
      <c s="338"/>
    </row>
    <row r="10" customHeight="1">
      <c r="A10" s="338" t="s">
        <v>161</v>
      </c>
      <c s="91">
        <v>220</v>
      </c>
      <c s="338"/>
      <c s="338"/>
      <c s="338"/>
      <c s="338"/>
      <c s="338"/>
      <c s="338"/>
      <c s="338"/>
      <c s="338"/>
      <c s="338"/>
      <c s="338"/>
      <c s="338"/>
      <c s="338"/>
      <c s="338"/>
      <c s="251"/>
      <c s="338"/>
      <c s="338"/>
    </row>
    <row r="11" customHeight="1">
      <c r="A11" s="338" t="s">
        <v>162</v>
      </c>
      <c s="273">
        <v>340360</v>
      </c>
      <c s="338"/>
      <c s="338"/>
      <c s="338"/>
      <c s="338"/>
      <c s="338"/>
      <c s="338"/>
      <c s="338"/>
      <c s="338"/>
      <c s="338"/>
      <c s="338"/>
      <c s="338"/>
      <c s="338"/>
      <c s="338"/>
      <c s="251"/>
      <c s="338"/>
      <c s="338"/>
    </row>
  </sheetData>
  <printOptions/>
  <pageMargins left="0.7" right="0.7" top="0.75" bottom="0.75" header="0.3" footer="0.3"/>
  <pageSetup firstPageNumber="4294963191" copies="0"/>
  <headerFooter/>
  <extLst/>
</worksheet>
</file>

<file path=xl/worksheets/sheet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P38"/>
  <sheetViews>
    <sheetView workbookViewId="0" zoomScale="85" showGridLines="0" showRowColHeaders="0" zoomScaleNormal="85">
      <pane topLeftCell="A2" activePane="bottomLeft" state="frozen" ySplit="1"/>
      <selection activeCellId="0" pane="bottomLeft" activeCell="P80" sqref="P80"/>
    </sheetView>
  </sheetViews>
  <sheetFormatPr defaultColWidth="9" defaultRowHeight="13.5" customHeight="1"/>
  <cols>
    <col min="1" max="1" width="10" customWidth="1" style="4"/>
    <col min="2" max="2" width="13.63" customWidth="1" style="4"/>
    <col min="3" max="3" width="7.88" customWidth="1" style="4"/>
    <col min="4" max="4" width="15.38" customWidth="1" style="18"/>
    <col min="5" max="8" width="9" style="9"/>
    <col min="9" max="9" width="17.25" customWidth="1" style="9"/>
    <col min="10" max="10" width="9" style="9"/>
    <col min="11" max="11" width="10" customWidth="1" style="9"/>
    <col min="12" max="13" width="9" style="9"/>
    <col min="14" max="14" width="10" customWidth="1" style="4"/>
    <col min="15" max="15" width="5.75" customWidth="1" style="9"/>
    <col min="16" max="16" width="36.63" customWidth="1" style="4"/>
    <col min="17" max="17" width="11.63" customWidth="1" style="9"/>
    <col min="18" max="16384" width="9" style="9"/>
  </cols>
  <sheetData>
    <row r="1" customHeight="1">
      <c r="A1" s="368" t="s">
        <v>163</v>
      </c>
      <c s="368" t="s">
        <v>164</v>
      </c>
      <c s="368" t="s">
        <v>121</v>
      </c>
      <c s="340" t="s">
        <v>27</v>
      </c>
      <c s="340" t="s">
        <v>165</v>
      </c>
      <c s="340" t="s">
        <v>166</v>
      </c>
      <c s="340" t="s">
        <v>167</v>
      </c>
      <c s="365" t="s">
        <v>7</v>
      </c>
      <c s="68" t="s">
        <v>8</v>
      </c>
      <c s="365" t="s">
        <v>9</v>
      </c>
      <c s="365" t="s">
        <v>168</v>
      </c>
      <c s="365" t="s">
        <v>169</v>
      </c>
      <c s="365" t="s">
        <v>170</v>
      </c>
      <c s="368" t="s">
        <v>171</v>
      </c>
      <c s="340" t="s">
        <v>172</v>
      </c>
      <c s="368" t="s">
        <v>173</v>
      </c>
    </row>
    <row r="2" ht="27">
      <c r="A2" s="362">
        <v>1001</v>
      </c>
      <c s="363" t="str">
        <f ca="1" ref="B2:B37" t="shared" si="0">MID(_xlfn.SINGLE(CELL("filename")),FIND("[",_xlfn.SINGLE(CELL("filename")),1)+1,FIND(".",_xlfn.SINGLE(CELL("filename")),1)-FIND("[",_xlfn.SINGLE(CELL("filename")),1)-1)</f>
        <v>34U1602-01-0024_202508110540</v>
      </c>
      <c s="285"/>
      <c s="341" t="str">
        <f>'波长示值误差与重复性校验'!$C2&amp;";"&amp;'波长示值误差与重复性校验'!$D2&amp;";"&amp;'波长示值误差与重复性校验'!$E2</f>
        <v>656.08;656.08;656.08</v>
      </c>
      <c s="270">
        <f>'波长示值误差与重复性校验'!$F2</f>
        <v>656.08</v>
      </c>
      <c s="270">
        <f>'波长示值误差与重复性校验'!$G2</f>
        <v>-0.01999999999998181</v>
      </c>
      <c s="270">
        <f>'波长示值误差与重复性校验'!$H2</f>
        <v>0</v>
      </c>
      <c s="341">
        <f>Report!$F$5</f>
      </c>
      <c s="188">
        <f ca="1" ref="I2:I37" t="shared" si="1">NOW()</f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'波长示值误差与重复性校验'!$K2</f>
        <v>合格</v>
      </c>
      <c s="341"/>
      <c s="91">
        <v>1001</v>
      </c>
    </row>
    <row r="3" ht="27">
      <c r="A3" s="47">
        <v>1002</v>
      </c>
      <c s="363" t="str">
        <f ca="1" t="shared" si="0"/>
        <v>34U1602-01-0024_202508110540</v>
      </c>
      <c s="285"/>
      <c s="341" t="str">
        <f>'波长示值误差与重复性校验'!$C3&amp;";"&amp;'波长示值误差与重复性校验'!$D3&amp;";"&amp;'波长示值误差与重复性校验'!$E3</f>
        <v>;;</v>
      </c>
      <c s="341" t="str">
        <f>'波长示值误差与重复性校验'!$F3</f>
        <v/>
      </c>
      <c s="341" t="str">
        <f>'波长示值误差与重复性校验'!$G3</f>
        <v/>
      </c>
      <c s="270">
        <f>'波长示值误差与重复性校验'!$H3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'波长示值误差与重复性校验'!$K3</f>
        <v>未检测</v>
      </c>
      <c s="341"/>
      <c s="91">
        <v>1002</v>
      </c>
    </row>
    <row r="4" ht="27">
      <c r="A4" s="47">
        <v>1003</v>
      </c>
      <c s="363" t="str">
        <f ca="1" t="shared" si="0"/>
        <v>34U1602-01-0024_202508110540</v>
      </c>
      <c s="285"/>
      <c s="341" t="str">
        <f>'波长示值误差与重复性校验'!$C4&amp;";"&amp;'波长示值误差与重复性校验'!$D4&amp;";"&amp;'波长示值误差与重复性校验'!$E4</f>
        <v>;;</v>
      </c>
      <c s="341" t="str">
        <f>'波长示值误差与重复性校验'!$F4</f>
        <v/>
      </c>
      <c s="341" t="str">
        <f>'波长示值误差与重复性校验'!$G4</f>
        <v/>
      </c>
      <c s="270">
        <f>'波长示值误差与重复性校验'!$H4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'波长示值误差与重复性校验'!$K4</f>
        <v>未检测</v>
      </c>
      <c s="341"/>
      <c s="91">
        <v>1003</v>
      </c>
    </row>
    <row r="5" ht="27">
      <c r="A5" s="47">
        <v>1008</v>
      </c>
      <c s="363" t="str">
        <f ca="1" t="shared" si="0"/>
        <v>34U1602-01-0024_202508110540</v>
      </c>
      <c s="285"/>
      <c s="341" t="str">
        <f>'波长示值误差与重复性校验'!$C5&amp;";"&amp;'波长示值误差与重复性校验'!$D5&amp;";"&amp;'波长示值误差与重复性校验'!$E5</f>
        <v>;;</v>
      </c>
      <c s="341" t="str">
        <f>'波长示值误差与重复性校验'!$F5</f>
        <v/>
      </c>
      <c s="341" t="str">
        <f>'波长示值误差与重复性校验'!$G5</f>
        <v/>
      </c>
      <c s="270">
        <f>'波长示值误差与重复性校验'!$H5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'波长示值误差与重复性校验'!$K5</f>
        <v>未检测</v>
      </c>
      <c s="341"/>
      <c s="91">
        <v>1004</v>
      </c>
    </row>
    <row r="6" ht="27">
      <c r="A6" s="47">
        <v>1009</v>
      </c>
      <c s="363" t="str">
        <f ca="1" t="shared" si="0"/>
        <v>34U1602-01-0024_202508110540</v>
      </c>
      <c s="285"/>
      <c s="341" t="str">
        <f>'波长示值误差与重复性校验'!$C6&amp;";"&amp;'波长示值误差与重复性校验'!$D6&amp;";"&amp;'波长示值误差与重复性校验'!$E6</f>
        <v>;;</v>
      </c>
      <c s="341" t="str">
        <f>'波长示值误差与重复性校验'!$F6</f>
        <v/>
      </c>
      <c s="341" t="str">
        <f>'波长示值误差与重复性校验'!$G6</f>
        <v/>
      </c>
      <c s="270">
        <f>'波长示值误差与重复性校验'!$H6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'波长示值误差与重复性校验'!$K6</f>
        <v>未检测</v>
      </c>
      <c s="341"/>
      <c s="91">
        <v>1004</v>
      </c>
    </row>
    <row r="7" ht="27">
      <c r="A7" s="47">
        <v>1010</v>
      </c>
      <c s="363" t="str">
        <f ca="1" t="shared" si="0"/>
        <v>34U1602-01-0024_202508110540</v>
      </c>
      <c s="285"/>
      <c s="341" t="str">
        <f>'波长示值误差与重复性校验'!$C7&amp;";"&amp;'波长示值误差与重复性校验'!$D7&amp;";"&amp;'波长示值误差与重复性校验'!$E7</f>
        <v>;;</v>
      </c>
      <c s="341" t="str">
        <f>'波长示值误差与重复性校验'!$F7</f>
        <v/>
      </c>
      <c s="341" t="str">
        <f>'波长示值误差与重复性校验'!$G7</f>
        <v/>
      </c>
      <c s="270">
        <f>'波长示值误差与重复性校验'!$H7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'波长示值误差与重复性校验'!$K7</f>
        <v>未检测</v>
      </c>
      <c s="341"/>
      <c s="91">
        <v>1004</v>
      </c>
    </row>
    <row r="8" ht="27">
      <c r="A8" s="47">
        <v>1011</v>
      </c>
      <c s="363" t="str">
        <f ca="1" t="shared" si="0"/>
        <v>34U1602-01-0024_202508110540</v>
      </c>
      <c s="285"/>
      <c s="341" t="str">
        <f>'波长示值误差与重复性校验'!$C8&amp;";"&amp;'波长示值误差与重复性校验'!$D8&amp;";"&amp;'波长示值误差与重复性校验'!$E8</f>
        <v>;;</v>
      </c>
      <c s="341" t="str">
        <f>'波长示值误差与重复性校验'!$F8</f>
        <v/>
      </c>
      <c s="341" t="str">
        <f>'波长示值误差与重复性校验'!$G8</f>
        <v/>
      </c>
      <c s="270">
        <f>'波长示值误差与重复性校验'!$H8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'波长示值误差与重复性校验'!$K8</f>
        <v>未检测</v>
      </c>
      <c s="341"/>
      <c s="91">
        <v>1004</v>
      </c>
    </row>
    <row r="9" ht="27">
      <c r="A9" s="47">
        <v>1012</v>
      </c>
      <c s="363" t="str">
        <f ca="1" t="shared" si="0"/>
        <v>34U1602-01-0024_202508110540</v>
      </c>
      <c s="285"/>
      <c s="341" t="str">
        <f>'波长示值误差与重复性校验'!$C9&amp;";"&amp;'波长示值误差与重复性校验'!$D9&amp;";"&amp;'波长示值误差与重复性校验'!$E9</f>
        <v>;;</v>
      </c>
      <c s="341" t="str">
        <f>'波长示值误差与重复性校验'!$F9</f>
        <v/>
      </c>
      <c s="341" t="str">
        <f>'波长示值误差与重复性校验'!$G9</f>
        <v/>
      </c>
      <c s="270">
        <f>'波长示值误差与重复性校验'!$H9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'波长示值误差与重复性校验'!$K9</f>
        <v>未检测</v>
      </c>
      <c s="341"/>
      <c s="91">
        <v>1004</v>
      </c>
    </row>
    <row r="10" ht="27">
      <c r="A10" s="47">
        <v>1013</v>
      </c>
      <c s="363" t="str">
        <f ca="1" t="shared" si="0"/>
        <v>34U1602-01-0024_202508110540</v>
      </c>
      <c s="285"/>
      <c s="341" t="str">
        <f>'波长示值误差与重复性校验'!$C10&amp;";"&amp;'波长示值误差与重复性校验'!$D10&amp;";"&amp;'波长示值误差与重复性校验'!$E10</f>
        <v>;;</v>
      </c>
      <c s="341" t="str">
        <f>'波长示值误差与重复性校验'!$F10</f>
        <v/>
      </c>
      <c s="341" t="str">
        <f>'波长示值误差与重复性校验'!$G10</f>
        <v/>
      </c>
      <c s="270">
        <f>'波长示值误差与重复性校验'!$H10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'波长示值误差与重复性校验'!$K10</f>
        <v>未检测</v>
      </c>
      <c s="341"/>
      <c s="91">
        <v>1004</v>
      </c>
    </row>
    <row r="11" ht="27">
      <c r="A11" s="47">
        <v>2001</v>
      </c>
      <c s="363" t="str">
        <f ca="1" t="shared" si="0"/>
        <v>34U1602-01-0024_202508110540</v>
      </c>
      <c s="47">
        <f>'透射比示值误差与重复性校验'!$C2</f>
        <v>23.2</v>
      </c>
      <c s="341" t="str">
        <f>'透射比示值误差与重复性校验'!$D2&amp;";"&amp;'透射比示值误差与重复性校验'!$E2&amp;";"&amp;'透射比示值误差与重复性校验'!$F2</f>
        <v>;;</v>
      </c>
      <c s="341" t="str">
        <f>'透射比示值误差与重复性校验'!$G2</f>
        <v/>
      </c>
      <c s="341" t="str">
        <f>'透射比示值误差与重复性校验'!$H2</f>
        <v/>
      </c>
      <c s="270">
        <f>'透射比示值误差与重复性校验'!$I2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'透射比示值误差与重复性校验'!$L2</f>
        <v>未检测</v>
      </c>
      <c s="341"/>
      <c s="47">
        <v>2001</v>
      </c>
    </row>
    <row r="12" ht="27">
      <c r="A12" s="47">
        <v>2002</v>
      </c>
      <c s="363" t="str">
        <f ca="1" t="shared" si="0"/>
        <v>34U1602-01-0024_202508110540</v>
      </c>
      <c s="47">
        <f>'透射比示值误差与重复性校验'!$C3</f>
        <v>51.58</v>
      </c>
      <c s="341" t="str">
        <f>'透射比示值误差与重复性校验'!$D3&amp;";"&amp;'透射比示值误差与重复性校验'!$E3&amp;";"&amp;'透射比示值误差与重复性校验'!$F3</f>
        <v>;;</v>
      </c>
      <c s="341" t="str">
        <f>'透射比示值误差与重复性校验'!$G3</f>
        <v/>
      </c>
      <c s="341" t="str">
        <f>'透射比示值误差与重复性校验'!$H3</f>
        <v/>
      </c>
      <c s="270">
        <f>'透射比示值误差与重复性校验'!$I3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'透射比示值误差与重复性校验'!$L3</f>
        <v>未检测</v>
      </c>
      <c s="341"/>
      <c s="47">
        <v>2001</v>
      </c>
    </row>
    <row r="13" ht="27">
      <c r="A13" s="47">
        <v>2003</v>
      </c>
      <c s="363" t="str">
        <f ca="1" t="shared" si="0"/>
        <v>34U1602-01-0024_202508110540</v>
      </c>
      <c s="47">
        <f>'透射比示值误差与重复性校验'!$C4</f>
        <v>14.06</v>
      </c>
      <c s="341" t="str">
        <f>'透射比示值误差与重复性校验'!$D4&amp;";"&amp;'透射比示值误差与重复性校验'!$E4&amp;";"&amp;'透射比示值误差与重复性校验'!$F4</f>
        <v>;;</v>
      </c>
      <c s="341" t="str">
        <f>'透射比示值误差与重复性校验'!$G4</f>
        <v/>
      </c>
      <c s="341" t="str">
        <f>'透射比示值误差与重复性校验'!$H4</f>
        <v/>
      </c>
      <c s="270">
        <f>'透射比示值误差与重复性校验'!$I4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'透射比示值误差与重复性校验'!$L4</f>
        <v>未检测</v>
      </c>
      <c s="341"/>
      <c s="47">
        <v>2001</v>
      </c>
    </row>
    <row r="14" ht="27">
      <c r="A14" s="47">
        <v>2004</v>
      </c>
      <c s="363" t="str">
        <f ca="1" t="shared" si="0"/>
        <v>34U1602-01-0024_202508110540</v>
      </c>
      <c s="47">
        <f>'透射比示值误差与重复性校验'!$C5</f>
        <v>18.42</v>
      </c>
      <c s="341" t="str">
        <f>'透射比示值误差与重复性校验'!$D5&amp;";"&amp;'透射比示值误差与重复性校验'!$E5&amp;";"&amp;'透射比示值误差与重复性校验'!$F5</f>
        <v>;;</v>
      </c>
      <c s="341" t="str">
        <f>'透射比示值误差与重复性校验'!$G5</f>
        <v/>
      </c>
      <c s="341" t="str">
        <f>'透射比示值误差与重复性校验'!$H5</f>
        <v/>
      </c>
      <c s="270">
        <f>'透射比示值误差与重复性校验'!$I5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'透射比示值误差与重复性校验'!$L5</f>
        <v>未检测</v>
      </c>
      <c s="341"/>
      <c s="47">
        <v>2001</v>
      </c>
    </row>
    <row r="15" ht="27">
      <c r="A15" s="47">
        <v>2005</v>
      </c>
      <c s="363" t="str">
        <f ca="1" t="shared" si="0"/>
        <v>34U1602-01-0024_202508110540</v>
      </c>
      <c s="47">
        <f>'透射比示值误差与重复性校验'!$C6</f>
        <v>7.62</v>
      </c>
      <c s="341" t="str">
        <f>'透射比示值误差与重复性校验'!$D6&amp;";"&amp;'透射比示值误差与重复性校验'!$E6&amp;";"&amp;'透射比示值误差与重复性校验'!$F6</f>
        <v>;;</v>
      </c>
      <c s="341" t="str">
        <f>'透射比示值误差与重复性校验'!$G6</f>
        <v/>
      </c>
      <c s="341" t="str">
        <f>'透射比示值误差与重复性校验'!$H6</f>
        <v/>
      </c>
      <c s="270">
        <f>'透射比示值误差与重复性校验'!$I6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'透射比示值误差与重复性校验'!$L6</f>
        <v>未检测</v>
      </c>
      <c s="341"/>
      <c s="47">
        <v>2002</v>
      </c>
    </row>
    <row r="16" ht="27">
      <c r="A16" s="47">
        <v>2006</v>
      </c>
      <c s="363" t="str">
        <f ca="1" t="shared" si="0"/>
        <v>34U1602-01-0024_202508110540</v>
      </c>
      <c s="47">
        <f>'透射比示值误差与重复性校验'!$C7</f>
        <v>11.03</v>
      </c>
      <c s="341" t="str">
        <f>'透射比示值误差与重复性校验'!$D7&amp;";"&amp;'透射比示值误差与重复性校验'!$E7&amp;";"&amp;'透射比示值误差与重复性校验'!$F7</f>
        <v>;;</v>
      </c>
      <c s="341" t="str">
        <f>'透射比示值误差与重复性校验'!$G7</f>
        <v/>
      </c>
      <c s="341" t="str">
        <f>'透射比示值误差与重复性校验'!$H7</f>
        <v/>
      </c>
      <c s="270">
        <f>'透射比示值误差与重复性校验'!$I7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'透射比示值误差与重复性校验'!$L7</f>
        <v>未检测</v>
      </c>
      <c s="341"/>
      <c s="47">
        <v>2002</v>
      </c>
    </row>
    <row r="17" ht="27">
      <c r="A17" s="47">
        <v>2007</v>
      </c>
      <c s="363" t="str">
        <f ca="1" t="shared" si="0"/>
        <v>34U1602-01-0024_202508110540</v>
      </c>
      <c s="47">
        <f>'透射比示值误差与重复性校验'!$C8</f>
        <v>11.46</v>
      </c>
      <c s="341" t="str">
        <f>'透射比示值误差与重复性校验'!$D8&amp;";"&amp;'透射比示值误差与重复性校验'!$E8&amp;";"&amp;'透射比示值误差与重复性校验'!$F8</f>
        <v>;;</v>
      </c>
      <c s="341" t="str">
        <f>'透射比示值误差与重复性校验'!$G8</f>
        <v/>
      </c>
      <c s="341" t="str">
        <f>'透射比示值误差与重复性校验'!$H8</f>
        <v/>
      </c>
      <c s="270">
        <f>'透射比示值误差与重复性校验'!$I8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'透射比示值误差与重复性校验'!$L8</f>
        <v>未检测</v>
      </c>
      <c s="341"/>
      <c s="47">
        <v>2002</v>
      </c>
    </row>
    <row r="18" ht="27">
      <c r="A18" s="47">
        <v>2008</v>
      </c>
      <c s="363" t="str">
        <f ca="1" t="shared" si="0"/>
        <v>34U1602-01-0024_202508110540</v>
      </c>
      <c s="47">
        <f>'透射比示值误差与重复性校验'!$C9</f>
        <v>17.64</v>
      </c>
      <c s="341" t="str">
        <f>'透射比示值误差与重复性校验'!$D9&amp;";"&amp;'透射比示值误差与重复性校验'!$E9&amp;";"&amp;'透射比示值误差与重复性校验'!$F9</f>
        <v>;;</v>
      </c>
      <c s="341" t="str">
        <f>'透射比示值误差与重复性校验'!$G9</f>
        <v/>
      </c>
      <c s="341" t="str">
        <f>'透射比示值误差与重复性校验'!$H9</f>
        <v/>
      </c>
      <c s="270">
        <f>'透射比示值误差与重复性校验'!$I9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'透射比示值误差与重复性校验'!$L9</f>
        <v>未检测</v>
      </c>
      <c s="341"/>
      <c s="47">
        <v>2003</v>
      </c>
    </row>
    <row r="19" ht="27">
      <c r="A19" s="47">
        <v>2009</v>
      </c>
      <c s="363" t="str">
        <f ca="1" t="shared" si="0"/>
        <v>34U1602-01-0024_202508110540</v>
      </c>
      <c s="47">
        <f>'透射比示值误差与重复性校验'!$C10</f>
        <v>21.74</v>
      </c>
      <c s="341" t="str">
        <f>'透射比示值误差与重复性校验'!$D10&amp;";"&amp;'透射比示值误差与重复性校验'!$E10&amp;";"&amp;'透射比示值误差与重复性校验'!$F10</f>
        <v>;;</v>
      </c>
      <c s="341" t="str">
        <f>'透射比示值误差与重复性校验'!$G10</f>
        <v/>
      </c>
      <c s="341" t="str">
        <f>'透射比示值误差与重复性校验'!$H10</f>
        <v/>
      </c>
      <c s="270">
        <f>'透射比示值误差与重复性校验'!$I10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'透射比示值误差与重复性校验'!$L10</f>
        <v>未检测</v>
      </c>
      <c s="341"/>
      <c s="47">
        <v>2003</v>
      </c>
    </row>
    <row r="20" ht="27">
      <c r="A20" s="47">
        <v>2010</v>
      </c>
      <c s="363" t="str">
        <f ca="1" t="shared" si="0"/>
        <v>34U1602-01-0024_202508110540</v>
      </c>
      <c s="47">
        <f>'透射比示值误差与重复性校验'!$C11</f>
        <v>21.92</v>
      </c>
      <c s="341" t="str">
        <f>'透射比示值误差与重复性校验'!$D11&amp;";"&amp;'透射比示值误差与重复性校验'!$E11&amp;";"&amp;'透射比示值误差与重复性校验'!$F11</f>
        <v>;;</v>
      </c>
      <c s="341" t="str">
        <f>'透射比示值误差与重复性校验'!$G11</f>
        <v/>
      </c>
      <c s="341" t="str">
        <f>'透射比示值误差与重复性校验'!$H11</f>
        <v/>
      </c>
      <c s="270">
        <f>'透射比示值误差与重复性校验'!$I11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'透射比示值误差与重复性校验'!$L11</f>
        <v>未检测</v>
      </c>
      <c s="341"/>
      <c s="47">
        <v>2003</v>
      </c>
    </row>
    <row r="21" ht="27">
      <c r="A21" s="47">
        <v>2011</v>
      </c>
      <c s="363" t="str">
        <f ca="1" t="shared" si="0"/>
        <v>34U1602-01-0024_202508110540</v>
      </c>
      <c s="47">
        <f>'透射比示值误差与重复性校验'!$C12</f>
        <v>23.59</v>
      </c>
      <c s="341" t="str">
        <f>'透射比示值误差与重复性校验'!$D12&amp;";"&amp;'透射比示值误差与重复性校验'!$E12&amp;";"&amp;'透射比示值误差与重复性校验'!$F12</f>
        <v>;;</v>
      </c>
      <c s="341" t="str">
        <f>'透射比示值误差与重复性校验'!$G12</f>
        <v/>
      </c>
      <c s="341" t="str">
        <f>'透射比示值误差与重复性校验'!$H12</f>
        <v/>
      </c>
      <c s="270">
        <f>'透射比示值误差与重复性校验'!$I12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'透射比示值误差与重复性校验'!$L12</f>
        <v>未检测</v>
      </c>
      <c s="341"/>
      <c s="47">
        <v>2004</v>
      </c>
    </row>
    <row r="22" ht="27">
      <c r="A22" s="47">
        <v>2012</v>
      </c>
      <c s="363" t="str">
        <f ca="1" t="shared" si="0"/>
        <v>34U1602-01-0024_202508110540</v>
      </c>
      <c s="47">
        <f>'透射比示值误差与重复性校验'!$C13</f>
        <v>29.32</v>
      </c>
      <c s="341" t="str">
        <f>'透射比示值误差与重复性校验'!$D13&amp;";"&amp;'透射比示值误差与重复性校验'!$E13&amp;";"&amp;'透射比示值误差与重复性校验'!$F13</f>
        <v>;;</v>
      </c>
      <c s="341" t="str">
        <f>'透射比示值误差与重复性校验'!$G13</f>
        <v/>
      </c>
      <c s="341" t="str">
        <f>'透射比示值误差与重复性校验'!$H13</f>
        <v/>
      </c>
      <c s="270">
        <f>'透射比示值误差与重复性校验'!$I13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'透射比示值误差与重复性校验'!$L13</f>
        <v>未检测</v>
      </c>
      <c s="341"/>
      <c s="47">
        <v>2004</v>
      </c>
    </row>
    <row r="23" ht="27">
      <c r="A23" s="47">
        <v>2013</v>
      </c>
      <c s="363" t="str">
        <f ca="1" t="shared" si="0"/>
        <v>34U1602-01-0024_202508110540</v>
      </c>
      <c s="47">
        <f>'透射比示值误差与重复性校验'!$C14</f>
        <v>29.91</v>
      </c>
      <c s="341" t="str">
        <f>'透射比示值误差与重复性校验'!$D14&amp;";"&amp;'透射比示值误差与重复性校验'!$E14&amp;";"&amp;'透射比示值误差与重复性校验'!$F14</f>
        <v>;;</v>
      </c>
      <c s="341" t="str">
        <f>'透射比示值误差与重复性校验'!$G14</f>
        <v/>
      </c>
      <c s="341" t="str">
        <f>'透射比示值误差与重复性校验'!$H14</f>
        <v/>
      </c>
      <c s="270">
        <f>'透射比示值误差与重复性校验'!$I14</f>
        <v>0</v>
      </c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'透射比示值误差与重复性校验'!$L14</f>
        <v>未检测</v>
      </c>
      <c s="341"/>
      <c s="47">
        <v>2004</v>
      </c>
    </row>
    <row r="24" ht="27">
      <c r="A24" s="47">
        <v>3001</v>
      </c>
      <c s="363" t="str">
        <f ca="1" t="shared" si="0"/>
        <v>34U1602-01-0024_202508110540</v>
      </c>
      <c s="47">
        <f>'杂散光校验'!$B2</f>
        <v>220</v>
      </c>
      <c s="341" t="str">
        <f>'杂散光校验'!$C2&amp;";"&amp;'杂散光校验'!$D2&amp;";"&amp;'杂散光校验'!$E2</f>
        <v>;;</v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'杂散光校验'!$G2</f>
        <v>未检测</v>
      </c>
      <c s="341"/>
      <c s="47">
        <v>3001</v>
      </c>
    </row>
    <row r="25" ht="27">
      <c r="A25" s="47">
        <v>3002</v>
      </c>
      <c s="363" t="str">
        <f ca="1" t="shared" si="0"/>
        <v>34U1602-01-0024_202508110540</v>
      </c>
      <c s="47">
        <f>'杂散光校验'!$B3</f>
        <v>360</v>
      </c>
      <c s="341" t="str">
        <f>'杂散光校验'!$C3&amp;";"&amp;'杂散光校验'!$D3&amp;";"&amp;'杂散光校验'!$E3</f>
        <v>;;</v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'杂散光校验'!$G3</f>
        <v>未检测</v>
      </c>
      <c s="341"/>
      <c s="47">
        <v>3002</v>
      </c>
    </row>
    <row r="26" ht="27">
      <c r="A26" s="47">
        <v>4001</v>
      </c>
      <c s="363" t="str">
        <f ca="1" t="shared" si="0"/>
        <v>34U1602-01-0024_202508110540</v>
      </c>
      <c s="285"/>
      <c s="341">
        <f>'基线平直度检验'!$B$2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'基线平直度检验'!$D$2</f>
        <v>未检测</v>
      </c>
      <c s="341"/>
      <c s="47">
        <v>4001</v>
      </c>
    </row>
    <row r="27" ht="27">
      <c r="A27" s="47">
        <v>5001</v>
      </c>
      <c s="363" t="str">
        <f ca="1" t="shared" si="0"/>
        <v>34U1602-01-0024_202508110540</v>
      </c>
      <c s="285"/>
      <c s="341">
        <f>'基线暗噪声检验'!$B$2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'基线暗噪声检验'!$D$2</f>
        <v>未检测</v>
      </c>
      <c s="341"/>
      <c s="47">
        <v>5001</v>
      </c>
    </row>
    <row r="28" ht="27">
      <c r="A28" s="47">
        <v>6002</v>
      </c>
      <c s="363" t="str">
        <f ca="1" t="shared" si="0"/>
        <v>34U1602-01-0024_202508110540</v>
      </c>
      <c s="47">
        <f>'光谱带宽与仪器最小光谱带宽'!$C2</f>
        <v>2</v>
      </c>
      <c s="341">
        <f>'光谱带宽与仪器最小光谱带宽'!$D2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'光谱带宽与仪器最小光谱带宽'!$G2</f>
        <v>未检测</v>
      </c>
      <c s="341"/>
      <c s="47">
        <v>6001</v>
      </c>
    </row>
    <row r="29" ht="27">
      <c r="A29" s="47">
        <v>7001</v>
      </c>
      <c s="363" t="str">
        <f ca="1" t="shared" si="0"/>
        <v>34U1602-01-0024_202508110540</v>
      </c>
      <c s="47">
        <f>'噪声检验'!$B2</f>
        <v>500</v>
      </c>
      <c s="341">
        <f>'噪声检验'!$C2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'噪声检验'!$E2</f>
        <v>未检测</v>
      </c>
      <c s="341"/>
      <c s="47">
        <v>7001</v>
      </c>
    </row>
    <row r="30" ht="27">
      <c r="A30" s="47">
        <v>7002</v>
      </c>
      <c s="363" t="str">
        <f ca="1" t="shared" si="0"/>
        <v>34U1602-01-0024_202508110540</v>
      </c>
      <c s="47">
        <f>'噪声检验'!$B3</f>
        <v>500</v>
      </c>
      <c s="341">
        <f>'噪声检验'!$C3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'噪声检验'!$E3</f>
        <v>未检测</v>
      </c>
      <c s="341"/>
      <c s="47">
        <v>7002</v>
      </c>
    </row>
    <row r="31" ht="27">
      <c r="A31" s="47">
        <v>7003</v>
      </c>
      <c s="363" t="str">
        <f ca="1" t="shared" si="0"/>
        <v>34U1602-01-0024_202508110540</v>
      </c>
      <c s="47">
        <f>'噪声检验'!$B4</f>
        <v>250</v>
      </c>
      <c s="341">
        <f>'噪声检验'!$C4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'噪声检验'!$E4</f>
        <v>未检测</v>
      </c>
      <c s="341"/>
      <c s="47">
        <v>7003</v>
      </c>
    </row>
    <row r="32" ht="27">
      <c r="A32" s="47">
        <v>7004</v>
      </c>
      <c s="363" t="str">
        <f ca="1" t="shared" si="0"/>
        <v>34U1602-01-0024_202508110540</v>
      </c>
      <c s="47">
        <f>'噪声检验'!$B5</f>
        <v>250</v>
      </c>
      <c s="341">
        <f>'噪声检验'!$C5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'噪声检验'!$E5</f>
        <v>未检测</v>
      </c>
      <c s="341"/>
      <c s="47">
        <v>7004</v>
      </c>
    </row>
    <row r="33" ht="27">
      <c r="A33" s="47">
        <v>8001</v>
      </c>
      <c s="363" t="str">
        <f ca="1" t="shared" si="0"/>
        <v>34U1602-01-0024_202508110540</v>
      </c>
      <c s="47">
        <f>'波长边缘噪声'!$B2</f>
        <v>1090</v>
      </c>
      <c s="341">
        <f>'波长边缘噪声'!$C2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'波长边缘噪声'!$E2</f>
        <v>未检测</v>
      </c>
      <c s="341"/>
      <c s="47">
        <v>8001</v>
      </c>
    </row>
    <row r="34" ht="27">
      <c r="A34" s="47">
        <v>8002</v>
      </c>
      <c s="363" t="str">
        <f ca="1" t="shared" si="0"/>
        <v>34U1602-01-0024_202508110540</v>
      </c>
      <c s="47">
        <f>'波长边缘噪声'!$B3</f>
        <v>1090</v>
      </c>
      <c s="341">
        <f>'波长边缘噪声'!$C3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'波长边缘噪声'!$E3</f>
        <v>未检测</v>
      </c>
      <c s="341"/>
      <c s="47">
        <v>8002</v>
      </c>
    </row>
    <row r="35" ht="27">
      <c r="A35" s="47">
        <v>8003</v>
      </c>
      <c s="363" t="str">
        <f ca="1" t="shared" si="0"/>
        <v>34U1602-01-0024_202508110540</v>
      </c>
      <c s="47">
        <f>'波长边缘噪声'!$B4</f>
        <v>200</v>
      </c>
      <c s="341">
        <f>'波长边缘噪声'!$C4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'波长边缘噪声'!$E4</f>
        <v>未检测</v>
      </c>
      <c s="341"/>
      <c s="47">
        <v>8003</v>
      </c>
    </row>
    <row r="36" ht="27">
      <c r="A36" s="91">
        <v>8004</v>
      </c>
      <c s="363" t="str">
        <f ca="1" t="shared" si="0"/>
        <v>34U1602-01-0024_202508110540</v>
      </c>
      <c s="47">
        <f>'波长边缘噪声'!$B5</f>
        <v>200</v>
      </c>
      <c s="341">
        <f>'波长边缘噪声'!$C5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'波长边缘噪声'!$E5</f>
        <v>未检测</v>
      </c>
      <c s="341"/>
      <c s="47">
        <v>8004</v>
      </c>
    </row>
    <row r="37" ht="27">
      <c r="A37" s="91">
        <v>9001</v>
      </c>
      <c s="363" t="str">
        <f ca="1" t="shared" si="0"/>
        <v>34U1602-01-0024_202508110540</v>
      </c>
      <c s="47">
        <f>'漂移检验'!$B$2</f>
        <v>500</v>
      </c>
      <c s="341">
        <f>'漂移检验'!$C$2</f>
      </c>
      <c s="341"/>
      <c s="341"/>
      <c s="341"/>
      <c s="341">
        <f>Report!$F$5</f>
      </c>
      <c s="188">
        <f ca="1" t="shared" si="1"/>
        <v>45880.859335127316</v>
      </c>
      <c s="341">
        <f>Report!$N$5</f>
      </c>
      <c s="341"/>
      <c s="341">
        <f>Report!$C$6</f>
      </c>
      <c s="341">
        <f>Report!$H$6</f>
      </c>
      <c s="285" t="str">
        <f>'漂移检验'!$E$2</f>
        <v>未检测</v>
      </c>
      <c s="341"/>
      <c s="47">
        <v>9001</v>
      </c>
    </row>
    <row r="38" customHeight="1">
      <c r="H38" s="180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S38"/>
  <sheetViews>
    <sheetView topLeftCell="C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9" style="9"/>
    <col min="2" max="2" width="17.25" customWidth="1" style="9"/>
    <col min="3" max="3" width="29.25" customWidth="1" style="9"/>
    <col min="4" max="4" width="12.38" customWidth="1" style="9"/>
    <col min="5" max="5" width="22.63" customWidth="1" style="12"/>
    <col min="6" max="6" width="9" style="9"/>
    <col min="7" max="7" width="16.88" customWidth="1" style="9"/>
    <col min="8" max="8" width="29.25" customWidth="1" style="9"/>
    <col min="9" max="9" width="12.38" customWidth="1" style="9"/>
    <col min="10" max="10" width="3.75" customWidth="1" style="9"/>
    <col min="11" max="11" width="17.25" customWidth="1" style="9"/>
    <col min="12" max="12" width="16.88" customWidth="1" style="9"/>
    <col min="13" max="13" width="12.38" customWidth="1" style="4"/>
    <col min="14" max="14" width="5.75" customWidth="1" style="9"/>
    <col min="15" max="15" width="11.63" customWidth="1" style="9"/>
    <col min="16" max="16" width="5.75" customWidth="1" style="9"/>
    <col min="17" max="17" width="20.38" customWidth="1" style="9"/>
    <col min="18" max="18" width="14.88" customWidth="1" style="9"/>
    <col min="19" max="20" width="13.88" customWidth="1" style="9"/>
    <col min="21" max="21" width="19" customWidth="1" style="9"/>
    <col min="22" max="22" width="7.5" customWidth="1" style="9"/>
    <col min="23" max="23" width="19.38" customWidth="1" style="9"/>
    <col min="24" max="25" width="13.88" customWidth="1" style="9"/>
    <col min="26" max="26" width="14.88" customWidth="1" style="9"/>
    <col min="27" max="16384" width="9" style="9"/>
  </cols>
  <sheetData>
    <row r="1" customHeight="1">
      <c r="A1" s="190" t="s">
        <v>17</v>
      </c>
      <c s="294"/>
      <c s="294"/>
      <c s="294"/>
      <c s="294"/>
      <c s="294"/>
      <c s="294"/>
      <c s="82"/>
      <c r="M1" s="258"/>
      <c r="O1" s="115"/>
    </row>
    <row r="2" customHeight="1">
      <c r="A2" s="295" t="s">
        <v>5</v>
      </c>
      <c s="295" t="s">
        <v>174</v>
      </c>
      <c s="295" t="s">
        <v>175</v>
      </c>
      <c s="295" t="s">
        <v>176</v>
      </c>
      <c s="295" t="s">
        <v>177</v>
      </c>
      <c s="295" t="s">
        <v>120</v>
      </c>
      <c s="295" t="s">
        <v>178</v>
      </c>
      <c s="295" t="s">
        <v>179</v>
      </c>
      <c r="M2" s="258"/>
      <c r="O2" s="115"/>
    </row>
    <row r="3" customHeight="1">
      <c r="A3" s="123" t="s">
        <v>180</v>
      </c>
      <c s="319">
        <v>1E+3</v>
      </c>
      <c s="123" t="s">
        <v>181</v>
      </c>
      <c s="319">
        <v>1001</v>
      </c>
      <c s="209" t="s">
        <v>25</v>
      </c>
      <c s="111" t="s">
        <v>182</v>
      </c>
      <c s="297">
        <v>0.1</v>
      </c>
      <c s="230">
        <v>0.1</v>
      </c>
      <c r="M3" s="258"/>
      <c r="O3" s="115"/>
    </row>
    <row r="4" customHeight="1">
      <c r="A4" s="123" t="s">
        <v>180</v>
      </c>
      <c s="319">
        <v>1E+3</v>
      </c>
      <c s="123" t="s">
        <v>181</v>
      </c>
      <c s="319">
        <v>1002</v>
      </c>
      <c s="209" t="s">
        <v>25</v>
      </c>
      <c s="319">
        <v>486</v>
      </c>
      <c s="297">
        <v>0.3</v>
      </c>
      <c s="230">
        <v>0.1</v>
      </c>
      <c r="M4" s="258"/>
      <c r="O4" s="115"/>
    </row>
    <row r="5" customHeight="1">
      <c r="A5" s="123" t="s">
        <v>180</v>
      </c>
      <c s="319">
        <v>1E+3</v>
      </c>
      <c s="123" t="s">
        <v>181</v>
      </c>
      <c s="319">
        <v>1003</v>
      </c>
      <c s="209" t="s">
        <v>24</v>
      </c>
      <c s="111" t="s">
        <v>183</v>
      </c>
      <c s="297">
        <v>0.3</v>
      </c>
      <c s="230">
        <v>0.1</v>
      </c>
      <c r="J5" s="180"/>
      <c s="180"/>
      <c s="180"/>
      <c s="180"/>
      <c r="S5" s="255"/>
    </row>
    <row r="6" customHeight="1">
      <c r="A6" s="123" t="s">
        <v>180</v>
      </c>
      <c s="319">
        <v>1E+3</v>
      </c>
      <c s="123" t="s">
        <v>181</v>
      </c>
      <c s="319">
        <v>1008</v>
      </c>
      <c s="209" t="s">
        <v>33</v>
      </c>
      <c s="111" t="s">
        <v>184</v>
      </c>
      <c s="297">
        <v>0.3</v>
      </c>
      <c s="230">
        <v>0.1</v>
      </c>
      <c s="206"/>
      <c s="202"/>
      <c s="202"/>
      <c r="M6" s="258"/>
    </row>
    <row r="7" customHeight="1">
      <c r="A7" s="123" t="s">
        <v>180</v>
      </c>
      <c s="319">
        <v>1E+3</v>
      </c>
      <c s="123" t="s">
        <v>181</v>
      </c>
      <c s="319">
        <v>1009</v>
      </c>
      <c s="209" t="s">
        <v>33</v>
      </c>
      <c s="111" t="s">
        <v>185</v>
      </c>
      <c s="297">
        <v>0.3</v>
      </c>
      <c s="230">
        <v>0.1</v>
      </c>
      <c r="J7" s="202"/>
      <c s="202"/>
      <c r="M7" s="258"/>
    </row>
    <row r="8" customHeight="1">
      <c r="A8" s="123" t="s">
        <v>180</v>
      </c>
      <c s="319">
        <v>1E+3</v>
      </c>
      <c s="123" t="s">
        <v>181</v>
      </c>
      <c s="319">
        <v>1010</v>
      </c>
      <c s="209" t="s">
        <v>33</v>
      </c>
      <c s="111" t="s">
        <v>186</v>
      </c>
      <c s="297">
        <v>0.3</v>
      </c>
      <c s="230">
        <v>0.1</v>
      </c>
      <c r="J8" s="202"/>
      <c s="202"/>
      <c r="M8" s="258"/>
    </row>
    <row r="9" customHeight="1">
      <c r="A9" s="123" t="s">
        <v>180</v>
      </c>
      <c s="319">
        <v>1E+3</v>
      </c>
      <c s="123" t="s">
        <v>181</v>
      </c>
      <c s="319">
        <v>1011</v>
      </c>
      <c s="209" t="s">
        <v>33</v>
      </c>
      <c s="111" t="s">
        <v>187</v>
      </c>
      <c s="297">
        <v>0.3</v>
      </c>
      <c s="230">
        <v>0.1</v>
      </c>
      <c r="J9" s="202"/>
      <c s="202"/>
      <c r="M9" s="258"/>
    </row>
    <row r="10" customHeight="1">
      <c r="A10" s="123" t="s">
        <v>180</v>
      </c>
      <c s="319">
        <v>1E+3</v>
      </c>
      <c s="123" t="s">
        <v>181</v>
      </c>
      <c s="319">
        <v>1012</v>
      </c>
      <c s="209" t="s">
        <v>33</v>
      </c>
      <c s="111" t="s">
        <v>188</v>
      </c>
      <c s="297">
        <v>0.3</v>
      </c>
      <c s="230">
        <v>0.1</v>
      </c>
      <c r="J10" s="202"/>
      <c s="202"/>
      <c r="M10" s="258"/>
    </row>
    <row r="11" customHeight="1">
      <c r="A11" s="123" t="s">
        <v>180</v>
      </c>
      <c s="319">
        <v>1E+3</v>
      </c>
      <c s="123" t="s">
        <v>181</v>
      </c>
      <c s="319">
        <v>1013</v>
      </c>
      <c s="209" t="s">
        <v>33</v>
      </c>
      <c s="111" t="s">
        <v>189</v>
      </c>
      <c s="297">
        <v>0.3</v>
      </c>
      <c s="230">
        <v>0.1</v>
      </c>
      <c r="J11" s="202"/>
      <c s="202"/>
      <c r="M11" s="258"/>
    </row>
    <row r="12" ht="14.25" customHeight="1">
      <c r="A12" s="123" t="s">
        <v>180</v>
      </c>
      <c s="319">
        <v>2E+3</v>
      </c>
      <c s="123" t="s">
        <v>190</v>
      </c>
      <c s="319">
        <v>2001</v>
      </c>
      <c s="209" t="s">
        <v>49</v>
      </c>
      <c s="178" t="s">
        <v>191</v>
      </c>
      <c s="319">
        <v>0.3</v>
      </c>
      <c s="319">
        <v>0.1</v>
      </c>
      <c r="J12" s="202"/>
      <c s="206"/>
      <c r="M12" s="258"/>
    </row>
    <row r="13" ht="25.5">
      <c r="A13" s="123" t="s">
        <v>180</v>
      </c>
      <c s="319">
        <v>2E+3</v>
      </c>
      <c s="123" t="s">
        <v>190</v>
      </c>
      <c s="319">
        <v>2002</v>
      </c>
      <c s="209" t="s">
        <v>49</v>
      </c>
      <c s="178" t="s">
        <v>192</v>
      </c>
      <c s="319">
        <v>0.3</v>
      </c>
      <c s="319">
        <v>0.1</v>
      </c>
      <c r="J13" s="202"/>
      <c s="206"/>
      <c r="M13" s="258"/>
    </row>
    <row r="14" ht="25.5">
      <c r="A14" s="123" t="s">
        <v>180</v>
      </c>
      <c s="319">
        <v>2E+3</v>
      </c>
      <c s="123" t="s">
        <v>190</v>
      </c>
      <c s="319">
        <v>2003</v>
      </c>
      <c s="209" t="s">
        <v>49</v>
      </c>
      <c s="178" t="s">
        <v>193</v>
      </c>
      <c s="319">
        <v>0.3</v>
      </c>
      <c s="319">
        <v>0.1</v>
      </c>
      <c r="J14" s="202"/>
      <c s="206"/>
      <c r="M14" s="258"/>
    </row>
    <row r="15" ht="25.5">
      <c r="A15" s="123" t="s">
        <v>180</v>
      </c>
      <c s="319">
        <v>2E+3</v>
      </c>
      <c s="123" t="s">
        <v>190</v>
      </c>
      <c s="319">
        <v>2004</v>
      </c>
      <c s="209" t="s">
        <v>49</v>
      </c>
      <c s="178" t="s">
        <v>194</v>
      </c>
      <c s="319">
        <v>0.3</v>
      </c>
      <c s="319">
        <v>0.1</v>
      </c>
      <c r="J15" s="202"/>
      <c s="206"/>
      <c r="M15" s="258"/>
    </row>
    <row r="16" customHeight="1">
      <c r="A16" s="123" t="s">
        <v>180</v>
      </c>
      <c s="319">
        <v>2E+3</v>
      </c>
      <c s="123" t="s">
        <v>190</v>
      </c>
      <c s="319">
        <v>2005</v>
      </c>
      <c s="178" t="s">
        <v>39</v>
      </c>
      <c s="178" t="s">
        <v>195</v>
      </c>
      <c s="319">
        <v>0.3</v>
      </c>
      <c s="319">
        <v>0.1</v>
      </c>
      <c r="M16" s="258"/>
    </row>
    <row r="17" customHeight="1">
      <c r="A17" s="123" t="s">
        <v>180</v>
      </c>
      <c s="319">
        <v>2E+3</v>
      </c>
      <c s="123" t="s">
        <v>190</v>
      </c>
      <c s="319">
        <v>2006</v>
      </c>
      <c s="178" t="s">
        <v>39</v>
      </c>
      <c s="178" t="s">
        <v>196</v>
      </c>
      <c s="319">
        <v>0.3</v>
      </c>
      <c s="319">
        <v>0.1</v>
      </c>
      <c r="M17" s="258"/>
    </row>
    <row r="18" customHeight="1">
      <c r="A18" s="123" t="s">
        <v>180</v>
      </c>
      <c s="319">
        <v>2E+3</v>
      </c>
      <c s="123" t="s">
        <v>190</v>
      </c>
      <c s="319">
        <v>2007</v>
      </c>
      <c s="178" t="s">
        <v>39</v>
      </c>
      <c s="178" t="s">
        <v>197</v>
      </c>
      <c s="319">
        <v>0.3</v>
      </c>
      <c s="319">
        <v>0.1</v>
      </c>
      <c r="M18" s="258"/>
    </row>
    <row r="19" customHeight="1">
      <c r="A19" s="123" t="s">
        <v>180</v>
      </c>
      <c s="319">
        <v>2E+3</v>
      </c>
      <c s="123" t="s">
        <v>190</v>
      </c>
      <c s="319">
        <v>2008</v>
      </c>
      <c s="178" t="s">
        <v>45</v>
      </c>
      <c s="178" t="s">
        <v>195</v>
      </c>
      <c s="319">
        <v>0.3</v>
      </c>
      <c s="319">
        <v>0.1</v>
      </c>
      <c r="M19" s="258"/>
    </row>
    <row r="20" customHeight="1">
      <c r="A20" s="123" t="s">
        <v>180</v>
      </c>
      <c s="319">
        <v>2E+3</v>
      </c>
      <c s="123" t="s">
        <v>190</v>
      </c>
      <c s="319">
        <v>2009</v>
      </c>
      <c s="178" t="s">
        <v>45</v>
      </c>
      <c s="178" t="s">
        <v>196</v>
      </c>
      <c s="319">
        <v>0.3</v>
      </c>
      <c s="319">
        <v>0.1</v>
      </c>
      <c r="M20" s="258"/>
    </row>
    <row r="21" customHeight="1">
      <c r="A21" s="123" t="s">
        <v>180</v>
      </c>
      <c s="319">
        <v>2E+3</v>
      </c>
      <c s="123" t="s">
        <v>190</v>
      </c>
      <c s="319">
        <v>2010</v>
      </c>
      <c s="178" t="s">
        <v>45</v>
      </c>
      <c s="178" t="s">
        <v>197</v>
      </c>
      <c s="319">
        <v>0.3</v>
      </c>
      <c s="319">
        <v>0.1</v>
      </c>
      <c r="M21" s="258"/>
    </row>
    <row r="22" customHeight="1">
      <c r="A22" s="123" t="s">
        <v>180</v>
      </c>
      <c s="319">
        <v>2E+3</v>
      </c>
      <c s="123" t="s">
        <v>190</v>
      </c>
      <c s="319">
        <v>2011</v>
      </c>
      <c s="178" t="s">
        <v>47</v>
      </c>
      <c s="178" t="s">
        <v>195</v>
      </c>
      <c s="319">
        <v>0.3</v>
      </c>
      <c s="319">
        <v>0.1</v>
      </c>
      <c r="M22" s="258"/>
    </row>
    <row r="23" customHeight="1">
      <c r="A23" s="123" t="s">
        <v>180</v>
      </c>
      <c s="319">
        <v>2E+3</v>
      </c>
      <c s="123" t="s">
        <v>190</v>
      </c>
      <c s="319">
        <v>2012</v>
      </c>
      <c s="178" t="s">
        <v>47</v>
      </c>
      <c s="178" t="s">
        <v>196</v>
      </c>
      <c s="319">
        <v>0.3</v>
      </c>
      <c s="319">
        <v>0.1</v>
      </c>
      <c r="M23" s="258"/>
    </row>
    <row r="24" customHeight="1">
      <c r="A24" s="123" t="s">
        <v>180</v>
      </c>
      <c s="319">
        <v>2E+3</v>
      </c>
      <c s="123" t="s">
        <v>190</v>
      </c>
      <c s="319">
        <v>2013</v>
      </c>
      <c s="178" t="s">
        <v>47</v>
      </c>
      <c s="178" t="s">
        <v>197</v>
      </c>
      <c s="319">
        <v>0.3</v>
      </c>
      <c s="319">
        <v>0.1</v>
      </c>
      <c r="M24" s="258"/>
    </row>
    <row r="25" customHeight="1">
      <c r="A25" s="123" t="s">
        <v>180</v>
      </c>
      <c s="319">
        <v>3E+3</v>
      </c>
      <c s="123" t="s">
        <v>198</v>
      </c>
      <c s="319">
        <v>3001</v>
      </c>
      <c s="277" t="s">
        <v>56</v>
      </c>
      <c s="147" t="s">
        <v>54</v>
      </c>
      <c s="231">
        <v>0.01</v>
      </c>
      <c s="123"/>
      <c r="M25" s="258"/>
    </row>
    <row r="26" customHeight="1">
      <c r="A26" s="123" t="s">
        <v>180</v>
      </c>
      <c s="319">
        <v>3E+3</v>
      </c>
      <c s="123" t="s">
        <v>198</v>
      </c>
      <c s="319">
        <v>3002</v>
      </c>
      <c s="277" t="s">
        <v>60</v>
      </c>
      <c s="147" t="s">
        <v>58</v>
      </c>
      <c s="231">
        <v>0.02</v>
      </c>
      <c s="123"/>
      <c r="M26" s="258"/>
    </row>
    <row r="27" customHeight="1">
      <c r="A27" s="123" t="s">
        <v>180</v>
      </c>
      <c s="319">
        <v>4E+3</v>
      </c>
      <c s="123" t="s">
        <v>199</v>
      </c>
      <c s="319">
        <v>4001</v>
      </c>
      <c s="277" t="s">
        <v>61</v>
      </c>
      <c s="123"/>
      <c s="104">
        <v>0.0005</v>
      </c>
      <c s="123"/>
      <c r="M27" s="258"/>
    </row>
    <row r="28" customHeight="1">
      <c r="A28" s="123" t="s">
        <v>180</v>
      </c>
      <c s="319">
        <v>5E+3</v>
      </c>
      <c s="123" t="s">
        <v>200</v>
      </c>
      <c s="319">
        <v>5001</v>
      </c>
      <c s="277" t="s">
        <v>64</v>
      </c>
      <c s="123"/>
      <c s="130">
        <v>0.1</v>
      </c>
      <c s="123"/>
      <c r="M28" s="258"/>
    </row>
    <row r="29" customHeight="1">
      <c r="A29" s="123" t="s">
        <v>180</v>
      </c>
      <c s="319">
        <v>6E+3</v>
      </c>
      <c s="123" t="s">
        <v>201</v>
      </c>
      <c s="319">
        <v>6002</v>
      </c>
      <c s="277" t="s">
        <v>69</v>
      </c>
      <c s="128">
        <v>656.1</v>
      </c>
      <c s="163">
        <v>20</v>
      </c>
      <c s="123"/>
      <c r="M29" s="258"/>
    </row>
    <row r="30" customHeight="1">
      <c r="A30" s="123" t="s">
        <v>180</v>
      </c>
      <c s="319">
        <v>7E+3</v>
      </c>
      <c s="123" t="s">
        <v>202</v>
      </c>
      <c s="319">
        <v>7001</v>
      </c>
      <c s="123" t="s">
        <v>203</v>
      </c>
      <c s="77">
        <v>500</v>
      </c>
      <c s="90">
        <v>0.05</v>
      </c>
      <c s="123"/>
      <c r="M30" s="258"/>
    </row>
    <row r="31" customHeight="1">
      <c r="A31" s="123" t="s">
        <v>180</v>
      </c>
      <c s="319">
        <v>7E+3</v>
      </c>
      <c s="123" t="s">
        <v>202</v>
      </c>
      <c s="319">
        <v>7002</v>
      </c>
      <c s="123" t="s">
        <v>204</v>
      </c>
      <c s="77">
        <v>500</v>
      </c>
      <c s="259">
        <v>0.005</v>
      </c>
      <c s="123"/>
      <c r="M31" s="258"/>
    </row>
    <row r="32" customHeight="1">
      <c r="A32" s="123" t="s">
        <v>180</v>
      </c>
      <c s="319">
        <v>7E+3</v>
      </c>
      <c s="123" t="s">
        <v>202</v>
      </c>
      <c s="319">
        <v>7003</v>
      </c>
      <c s="123" t="s">
        <v>205</v>
      </c>
      <c s="77">
        <v>250</v>
      </c>
      <c s="90">
        <v>0.05</v>
      </c>
      <c s="123"/>
      <c r="M32" s="258"/>
    </row>
    <row r="33" customHeight="1">
      <c r="A33" s="123" t="s">
        <v>180</v>
      </c>
      <c s="319">
        <v>7E+3</v>
      </c>
      <c s="123" t="s">
        <v>202</v>
      </c>
      <c s="319">
        <v>7004</v>
      </c>
      <c s="123" t="s">
        <v>206</v>
      </c>
      <c s="77">
        <v>250</v>
      </c>
      <c s="259">
        <v>0.005</v>
      </c>
      <c s="123"/>
      <c r="M33" s="258"/>
    </row>
    <row r="34" customHeight="1">
      <c r="A34" s="123" t="s">
        <v>180</v>
      </c>
      <c s="319">
        <v>8E+3</v>
      </c>
      <c s="123" t="s">
        <v>207</v>
      </c>
      <c s="319">
        <v>8001</v>
      </c>
      <c s="123" t="s">
        <v>208</v>
      </c>
      <c s="77">
        <v>1090</v>
      </c>
      <c s="208">
        <v>0.1</v>
      </c>
      <c s="123"/>
      <c r="M34" s="258"/>
    </row>
    <row r="35" customHeight="1">
      <c r="A35" s="123" t="s">
        <v>180</v>
      </c>
      <c s="319">
        <v>8E+3</v>
      </c>
      <c s="123" t="s">
        <v>207</v>
      </c>
      <c s="319">
        <v>8002</v>
      </c>
      <c s="123" t="s">
        <v>209</v>
      </c>
      <c s="77">
        <v>1090</v>
      </c>
      <c s="90">
        <v>0.02</v>
      </c>
      <c s="123"/>
      <c r="M35" s="258"/>
    </row>
    <row r="36" customHeight="1">
      <c r="A36" s="123" t="s">
        <v>180</v>
      </c>
      <c s="319">
        <v>8E+3</v>
      </c>
      <c s="123" t="s">
        <v>207</v>
      </c>
      <c s="319">
        <v>8003</v>
      </c>
      <c s="123" t="s">
        <v>210</v>
      </c>
      <c s="77">
        <v>200</v>
      </c>
      <c s="208">
        <v>0.1</v>
      </c>
      <c s="123"/>
      <c r="M36" s="258"/>
    </row>
    <row r="37" customHeight="1">
      <c r="A37" s="123" t="s">
        <v>180</v>
      </c>
      <c s="290">
        <v>8E+3</v>
      </c>
      <c s="280" t="s">
        <v>207</v>
      </c>
      <c s="290">
        <v>8004</v>
      </c>
      <c s="280" t="s">
        <v>211</v>
      </c>
      <c s="77">
        <v>200</v>
      </c>
      <c s="90">
        <v>0.02</v>
      </c>
      <c s="280"/>
      <c r="M37" s="258"/>
    </row>
    <row r="38" customHeight="1">
      <c r="A38" s="123" t="s">
        <v>180</v>
      </c>
      <c s="290">
        <v>9E+3</v>
      </c>
      <c s="280" t="s">
        <v>212</v>
      </c>
      <c s="290">
        <v>9001</v>
      </c>
      <c s="277" t="s">
        <v>212</v>
      </c>
      <c s="280" t="s">
        <v>213</v>
      </c>
      <c s="83">
        <v>0.1</v>
      </c>
      <c s="280"/>
      <c r="M38" s="258"/>
    </row>
  </sheetData>
  <mergeCells>
    <mergeCell ref="A1:H1"/>
  </mergeCells>
  <printOptions/>
  <pageMargins left="0.7" right="0.7" top="0.75" bottom="0.75" header="0.3" footer="0.3"/>
  <pageSetup paperSize="9" firstPageNumber="4294963191" copies="0"/>
  <headerFooter/>
  <extLst/>
</worksheet>
</file>

<file path=xl/worksheets/sheet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 showRowColHeaders="0">
      <pane topLeftCell="A1"/>
      <selection activeCellId="0" activeCell="A1" sqref="A1"/>
    </sheetView>
  </sheetViews>
  <sheetFormatPr defaultColWidth="9" defaultRowHeight="13.5" customHeight="1"/>
  <cols>
    <col min="1" max="1" width="10.13" customWidth="1" style="17"/>
    <col min="2" max="2" width="12.5" customWidth="1" style="17"/>
    <col min="3" max="3" width="9" style="9"/>
    <col min="4" max="4" width="29.25" customWidth="1" style="9"/>
    <col min="5" max="5" width="12.38" customWidth="1" style="9"/>
    <col min="6" max="6" width="9" customWidth="1" style="9"/>
    <col min="7" max="16384" width="9" style="9"/>
  </cols>
  <sheetData>
    <row r="1" customHeight="1">
      <c r="A1" s="361" t="s">
        <v>6</v>
      </c>
      <c s="361" t="s">
        <v>5</v>
      </c>
      <c r="D1" s="167" t="s">
        <v>175</v>
      </c>
      <c s="167" t="s">
        <v>174</v>
      </c>
    </row>
    <row r="2" customHeight="1">
      <c r="A2" s="338" t="s">
        <v>214</v>
      </c>
      <c s="338" t="s">
        <v>215</v>
      </c>
      <c r="D2" s="123" t="s">
        <v>181</v>
      </c>
      <c s="319">
        <v>1E+3</v>
      </c>
    </row>
    <row r="3" customHeight="1">
      <c r="A3" s="338" t="s">
        <v>216</v>
      </c>
      <c s="338" t="s">
        <v>217</v>
      </c>
      <c r="D3" s="123" t="s">
        <v>190</v>
      </c>
      <c s="319">
        <v>2E+3</v>
      </c>
    </row>
    <row r="4" customHeight="1">
      <c r="A4" s="338" t="s">
        <v>218</v>
      </c>
      <c s="338" t="s">
        <v>219</v>
      </c>
      <c r="D4" s="123" t="s">
        <v>198</v>
      </c>
      <c s="319">
        <v>3E+3</v>
      </c>
    </row>
    <row r="5" customHeight="1">
      <c r="A5" s="338" t="s">
        <v>220</v>
      </c>
      <c s="338" t="s">
        <v>221</v>
      </c>
      <c r="D5" s="123" t="s">
        <v>199</v>
      </c>
      <c s="319">
        <v>4E+3</v>
      </c>
    </row>
    <row r="6" customHeight="1">
      <c r="A6" s="338" t="s">
        <v>222</v>
      </c>
      <c s="338" t="s">
        <v>223</v>
      </c>
      <c r="D6" s="123" t="s">
        <v>200</v>
      </c>
      <c s="319">
        <v>5E+3</v>
      </c>
    </row>
    <row r="7" customHeight="1">
      <c r="A7" s="338" t="s">
        <v>224</v>
      </c>
      <c s="338" t="s">
        <v>225</v>
      </c>
      <c r="D7" s="123" t="s">
        <v>201</v>
      </c>
      <c s="319">
        <v>6E+3</v>
      </c>
    </row>
    <row r="8" customHeight="1">
      <c r="A8" s="338" t="s">
        <v>226</v>
      </c>
      <c s="338" t="s">
        <v>180</v>
      </c>
      <c r="D8" s="123" t="s">
        <v>202</v>
      </c>
      <c s="319">
        <v>7E+3</v>
      </c>
    </row>
    <row r="9" customHeight="1">
      <c r="A9" s="273" t="s">
        <v>227</v>
      </c>
      <c s="273" t="s">
        <v>228</v>
      </c>
      <c r="D9" s="280" t="s">
        <v>207</v>
      </c>
      <c s="290">
        <v>8E+3</v>
      </c>
    </row>
    <row r="10" customHeight="1">
      <c r="A10" s="338"/>
      <c s="338"/>
      <c r="D10" s="280" t="s">
        <v>212</v>
      </c>
      <c s="290">
        <v>9E+3</v>
      </c>
    </row>
    <row r="11" customHeight="1">
      <c r="A11" s="338"/>
      <c s="338"/>
    </row>
  </sheetData>
  <printOptions/>
  <pageMargins left="0.7" right="0.7" top="0.75" bottom="0.75" header="0.3" footer="0.3"/>
  <pageSetup paperSize="9" firstPageNumber="4294963191" copies="0"/>
  <headerFooter/>
  <extLst/>
</worksheet>
</file>

<file path=xl/worksheets/sheet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AB23"/>
  <sheetViews>
    <sheetView topLeftCell="A1" workbookViewId="0" zoomScale="66" showGridLines="0" showRowColHeaders="0" zoomScaleNormal="66">
      <pane topLeftCell="A1"/>
      <selection activeCellId="0" activeCell="A1" sqref="A1"/>
    </sheetView>
  </sheetViews>
  <sheetFormatPr defaultColWidth="8.88" defaultRowHeight="13.5" customHeight="1"/>
  <cols>
    <col min="1" max="1" width="29.25" customWidth="1" style="13"/>
    <col min="2" max="2" width="18.38" customWidth="1" style="14"/>
    <col min="3" max="3" width="21.5" customWidth="1" style="14"/>
    <col min="4" max="4" width="40" customWidth="1" style="14"/>
    <col min="5" max="5" width="46.5" customWidth="1" style="14"/>
    <col min="6" max="6" width="8.88" style="14"/>
    <col min="7" max="7" width="10.5" customWidth="1" style="14"/>
    <col min="8" max="8" width="20.13" customWidth="1" style="14"/>
    <col min="9" max="9" width="79.5" customWidth="1" hidden="1" style="14"/>
    <col min="10" max="10" width="15.38" customWidth="1" style="14"/>
    <col min="11" max="11" width="11.5" customWidth="1" style="14"/>
    <col min="12" max="12" width="9.63" customWidth="1" style="14"/>
    <col min="13" max="13" width="8.5" customWidth="1" style="14"/>
    <col min="14" max="14" width="9.88" customWidth="1" style="14"/>
    <col min="15" max="15" width="10" customWidth="1" style="14"/>
    <col min="16" max="16" width="9.63" customWidth="1" style="14"/>
    <col min="17" max="17" width="8.5" customWidth="1" style="14"/>
    <col min="18" max="18" width="9.13" customWidth="1" style="14"/>
    <col min="19" max="19" width="9.5" customWidth="1" style="14"/>
    <col min="20" max="21" width="9.63" customWidth="1" style="14"/>
    <col min="22" max="22" width="18" customWidth="1" style="14"/>
    <col min="23" max="23" width="12.38" customWidth="1" style="14"/>
    <col min="24" max="24" width="18.5" customWidth="1" style="14"/>
    <col min="25" max="25" width="19.38" customWidth="1" style="14"/>
    <col min="26" max="26" width="15.13" customWidth="1" hidden="1" style="15"/>
    <col min="27" max="27" width="11.63" customWidth="1" style="15"/>
    <col min="28" max="28" width="17.25" customWidth="1" style="16"/>
    <col min="29" max="16384" width="8.88" style="14"/>
  </cols>
  <sheetData>
    <row r="1" ht="40.5" customFormat="1" s="132">
      <c r="A1" s="2" t="s">
        <v>229</v>
      </c>
      <c s="2" t="s">
        <v>230</v>
      </c>
      <c s="2" t="s">
        <v>231</v>
      </c>
      <c s="2" t="s">
        <v>232</v>
      </c>
      <c s="2" t="s">
        <v>233</v>
      </c>
      <c s="2" t="s">
        <v>128</v>
      </c>
      <c s="2" t="s">
        <v>234</v>
      </c>
      <c s="2" t="s">
        <v>120</v>
      </c>
      <c s="361" t="s">
        <v>235</v>
      </c>
      <c s="2" t="s">
        <v>235</v>
      </c>
      <c s="292" t="s">
        <v>123</v>
      </c>
      <c s="292" t="s">
        <v>236</v>
      </c>
      <c s="292" t="s">
        <v>126</v>
      </c>
      <c s="292" t="s">
        <v>237</v>
      </c>
      <c s="292" t="s">
        <v>238</v>
      </c>
      <c s="292" t="s">
        <v>239</v>
      </c>
      <c s="292" t="s">
        <v>131</v>
      </c>
      <c s="292" t="s">
        <v>66</v>
      </c>
      <c s="292" t="s">
        <v>240</v>
      </c>
      <c s="292" t="s">
        <v>241</v>
      </c>
      <c s="292" t="s">
        <v>132</v>
      </c>
      <c s="2" t="s">
        <v>122</v>
      </c>
      <c s="2" t="s">
        <v>242</v>
      </c>
      <c s="2" t="s">
        <v>243</v>
      </c>
      <c s="2" t="s">
        <v>244</v>
      </c>
      <c s="2" t="s">
        <v>174</v>
      </c>
      <c s="2" t="s">
        <v>176</v>
      </c>
      <c s="145" t="s">
        <v>121</v>
      </c>
    </row>
    <row r="2" ht="44.25" customHeight="1">
      <c r="A2" s="95" t="s">
        <v>181</v>
      </c>
      <c s="95" t="s">
        <v>245</v>
      </c>
      <c s="84"/>
      <c s="95" t="str">
        <f>_xlfn.SINGLE(IF(L2="","",'字段对应'!$B$10&amp;"="&amp;VLOOKUP(L2,'基础信息'!$I$2:$J$6,2,0)&amp;";"))&amp;_xlfn.SINGLE(IF(M2="","",'字段对应'!$B$11&amp;"="&amp;VLOOKUP(M2,'基础信息'!$K$2:$L$6,2,0)&amp;";"))&amp;_xlfn.SINGLE(IF(N2="","",'字段对应'!$C$2&amp;"="&amp;N2&amp;","&amp;O2&amp;","&amp;P2&amp;";"))&amp;_xlfn.SINGLE(IF(Q2="","",'字段对应'!$B$13&amp;"="&amp;Q2&amp;";"))&amp;_xlfn.SINGLE(IF(R2="","",'字段对应'!$B$14&amp;"="&amp;R2&amp;";"))&amp;_xlfn.SINGLE(IF(U2="","",'字段对应'!$B$22&amp;"="&amp;U2&amp;";"))&amp;_xlfn.SINGLE(IF(K2="","",'字段对应'!$B$21&amp;"="&amp;VLOOKUP(K2,'基础信息'!$F$2:$G$4,2,0)))</f>
        <v>PhotoMode=2;ScanSpeed=2;WlRange=660,650,0.02;Gain=4;Slit1=2.0;LampPos=1</v>
      </c>
      <c s="95" t="str">
        <f>_xlfn.SINGLE(IF(W2="","",'检测项信息'!W2&amp;":"&amp;'字段对应'!$B$16&amp;"|"))&amp;IF(X2="","",X2&amp;":"&amp;IF(V2="是",'字段对应'!$C$17,'字段对应'!$B$17&amp;";"&amp;_xlfn.SINGLE(IF(H2="","",'字段对应'!$B$15&amp;"="&amp;'检测项信息'!H2)))&amp;"|")&amp;_xlfn.SINGLE(IF(Y2="",":",Y2&amp;":"))&amp;IF(V2="是",'字段对应'!$C$18,'字段对应'!$B$18&amp;";"&amp;_xlfn.SINGLE(IF(H2="","",'字段对应'!$B$15&amp;"="&amp;'检测项信息'!H2))&amp;_xlfn.SINGLE(IF(AND(T2="",S2=""),"",";"&amp;'字段对应'!$B$20&amp;"="&amp;T2&amp;";"&amp;'字段对应'!$B$19&amp;"="&amp;S2)))</f>
        <v>空气:Scan</v>
      </c>
      <c s="65">
        <v>3</v>
      </c>
      <c s="65">
        <v>1</v>
      </c>
      <c s="95" t="s">
        <v>182</v>
      </c>
      <c s="95" t="str">
        <f>VLOOKUP(J2,'字段对应'!$D$2:$E$8,2,0)</f>
        <v>Validation.ViewModel.DataStructure.FindPeakAndAverageUVTestTool</v>
      </c>
      <c s="95" t="s">
        <v>246</v>
      </c>
      <c s="276" t="s">
        <v>25</v>
      </c>
      <c s="276" t="s">
        <v>145</v>
      </c>
      <c s="276" t="s">
        <v>146</v>
      </c>
      <c s="264">
        <v>660</v>
      </c>
      <c s="264">
        <v>650</v>
      </c>
      <c s="264">
        <v>0.02</v>
      </c>
      <c s="264">
        <v>4</v>
      </c>
      <c s="276" t="s">
        <v>151</v>
      </c>
      <c s="276"/>
      <c s="276"/>
      <c s="276"/>
      <c s="95" t="s">
        <v>133</v>
      </c>
      <c s="95"/>
      <c s="95"/>
      <c s="95" t="s">
        <v>247</v>
      </c>
      <c s="65">
        <f>VLOOKUP(A2,'对应信息'!$D$2:$E$10,2,0)</f>
        <v>1E+3</v>
      </c>
      <c s="65">
        <f ref="AA2:AA23" t="shared" si="0">IF(Z1=Z2,AA1+1,Z2+1)</f>
        <v>1001</v>
      </c>
      <c s="79"/>
    </row>
    <row r="3" ht="44.25" customHeight="1">
      <c r="A3" s="95" t="s">
        <v>181</v>
      </c>
      <c s="95" t="s">
        <v>248</v>
      </c>
      <c s="84"/>
      <c s="95" t="str">
        <f>_xlfn.SINGLE(IF(L3="","",'字段对应'!$B$10&amp;"="&amp;VLOOKUP(L3,'基础信息'!$I$2:$J$6,2,0)&amp;";"))&amp;_xlfn.SINGLE(IF(M3="","",'字段对应'!$B$11&amp;"="&amp;VLOOKUP(M3,'基础信息'!$K$2:$L$6,2,0)&amp;";"))&amp;_xlfn.SINGLE(IF(N3="","",'字段对应'!$C$2&amp;"="&amp;N3&amp;","&amp;O3&amp;","&amp;P3&amp;";"))&amp;_xlfn.SINGLE(IF(Q3="","",'字段对应'!$B$13&amp;"="&amp;Q3&amp;";"))&amp;_xlfn.SINGLE(IF(R3="","",'字段对应'!$B$14&amp;"="&amp;R3&amp;";"))&amp;_xlfn.SINGLE(IF(U3="","",'字段对应'!$B$22&amp;"="&amp;U3&amp;";"))&amp;_xlfn.SINGLE(IF(K3="","",'字段对应'!$B$21&amp;"="&amp;VLOOKUP(K3,'基础信息'!$F$2:$G$4,2,0)))</f>
        <v>PhotoMode=2;ScanSpeed=2;WlRange=490,480,0.02;Gain=4;Slit1=2.0;LampPos=1</v>
      </c>
      <c s="95" t="str">
        <f>_xlfn.SINGLE(IF(W3="","",'检测项信息'!W3&amp;":"&amp;'字段对应'!$B$16&amp;"|"))&amp;IF(X3="","",X3&amp;":"&amp;IF(V3="是",'字段对应'!$C$17,'字段对应'!$B$17&amp;";"&amp;_xlfn.SINGLE(IF(H3="","",'字段对应'!$B$15&amp;"="&amp;'检测项信息'!H3)))&amp;"|")&amp;_xlfn.SINGLE(IF(Y3="",":",Y3&amp;":"))&amp;IF(V3="是",'字段对应'!$C$18,'字段对应'!$B$18&amp;";"&amp;_xlfn.SINGLE(IF(H3="","",'字段对应'!$B$15&amp;"="&amp;'检测项信息'!H3))&amp;_xlfn.SINGLE(IF(AND(T3="",S3=""),"",";"&amp;'字段对应'!$B$20&amp;"="&amp;T3&amp;";"&amp;'字段对应'!$B$19&amp;"="&amp;S3)))</f>
        <v>空气:Scan</v>
      </c>
      <c s="65">
        <v>3</v>
      </c>
      <c s="65">
        <v>1</v>
      </c>
      <c s="65">
        <v>486</v>
      </c>
      <c s="95" t="str">
        <f>VLOOKUP(J3,'字段对应'!$D$2:$E$8,2,0)</f>
        <v>Validation.ViewModel.DataStructure.FindPeakAndAverageUVTestTool</v>
      </c>
      <c s="95" t="s">
        <v>246</v>
      </c>
      <c s="276" t="s">
        <v>25</v>
      </c>
      <c s="276" t="s">
        <v>145</v>
      </c>
      <c s="276" t="s">
        <v>146</v>
      </c>
      <c s="264">
        <v>490</v>
      </c>
      <c s="264">
        <v>480</v>
      </c>
      <c s="264">
        <v>0.02</v>
      </c>
      <c s="264">
        <v>4</v>
      </c>
      <c s="276" t="s">
        <v>151</v>
      </c>
      <c s="276"/>
      <c s="276"/>
      <c s="276"/>
      <c s="95" t="s">
        <v>133</v>
      </c>
      <c s="95"/>
      <c s="95"/>
      <c s="95" t="s">
        <v>247</v>
      </c>
      <c s="65">
        <f>VLOOKUP(A3,'对应信息'!$D$2:$E$10,2,0)</f>
        <v>1E+3</v>
      </c>
      <c s="65">
        <f t="shared" si="0"/>
        <v>1002</v>
      </c>
      <c s="79"/>
    </row>
    <row r="4" ht="46.5" customHeight="1">
      <c r="A4" s="95" t="s">
        <v>181</v>
      </c>
      <c s="95" t="s">
        <v>24</v>
      </c>
      <c s="95"/>
      <c s="95" t="str">
        <f>_xlfn.SINGLE(IF(L4="","",'字段对应'!$B$10&amp;"="&amp;VLOOKUP(L4,'基础信息'!$I$2:$J$6,2,0)&amp;";"))&amp;_xlfn.SINGLE(IF(M4="","",'字段对应'!$B$11&amp;"="&amp;VLOOKUP(M4,'基础信息'!$K$2:$L$6,2,0)&amp;";"))&amp;_xlfn.SINGLE(IF(N4="","",'字段对应'!$C$2&amp;"="&amp;N4&amp;","&amp;O4&amp;","&amp;P4&amp;";"))&amp;_xlfn.SINGLE(IF(Q4="","",'字段对应'!$B$13&amp;"="&amp;Q4&amp;";"))&amp;_xlfn.SINGLE(IF(R4="","",'字段对应'!$B$14&amp;"="&amp;R4&amp;";"))&amp;_xlfn.SINGLE(IF(U4="","",'字段对应'!$B$22&amp;"="&amp;U4&amp;";"))&amp;_xlfn.SINGLE(IF(K4="","",'字段对应'!$B$21&amp;"="&amp;VLOOKUP(K4,'基础信息'!$F$2:$G$4,2,0)))</f>
        <v>PhotoMode=0;ScanSpeed=2;WlRange=810,800,0.1;Slit1=2.0;</v>
      </c>
      <c s="95" t="str">
        <f>_xlfn.SINGLE(IF(W4="","",'检测项信息'!W4&amp;":"&amp;'字段对应'!$B$16&amp;"|"))&amp;IF(X4="","",X4&amp;":"&amp;IF(V4="是",'字段对应'!$C$17,'字段对应'!$B$17&amp;";"&amp;_xlfn.SINGLE(IF(H4="","",'字段对应'!$B$15&amp;"="&amp;'检测项信息'!H4)))&amp;"|")&amp;_xlfn.SINGLE(IF(Y4="",":",Y4&amp;":"))&amp;IF(V4="是",'字段对应'!$C$18,'字段对应'!$B$18&amp;";"&amp;_xlfn.SINGLE(IF(H4="","",'字段对应'!$B$15&amp;"="&amp;'检测项信息'!H4))&amp;_xlfn.SINGLE(IF(AND(T4="",S4=""),"",";"&amp;'字段对应'!$B$20&amp;"="&amp;T4&amp;";"&amp;'字段对应'!$B$19&amp;"="&amp;S4)))</f>
        <v>黑挡块:Dark|空气:BaseLine|镨钕滤光片:Scan</v>
      </c>
      <c s="65">
        <v>3</v>
      </c>
      <c s="65">
        <v>1</v>
      </c>
      <c s="95" t="s">
        <v>183</v>
      </c>
      <c s="95" t="str">
        <f>VLOOKUP(J4,'字段对应'!$D$2:$E$8,2,0)</f>
        <v>Validation.ViewModel.DataStructure.FindPeakAndAverageUVTestTool</v>
      </c>
      <c s="95" t="s">
        <v>246</v>
      </c>
      <c s="276"/>
      <c s="276" t="s">
        <v>135</v>
      </c>
      <c s="276" t="s">
        <v>146</v>
      </c>
      <c s="264">
        <v>810</v>
      </c>
      <c s="264">
        <v>800</v>
      </c>
      <c s="264">
        <v>0.1</v>
      </c>
      <c s="276"/>
      <c s="276" t="s">
        <v>151</v>
      </c>
      <c s="276"/>
      <c s="276"/>
      <c s="276"/>
      <c s="95" t="s">
        <v>133</v>
      </c>
      <c s="95" t="s">
        <v>249</v>
      </c>
      <c s="95" t="s">
        <v>247</v>
      </c>
      <c s="95" t="s">
        <v>24</v>
      </c>
      <c s="65">
        <f>VLOOKUP(A4,'对应信息'!$D$2:$E$10,2,0)</f>
        <v>1E+3</v>
      </c>
      <c s="65">
        <f t="shared" si="0"/>
        <v>1003</v>
      </c>
      <c s="79"/>
    </row>
    <row r="5" ht="44.25" customHeight="1">
      <c r="A5" s="95" t="s">
        <v>181</v>
      </c>
      <c s="95" t="s">
        <v>33</v>
      </c>
      <c s="95"/>
      <c s="95" t="str">
        <f>_xlfn.SINGLE(IF(L5="","",'字段对应'!$B$10&amp;"="&amp;VLOOKUP(L5,'基础信息'!$I$2:$J$6,2,0)&amp;";"))&amp;_xlfn.SINGLE(IF(M5="","",'字段对应'!$B$11&amp;"="&amp;VLOOKUP(M5,'基础信息'!$K$2:$L$6,2,0)&amp;";"))&amp;_xlfn.SINGLE(IF(N5="","",'字段对应'!$C$2&amp;"="&amp;N5&amp;","&amp;O5&amp;","&amp;P5&amp;";"))&amp;_xlfn.SINGLE(IF(Q5="","",'字段对应'!$B$13&amp;"="&amp;Q5&amp;";"))&amp;_xlfn.SINGLE(IF(R5="","",'字段对应'!$B$14&amp;"="&amp;R5&amp;";"))&amp;_xlfn.SINGLE(IF(U5="","",'字段对应'!$B$22&amp;"="&amp;U5&amp;";"))&amp;_xlfn.SINGLE(IF(K5="","",'字段对应'!$B$21&amp;"="&amp;VLOOKUP(K5,'基础信息'!$F$2:$G$4,2,0)))</f>
        <v>PhotoMode=0;ScanSpeed=2;WlRange=645,235,0.1;Slit1=2.0;</v>
      </c>
      <c s="95" t="str">
        <f>_xlfn.SINGLE(IF(W5="","",'检测项信息'!W5&amp;":"&amp;'字段对应'!$B$16&amp;"|"))&amp;IF(X5="","",X5&amp;":"&amp;IF(V5="是",'字段对应'!$C$17,'字段对应'!$B$17&amp;";"&amp;_xlfn.SINGLE(IF(H5="","",'字段对应'!$B$15&amp;"="&amp;'检测项信息'!H5)))&amp;"|")&amp;_xlfn.SINGLE(IF(Y5="",":",Y5&amp;":"))&amp;IF(V5="是",'字段对应'!$C$18,'字段对应'!$B$18&amp;";"&amp;_xlfn.SINGLE(IF(H5="","",'字段对应'!$B$15&amp;"="&amp;'检测项信息'!H5))&amp;_xlfn.SINGLE(IF(AND(T5="",S5=""),"",";"&amp;'字段对应'!$B$20&amp;"="&amp;T5&amp;";"&amp;'字段对应'!$B$19&amp;"="&amp;S5)))</f>
        <v>黑挡块:Dark|空气:BaseLine|钬溶液:Scan</v>
      </c>
      <c s="65">
        <v>3</v>
      </c>
      <c s="65">
        <v>1</v>
      </c>
      <c s="95" t="s">
        <v>250</v>
      </c>
      <c s="95" t="str">
        <f>VLOOKUP(J5,'字段对应'!$D$2:$E$8,2,0)</f>
        <v>Validation.ViewModel.DataStructure.FindPeakAndAverageUVTestTool</v>
      </c>
      <c s="95" t="s">
        <v>246</v>
      </c>
      <c s="276"/>
      <c s="276" t="s">
        <v>135</v>
      </c>
      <c s="276" t="s">
        <v>146</v>
      </c>
      <c s="264">
        <v>645</v>
      </c>
      <c s="264">
        <v>235</v>
      </c>
      <c s="264">
        <v>0.1</v>
      </c>
      <c s="276"/>
      <c s="276" t="s">
        <v>151</v>
      </c>
      <c s="276"/>
      <c s="276"/>
      <c s="276"/>
      <c s="95" t="s">
        <v>133</v>
      </c>
      <c s="95" t="s">
        <v>249</v>
      </c>
      <c s="95" t="s">
        <v>247</v>
      </c>
      <c s="95" t="s">
        <v>33</v>
      </c>
      <c s="65">
        <f>VLOOKUP(A5,'对应信息'!$D$2:$E$10,2,0)</f>
        <v>1E+3</v>
      </c>
      <c s="65">
        <f t="shared" si="0"/>
        <v>1004</v>
      </c>
      <c s="79"/>
    </row>
    <row r="6" ht="27">
      <c r="A6" s="96" t="s">
        <v>201</v>
      </c>
      <c s="95" t="s">
        <v>69</v>
      </c>
      <c s="95"/>
      <c s="95" t="str">
        <f>_xlfn.SINGLE(IF(L6="","",'字段对应'!$B$10&amp;"="&amp;VLOOKUP(L6,'基础信息'!$I$2:$J$6,2,0)&amp;";"))&amp;_xlfn.SINGLE(IF(M6="","",'字段对应'!$B$11&amp;"="&amp;VLOOKUP(M6,'基础信息'!$K$2:$L$6,2,0)&amp;";"))&amp;_xlfn.SINGLE(IF(N6="","",'字段对应'!$C$2&amp;"="&amp;N6&amp;","&amp;O6&amp;","&amp;P6&amp;";"))&amp;_xlfn.SINGLE(IF(Q6="","",'字段对应'!$B$13&amp;"="&amp;Q6&amp;";"))&amp;_xlfn.SINGLE(IF(R6="","",'字段对应'!$B$14&amp;"="&amp;R6&amp;";"))&amp;_xlfn.SINGLE(IF(U6="","",'字段对应'!$B$22&amp;"="&amp;U6&amp;";"))&amp;_xlfn.SINGLE(IF(K6="","",'字段对应'!$B$21&amp;"="&amp;VLOOKUP(K6,'基础信息'!$F$2:$G$4,2,0)))</f>
        <v>PhotoMode=2;ScanSpeed=2;WlRange=660,650,0.1;Gain=4;Slit1=2.0;LampPos=1</v>
      </c>
      <c s="95" t="str">
        <f>_xlfn.SINGLE(IF(W6="","",'检测项信息'!W6&amp;":"&amp;'字段对应'!$B$16&amp;"|"))&amp;IF(X6="","",X6&amp;":"&amp;IF(V6="是",'字段对应'!$C$17,'字段对应'!$B$17&amp;";"&amp;_xlfn.SINGLE(IF(H6="","",'字段对应'!$B$15&amp;"="&amp;'检测项信息'!H6)))&amp;"|")&amp;_xlfn.SINGLE(IF(Y6="",":",Y6&amp;":"))&amp;IF(V6="是",'字段对应'!$C$18,'字段对应'!$B$18&amp;";"&amp;_xlfn.SINGLE(IF(H6="","",'字段对应'!$B$15&amp;"="&amp;'检测项信息'!H6))&amp;_xlfn.SINGLE(IF(AND(T6="",S6=""),"",";"&amp;'字段对应'!$B$20&amp;"="&amp;T6&amp;";"&amp;'字段对应'!$B$19&amp;"="&amp;S6)))</f>
        <v>空气:Scan</v>
      </c>
      <c s="65">
        <v>1</v>
      </c>
      <c s="95"/>
      <c s="65">
        <v>656.1</v>
      </c>
      <c s="95" t="str">
        <f>VLOOKUP(J6,'字段对应'!$D$2:$E$8,2,0)</f>
        <v>Validation.ViewModel.DataStructure.FindHalfPeakUVTestTool</v>
      </c>
      <c s="95" t="s">
        <v>251</v>
      </c>
      <c s="276" t="s">
        <v>25</v>
      </c>
      <c s="276" t="s">
        <v>145</v>
      </c>
      <c s="276" t="s">
        <v>146</v>
      </c>
      <c s="264">
        <v>660</v>
      </c>
      <c s="264">
        <v>650</v>
      </c>
      <c s="264">
        <v>0.1</v>
      </c>
      <c s="264">
        <v>4</v>
      </c>
      <c s="276" t="s">
        <v>151</v>
      </c>
      <c s="276"/>
      <c s="276"/>
      <c s="276"/>
      <c s="95" t="s">
        <v>133</v>
      </c>
      <c s="95"/>
      <c s="95"/>
      <c s="95" t="s">
        <v>247</v>
      </c>
      <c s="65">
        <f>VLOOKUP(A6,'对应信息'!$D$2:$E$10,2,0)</f>
        <v>6E+3</v>
      </c>
      <c s="65">
        <f t="shared" si="0"/>
        <v>6001</v>
      </c>
      <c s="79" t="s">
        <v>151</v>
      </c>
    </row>
    <row r="7" ht="27">
      <c r="A7" s="95" t="s">
        <v>199</v>
      </c>
      <c s="95" t="s">
        <v>61</v>
      </c>
      <c s="95"/>
      <c s="95" t="str">
        <f>_xlfn.SINGLE(IF(L7="","",'字段对应'!$B$10&amp;"="&amp;VLOOKUP(L7,'基础信息'!$I$2:$J$6,2,0)&amp;";"))&amp;_xlfn.SINGLE(IF(M7="","",'字段对应'!$B$11&amp;"="&amp;VLOOKUP(M7,'基础信息'!$K$2:$L$6,2,0)&amp;";"))&amp;_xlfn.SINGLE(IF(N7="","",'字段对应'!$C$2&amp;"="&amp;N7&amp;","&amp;O7&amp;","&amp;P7&amp;";"))&amp;_xlfn.SINGLE(IF(Q7="","",'字段对应'!$B$13&amp;"="&amp;Q7&amp;";"))&amp;_xlfn.SINGLE(IF(R7="","",'字段对应'!$B$14&amp;"="&amp;R7&amp;";"))&amp;_xlfn.SINGLE(IF(U7="","",'字段对应'!$B$22&amp;"="&amp;U7&amp;";"))&amp;_xlfn.SINGLE(IF(K7="","",'字段对应'!$B$21&amp;"="&amp;VLOOKUP(K7,'基础信息'!$F$2:$G$4,2,0)))</f>
        <v>PhotoMode=0;ScanSpeed=2;WlRange=1090,200,1;Slit1=2.0;</v>
      </c>
      <c s="95" t="str">
        <f>_xlfn.SINGLE(IF(W7="","",'检测项信息'!W7&amp;":"&amp;'字段对应'!$B$16&amp;"|"))&amp;IF(X7="","",X7&amp;":"&amp;IF(V7="是",'字段对应'!$C$17,'字段对应'!$B$17&amp;";"&amp;_xlfn.SINGLE(IF(H7="","",'字段对应'!$B$15&amp;"="&amp;'检测项信息'!H7)))&amp;"|")&amp;_xlfn.SINGLE(IF(Y7="",":",Y7&amp;":"))&amp;IF(V7="是",'字段对应'!$C$18,'字段对应'!$B$18&amp;";"&amp;_xlfn.SINGLE(IF(H7="","",'字段对应'!$B$15&amp;"="&amp;'检测项信息'!H7))&amp;_xlfn.SINGLE(IF(AND(T7="",S7=""),"",";"&amp;'字段对应'!$B$20&amp;"="&amp;T7&amp;";"&amp;'字段对应'!$B$19&amp;"="&amp;S7)))</f>
        <v>黑挡块:Dark|空气:BaseLine|空气:Scan</v>
      </c>
      <c s="65">
        <v>1</v>
      </c>
      <c s="95"/>
      <c s="95"/>
      <c s="95" t="str">
        <f>VLOOKUP(J7,'字段对应'!$D$2:$E$8,2,0)</f>
        <v>Validation.ViewModel.DataStructure.GetMaxDIstanceUVTestTool</v>
      </c>
      <c s="95" t="s">
        <v>252</v>
      </c>
      <c s="276"/>
      <c s="276" t="s">
        <v>135</v>
      </c>
      <c s="276" t="s">
        <v>146</v>
      </c>
      <c s="264">
        <v>1090</v>
      </c>
      <c s="264">
        <v>200</v>
      </c>
      <c s="264">
        <v>1</v>
      </c>
      <c s="276"/>
      <c s="276" t="s">
        <v>151</v>
      </c>
      <c s="276"/>
      <c s="276"/>
      <c s="276"/>
      <c s="95" t="s">
        <v>133</v>
      </c>
      <c s="95" t="s">
        <v>249</v>
      </c>
      <c s="95" t="s">
        <v>247</v>
      </c>
      <c s="95" t="s">
        <v>247</v>
      </c>
      <c s="65">
        <f>VLOOKUP(A7,'对应信息'!$D$2:$E$10,2,0)</f>
        <v>4E+3</v>
      </c>
      <c s="65">
        <f t="shared" si="0"/>
        <v>4001</v>
      </c>
      <c s="79"/>
    </row>
    <row r="8" ht="37.5" customHeight="1">
      <c r="A8" s="95" t="s">
        <v>200</v>
      </c>
      <c s="95" t="s">
        <v>64</v>
      </c>
      <c s="95"/>
      <c s="95" t="str">
        <f>_xlfn.SINGLE(IF(L8="","",'字段对应'!$B$10&amp;"="&amp;VLOOKUP(L8,'基础信息'!$I$2:$J$6,2,0)&amp;";"))&amp;_xlfn.SINGLE(IF(M8="","",'字段对应'!$B$11&amp;"="&amp;VLOOKUP(M8,'基础信息'!$K$2:$L$6,2,0)&amp;";"))&amp;_xlfn.SINGLE(IF(N8="","",'字段对应'!$C$2&amp;"="&amp;N8&amp;","&amp;O8&amp;","&amp;P8&amp;";"))&amp;_xlfn.SINGLE(IF(Q8="","",'字段对应'!$B$13&amp;"="&amp;Q8&amp;";"))&amp;_xlfn.SINGLE(IF(R8="","",'字段对应'!$B$14&amp;"="&amp;R8&amp;";"))&amp;_xlfn.SINGLE(IF(U8="","",'字段对应'!$B$22&amp;"="&amp;U8&amp;";"))&amp;_xlfn.SINGLE(IF(K8="","",'字段对应'!$B$21&amp;"="&amp;VLOOKUP(K8,'基础信息'!$F$2:$G$4,2,0)))</f>
        <v>PhotoMode=1;ScanSpeed=2;WlRange=1090,200,1;Slit1=2.0;</v>
      </c>
      <c s="95" t="str">
        <f>_xlfn.SINGLE(IF(W8="","",'检测项信息'!W8&amp;":"&amp;'字段对应'!$B$16&amp;"|"))&amp;IF(X8="","",X8&amp;":"&amp;IF(V8="是",'字段对应'!$C$17,'字段对应'!$B$17&amp;";"&amp;_xlfn.SINGLE(IF(H8="","",'字段对应'!$B$15&amp;"="&amp;'检测项信息'!H8)))&amp;"|")&amp;_xlfn.SINGLE(IF(Y8="",":",Y8&amp;":"))&amp;IF(V8="是",'字段对应'!$C$18,'字段对应'!$B$18&amp;";"&amp;_xlfn.SINGLE(IF(H8="","",'字段对应'!$B$15&amp;"="&amp;'检测项信息'!H8))&amp;_xlfn.SINGLE(IF(AND(T8="",S8=""),"",";"&amp;'字段对应'!$B$20&amp;"="&amp;T8&amp;";"&amp;'字段对应'!$B$19&amp;"="&amp;S8)))</f>
        <v>黑挡块:Dark|空气:BaseLine|黑挡块:Scan</v>
      </c>
      <c s="65">
        <v>1</v>
      </c>
      <c s="95"/>
      <c s="95"/>
      <c s="95" t="str">
        <f>VLOOKUP(J8,'字段对应'!$D$2:$E$8,2,0)</f>
        <v>Validation.ViewModel.DataStructure.GetMaxDIstanceUVTestTool</v>
      </c>
      <c s="95" t="s">
        <v>252</v>
      </c>
      <c s="276"/>
      <c s="276" t="s">
        <v>140</v>
      </c>
      <c s="276" t="s">
        <v>146</v>
      </c>
      <c s="264">
        <v>1090</v>
      </c>
      <c s="264">
        <v>200</v>
      </c>
      <c s="264">
        <v>1</v>
      </c>
      <c s="276"/>
      <c s="276" t="s">
        <v>151</v>
      </c>
      <c s="276"/>
      <c s="276"/>
      <c s="276"/>
      <c s="95" t="s">
        <v>133</v>
      </c>
      <c s="95" t="s">
        <v>249</v>
      </c>
      <c s="95" t="s">
        <v>247</v>
      </c>
      <c s="95" t="s">
        <v>249</v>
      </c>
      <c s="65">
        <f>VLOOKUP(A8,'对应信息'!$D$2:$E$10,2,0)</f>
        <v>5E+3</v>
      </c>
      <c s="65">
        <f t="shared" si="0"/>
        <v>5001</v>
      </c>
      <c s="79"/>
    </row>
    <row r="9" ht="51" customHeight="1">
      <c r="A9" s="95" t="s">
        <v>202</v>
      </c>
      <c s="95" t="s">
        <v>203</v>
      </c>
      <c s="95"/>
      <c s="95" t="str">
        <f>_xlfn.SINGLE(IF(L9="","",'字段对应'!$B$10&amp;"="&amp;VLOOKUP(L9,'基础信息'!$I$2:$J$6,2,0)&amp;";"))&amp;_xlfn.SINGLE(IF(M9="","",'字段对应'!$B$11&amp;"="&amp;VLOOKUP(M9,'基础信息'!$K$2:$L$6,2,0)&amp;";"))&amp;_xlfn.SINGLE(IF(N9="","",'字段对应'!$C$2&amp;"="&amp;N9&amp;","&amp;O9&amp;","&amp;P9&amp;";"))&amp;_xlfn.SINGLE(IF(Q9="","",'字段对应'!$B$13&amp;"="&amp;Q9&amp;";"))&amp;_xlfn.SINGLE(IF(R9="","",'字段对应'!$B$14&amp;"="&amp;R9&amp;";"))&amp;_xlfn.SINGLE(IF(U9="","",'字段对应'!$B$22&amp;"="&amp;U9&amp;";"))&amp;_xlfn.SINGLE(IF(K9="","",'字段对应'!$B$21&amp;"="&amp;VLOOKUP(K9,'基础信息'!$F$2:$G$4,2,0)))</f>
        <v>PhotoMode=1;ScanSpeed=2;Slit1=2.0;ResponseTime=1;</v>
      </c>
      <c s="95" t="str">
        <f>_xlfn.SINGLE(IF(W9="","",'检测项信息'!W9&amp;":"&amp;'字段对应'!$B$16&amp;"|"))&amp;IF(X9="","",X9&amp;":"&amp;IF(V9="是",'字段对应'!$C$17,'字段对应'!$B$17&amp;";"&amp;_xlfn.SINGLE(IF(H9="","",'字段对应'!$B$15&amp;"="&amp;'检测项信息'!H9)))&amp;"|")&amp;_xlfn.SINGLE(IF(Y9="",":",Y9&amp;":"))&amp;IF(V9="是",'字段对应'!$C$18,'字段对应'!$B$18&amp;";"&amp;_xlfn.SINGLE(IF(H9="","",'字段对应'!$B$15&amp;"="&amp;'检测项信息'!H9))&amp;_xlfn.SINGLE(IF(AND(T9="",S9=""),"",";"&amp;'字段对应'!$B$20&amp;"="&amp;T9&amp;";"&amp;'字段对应'!$B$19&amp;"="&amp;S9)))</f>
        <v>黑挡块:Dark|空气:Zero;Wl=500|空气:Measure;Wl=500;totalcount=120;timeinterval=1</v>
      </c>
      <c s="65">
        <v>1</v>
      </c>
      <c s="95"/>
      <c s="65">
        <v>500</v>
      </c>
      <c s="95" t="str">
        <f>VLOOKUP(J9,'字段对应'!$D$2:$E$8,2,0)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120</v>
      </c>
      <c s="264">
        <v>1</v>
      </c>
      <c s="95" t="s">
        <v>138</v>
      </c>
      <c s="95" t="s">
        <v>249</v>
      </c>
      <c s="95" t="s">
        <v>247</v>
      </c>
      <c s="95" t="s">
        <v>247</v>
      </c>
      <c s="65">
        <f>VLOOKUP(A9,'对应信息'!$D$2:$E$10,2,0)</f>
        <v>7E+3</v>
      </c>
      <c s="65">
        <f t="shared" si="0"/>
        <v>7001</v>
      </c>
      <c s="79"/>
    </row>
    <row r="10" ht="40.5">
      <c r="A10" s="95" t="s">
        <v>202</v>
      </c>
      <c s="95" t="s">
        <v>204</v>
      </c>
      <c s="95"/>
      <c s="95" t="str">
        <f>_xlfn.SINGLE(IF(L10="","",'字段对应'!$B$10&amp;"="&amp;VLOOKUP(L10,'基础信息'!$I$2:$J$6,2,0)&amp;";"))&amp;_xlfn.SINGLE(IF(M10="","",'字段对应'!$B$11&amp;"="&amp;VLOOKUP(M10,'基础信息'!$K$2:$L$6,2,0)&amp;";"))&amp;_xlfn.SINGLE(IF(N10="","",'字段对应'!$C$2&amp;"="&amp;N10&amp;","&amp;O10&amp;","&amp;P10&amp;";"))&amp;_xlfn.SINGLE(IF(Q10="","",'字段对应'!$B$13&amp;"="&amp;Q10&amp;";"))&amp;_xlfn.SINGLE(IF(R10="","",'字段对应'!$B$14&amp;"="&amp;R10&amp;";"))&amp;_xlfn.SINGLE(IF(U10="","",'字段对应'!$B$22&amp;"="&amp;U10&amp;";"))&amp;_xlfn.SINGLE(IF(K10="","",'字段对应'!$B$21&amp;"="&amp;VLOOKUP(K10,'基础信息'!$F$2:$G$4,2,0)))</f>
        <v>PhotoMode=1;ScanSpeed=2;Slit1=2.0;ResponseTime=1;</v>
      </c>
      <c s="95" t="str">
        <f>_xlfn.SINGLE(IF(W10="","",'检测项信息'!W10&amp;":"&amp;'字段对应'!$B$16&amp;"|"))&amp;IF(X10="","",X10&amp;":"&amp;IF(V10="是",'字段对应'!$C$17,'字段对应'!$B$17&amp;";"&amp;_xlfn.SINGLE(IF(H10="","",'字段对应'!$B$15&amp;"="&amp;'检测项信息'!H10)))&amp;"|")&amp;_xlfn.SINGLE(IF(Y10="",":",Y10&amp;":"))&amp;IF(V10="是",'字段对应'!$C$18,'字段对应'!$B$18&amp;";"&amp;_xlfn.SINGLE(IF(H10="","",'字段对应'!$B$15&amp;"="&amp;'检测项信息'!H10))&amp;_xlfn.SINGLE(IF(AND(T10="",S10=""),"",";"&amp;'字段对应'!$B$20&amp;"="&amp;T10&amp;";"&amp;'字段对应'!$B$19&amp;"="&amp;S10)))</f>
        <v>黑挡块:Dark|空气:Zero;Wl=500|黑挡块:Measure;Wl=500;totalcount=120;timeinterval=1</v>
      </c>
      <c s="65">
        <v>1</v>
      </c>
      <c s="95"/>
      <c s="65">
        <v>500</v>
      </c>
      <c s="95" t="str">
        <f>VLOOKUP(J10,'字段对应'!$D$2:$E$8,2,0)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120</v>
      </c>
      <c s="264">
        <v>1</v>
      </c>
      <c s="95" t="s">
        <v>138</v>
      </c>
      <c s="95" t="s">
        <v>249</v>
      </c>
      <c s="95" t="s">
        <v>247</v>
      </c>
      <c s="95" t="s">
        <v>249</v>
      </c>
      <c s="65">
        <f>VLOOKUP(A10,'对应信息'!$D$2:$E$10,2,0)</f>
        <v>7E+3</v>
      </c>
      <c s="65">
        <f t="shared" si="0"/>
        <v>7002</v>
      </c>
      <c s="79"/>
    </row>
    <row r="11" ht="40.5">
      <c r="A11" s="95" t="s">
        <v>202</v>
      </c>
      <c s="95" t="s">
        <v>205</v>
      </c>
      <c s="95"/>
      <c s="95" t="str">
        <f>_xlfn.SINGLE(IF(L11="","",'字段对应'!$B$10&amp;"="&amp;VLOOKUP(L11,'基础信息'!$I$2:$J$6,2,0)&amp;";"))&amp;_xlfn.SINGLE(IF(M11="","",'字段对应'!$B$11&amp;"="&amp;VLOOKUP(M11,'基础信息'!$K$2:$L$6,2,0)&amp;";"))&amp;_xlfn.SINGLE(IF(N11="","",'字段对应'!$C$2&amp;"="&amp;N11&amp;","&amp;O11&amp;","&amp;P11&amp;";"))&amp;_xlfn.SINGLE(IF(Q11="","",'字段对应'!$B$13&amp;"="&amp;Q11&amp;";"))&amp;_xlfn.SINGLE(IF(R11="","",'字段对应'!$B$14&amp;"="&amp;R11&amp;";"))&amp;_xlfn.SINGLE(IF(U11="","",'字段对应'!$B$22&amp;"="&amp;U11&amp;";"))&amp;_xlfn.SINGLE(IF(K11="","",'字段对应'!$B$21&amp;"="&amp;VLOOKUP(K11,'基础信息'!$F$2:$G$4,2,0)))</f>
        <v>PhotoMode=1;ScanSpeed=2;Slit1=2.0;ResponseTime=1;</v>
      </c>
      <c s="95" t="str">
        <f>_xlfn.SINGLE(IF(W11="","",'检测项信息'!W11&amp;":"&amp;'字段对应'!$B$16&amp;"|"))&amp;IF(X11="","",X11&amp;":"&amp;IF(V11="是",'字段对应'!$C$17,'字段对应'!$B$17&amp;";"&amp;_xlfn.SINGLE(IF(H11="","",'字段对应'!$B$15&amp;"="&amp;'检测项信息'!H11)))&amp;"|")&amp;_xlfn.SINGLE(IF(Y11="",":",Y11&amp;":"))&amp;IF(V11="是",'字段对应'!$C$18,'字段对应'!$B$18&amp;";"&amp;_xlfn.SINGLE(IF(H11="","",'字段对应'!$B$15&amp;"="&amp;'检测项信息'!H11))&amp;_xlfn.SINGLE(IF(AND(T11="",S11=""),"",";"&amp;'字段对应'!$B$20&amp;"="&amp;T11&amp;";"&amp;'字段对应'!$B$19&amp;"="&amp;S11)))</f>
        <v>黑挡块:Dark|空气:Zero;Wl=250|空气:Measure;Wl=250;totalcount=120;timeinterval=1</v>
      </c>
      <c s="65">
        <v>1</v>
      </c>
      <c s="95"/>
      <c s="65">
        <v>250</v>
      </c>
      <c s="95" t="str">
        <f>VLOOKUP(J11,'字段对应'!$D$2:$E$8,2,0)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120</v>
      </c>
      <c s="264">
        <v>1</v>
      </c>
      <c s="95" t="s">
        <v>138</v>
      </c>
      <c s="95" t="s">
        <v>249</v>
      </c>
      <c s="95" t="s">
        <v>247</v>
      </c>
      <c s="95" t="s">
        <v>247</v>
      </c>
      <c s="65">
        <f>VLOOKUP(A11,'对应信息'!$D$2:$E$10,2,0)</f>
        <v>7E+3</v>
      </c>
      <c s="65">
        <f t="shared" si="0"/>
        <v>7003</v>
      </c>
      <c s="79"/>
    </row>
    <row r="12" ht="40.5">
      <c r="A12" s="95" t="s">
        <v>202</v>
      </c>
      <c s="95" t="s">
        <v>206</v>
      </c>
      <c s="95"/>
      <c s="95" t="str">
        <f>_xlfn.SINGLE(IF(L12="","",'字段对应'!$B$10&amp;"="&amp;VLOOKUP(L12,'基础信息'!$I$2:$J$6,2,0)&amp;";"))&amp;_xlfn.SINGLE(IF(M12="","",'字段对应'!$B$11&amp;"="&amp;VLOOKUP(M12,'基础信息'!$K$2:$L$6,2,0)&amp;";"))&amp;_xlfn.SINGLE(IF(N12="","",'字段对应'!$C$2&amp;"="&amp;N12&amp;","&amp;O12&amp;","&amp;P12&amp;";"))&amp;_xlfn.SINGLE(IF(Q12="","",'字段对应'!$B$13&amp;"="&amp;Q12&amp;";"))&amp;_xlfn.SINGLE(IF(R12="","",'字段对应'!$B$14&amp;"="&amp;R12&amp;";"))&amp;_xlfn.SINGLE(IF(U12="","",'字段对应'!$B$22&amp;"="&amp;U12&amp;";"))&amp;_xlfn.SINGLE(IF(K12="","",'字段对应'!$B$21&amp;"="&amp;VLOOKUP(K12,'基础信息'!$F$2:$G$4,2,0)))</f>
        <v>PhotoMode=1;ScanSpeed=2;Slit1=2.0;ResponseTime=1;</v>
      </c>
      <c s="95" t="str">
        <f>_xlfn.SINGLE(IF(W12="","",'检测项信息'!W12&amp;":"&amp;'字段对应'!$B$16&amp;"|"))&amp;IF(X12="","",X12&amp;":"&amp;IF(V12="是",'字段对应'!$C$17,'字段对应'!$B$17&amp;";"&amp;_xlfn.SINGLE(IF(H12="","",'字段对应'!$B$15&amp;"="&amp;'检测项信息'!H12)))&amp;"|")&amp;_xlfn.SINGLE(IF(Y12="",":",Y12&amp;":"))&amp;IF(V12="是",'字段对应'!$C$18,'字段对应'!$B$18&amp;";"&amp;_xlfn.SINGLE(IF(H12="","",'字段对应'!$B$15&amp;"="&amp;'检测项信息'!H12))&amp;_xlfn.SINGLE(IF(AND(T12="",S12=""),"",";"&amp;'字段对应'!$B$20&amp;"="&amp;T12&amp;";"&amp;'字段对应'!$B$19&amp;"="&amp;S12)))</f>
        <v>黑挡块:Dark|空气:Zero;Wl=250|黑挡块:Measure;Wl=250;totalcount=120;timeinterval=1</v>
      </c>
      <c s="65">
        <v>1</v>
      </c>
      <c s="95"/>
      <c s="65">
        <v>250</v>
      </c>
      <c s="95" t="str">
        <f>VLOOKUP(J12,'字段对应'!$D$2:$E$8,2,0)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120</v>
      </c>
      <c s="264">
        <v>1</v>
      </c>
      <c s="95" t="s">
        <v>138</v>
      </c>
      <c s="95" t="s">
        <v>249</v>
      </c>
      <c s="95" t="s">
        <v>247</v>
      </c>
      <c s="95" t="s">
        <v>249</v>
      </c>
      <c s="65">
        <f>VLOOKUP(A12,'对应信息'!$D$2:$E$10,2,0)</f>
        <v>7E+3</v>
      </c>
      <c s="65">
        <f t="shared" si="0"/>
        <v>7004</v>
      </c>
      <c s="79"/>
    </row>
    <row r="13" ht="54">
      <c r="A13" s="95" t="s">
        <v>207</v>
      </c>
      <c s="95" t="s">
        <v>208</v>
      </c>
      <c s="95"/>
      <c s="95" t="str">
        <f>_xlfn.SINGLE(IF(L13="","",'字段对应'!$B$10&amp;"="&amp;VLOOKUP(L13,'基础信息'!$I$2:$J$6,2,0)&amp;";"))&amp;_xlfn.SINGLE(IF(M13="","",'字段对应'!$B$11&amp;"="&amp;VLOOKUP(M13,'基础信息'!$K$2:$L$6,2,0)&amp;";"))&amp;_xlfn.SINGLE(IF(N13="","",'字段对应'!$C$2&amp;"="&amp;N13&amp;","&amp;O13&amp;","&amp;P13&amp;";"))&amp;_xlfn.SINGLE(IF(Q13="","",'字段对应'!$B$13&amp;"="&amp;Q13&amp;";"))&amp;_xlfn.SINGLE(IF(R13="","",'字段对应'!$B$14&amp;"="&amp;R13&amp;";"))&amp;_xlfn.SINGLE(IF(U13="","",'字段对应'!$B$22&amp;"="&amp;U13&amp;";"))&amp;_xlfn.SINGLE(IF(K13="","",'字段对应'!$B$21&amp;"="&amp;VLOOKUP(K13,'基础信息'!$F$2:$G$4,2,0)))</f>
        <v>PhotoMode=1;ScanSpeed=2;Slit1=2.0;ResponseTime=1;</v>
      </c>
      <c s="95" t="str">
        <f>_xlfn.SINGLE(IF(W13="","",'检测项信息'!W13&amp;":"&amp;'字段对应'!$B$16&amp;"|"))&amp;IF(X13="","",X13&amp;":"&amp;IF(V13="是",'字段对应'!$C$17,'字段对应'!$B$17&amp;";"&amp;_xlfn.SINGLE(IF(H13="","",'字段对应'!$B$15&amp;"="&amp;'检测项信息'!H13)))&amp;"|")&amp;_xlfn.SINGLE(IF(Y13="",":",Y13&amp;":"))&amp;IF(V13="是",'字段对应'!$C$18,'字段对应'!$B$18&amp;";"&amp;_xlfn.SINGLE(IF(H13="","",'字段对应'!$B$15&amp;"="&amp;'检测项信息'!H13))&amp;_xlfn.SINGLE(IF(AND(T13="",S13=""),"",";"&amp;'字段对应'!$B$20&amp;"="&amp;T13&amp;";"&amp;'字段对应'!$B$19&amp;"="&amp;S13)))</f>
        <v>黑挡块:Dark|空气:Zero;Wl=1090|空气:Measure;Wl=1090;totalcount=180;timeinterval=1</v>
      </c>
      <c s="65">
        <v>1</v>
      </c>
      <c s="95"/>
      <c s="65">
        <v>1090</v>
      </c>
      <c s="95" t="str">
        <f>VLOOKUP(J13,'字段对应'!$D$2:$E$8,2,0)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180</v>
      </c>
      <c s="264">
        <v>1</v>
      </c>
      <c s="95" t="s">
        <v>138</v>
      </c>
      <c s="95" t="s">
        <v>249</v>
      </c>
      <c s="95" t="s">
        <v>247</v>
      </c>
      <c s="95" t="s">
        <v>247</v>
      </c>
      <c s="65">
        <f>VLOOKUP(A13,'对应信息'!$D$2:$E$10,2,0)</f>
        <v>8E+3</v>
      </c>
      <c s="65">
        <f t="shared" si="0"/>
        <v>8001</v>
      </c>
      <c s="79"/>
    </row>
    <row r="14" ht="54">
      <c r="A14" s="95" t="s">
        <v>207</v>
      </c>
      <c s="95" t="s">
        <v>209</v>
      </c>
      <c s="95"/>
      <c s="95" t="str">
        <f>_xlfn.SINGLE(IF(L14="","",'字段对应'!$B$10&amp;"="&amp;VLOOKUP(L14,'基础信息'!$I$2:$J$6,2,0)&amp;";"))&amp;_xlfn.SINGLE(IF(M14="","",'字段对应'!$B$11&amp;"="&amp;VLOOKUP(M14,'基础信息'!$K$2:$L$6,2,0)&amp;";"))&amp;_xlfn.SINGLE(IF(N14="","",'字段对应'!$C$2&amp;"="&amp;N14&amp;","&amp;O14&amp;","&amp;P14&amp;";"))&amp;_xlfn.SINGLE(IF(Q14="","",'字段对应'!$B$13&amp;"="&amp;Q14&amp;";"))&amp;_xlfn.SINGLE(IF(R14="","",'字段对应'!$B$14&amp;"="&amp;R14&amp;";"))&amp;_xlfn.SINGLE(IF(U14="","",'字段对应'!$B$22&amp;"="&amp;U14&amp;";"))&amp;_xlfn.SINGLE(IF(K14="","",'字段对应'!$B$21&amp;"="&amp;VLOOKUP(K14,'基础信息'!$F$2:$G$4,2,0)))</f>
        <v>PhotoMode=1;ScanSpeed=2;Slit1=2.0;ResponseTime=1;</v>
      </c>
      <c s="95" t="str">
        <f>_xlfn.SINGLE(IF(W14="","",'检测项信息'!W14&amp;":"&amp;'字段对应'!$B$16&amp;"|"))&amp;IF(X14="","",X14&amp;":"&amp;IF(V14="是",'字段对应'!$C$17,'字段对应'!$B$17&amp;";"&amp;_xlfn.SINGLE(IF(H14="","",'字段对应'!$B$15&amp;"="&amp;'检测项信息'!H14)))&amp;"|")&amp;_xlfn.SINGLE(IF(Y14="",":",Y14&amp;":"))&amp;IF(V14="是",'字段对应'!$C$18,'字段对应'!$B$18&amp;";"&amp;_xlfn.SINGLE(IF(H14="","",'字段对应'!$B$15&amp;"="&amp;'检测项信息'!H14))&amp;_xlfn.SINGLE(IF(AND(T14="",S14=""),"",";"&amp;'字段对应'!$B$20&amp;"="&amp;T14&amp;";"&amp;'字段对应'!$B$19&amp;"="&amp;S14)))</f>
        <v>黑挡块:Dark|空气:Zero;Wl=1090|黑挡块:Measure;Wl=1090;totalcount=180;timeinterval=1</v>
      </c>
      <c s="65">
        <v>1</v>
      </c>
      <c s="95"/>
      <c s="65">
        <v>1090</v>
      </c>
      <c s="95" t="str">
        <f>VLOOKUP(J14,'字段对应'!$D$2:$E$8,2,0)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180</v>
      </c>
      <c s="264">
        <v>1</v>
      </c>
      <c s="95" t="s">
        <v>138</v>
      </c>
      <c s="95" t="s">
        <v>249</v>
      </c>
      <c s="95" t="s">
        <v>247</v>
      </c>
      <c s="95" t="s">
        <v>249</v>
      </c>
      <c s="65">
        <f>VLOOKUP(A14,'对应信息'!$D$2:$E$10,2,0)</f>
        <v>8E+3</v>
      </c>
      <c s="65">
        <f t="shared" si="0"/>
        <v>8002</v>
      </c>
      <c s="79"/>
    </row>
    <row r="15" ht="40.5">
      <c r="A15" s="95" t="s">
        <v>207</v>
      </c>
      <c s="95" t="s">
        <v>210</v>
      </c>
      <c s="95"/>
      <c s="95" t="str">
        <f>_xlfn.SINGLE(IF(L15="","",'字段对应'!$B$10&amp;"="&amp;VLOOKUP(L15,'基础信息'!$I$2:$J$6,2,0)&amp;";"))&amp;_xlfn.SINGLE(IF(M15="","",'字段对应'!$B$11&amp;"="&amp;VLOOKUP(M15,'基础信息'!$K$2:$L$6,2,0)&amp;";"))&amp;_xlfn.SINGLE(IF(N15="","",'字段对应'!$C$2&amp;"="&amp;N15&amp;","&amp;O15&amp;","&amp;P15&amp;";"))&amp;_xlfn.SINGLE(IF(Q15="","",'字段对应'!$B$13&amp;"="&amp;Q15&amp;";"))&amp;_xlfn.SINGLE(IF(R15="","",'字段对应'!$B$14&amp;"="&amp;R15&amp;";"))&amp;_xlfn.SINGLE(IF(U15="","",'字段对应'!$B$22&amp;"="&amp;U15&amp;";"))&amp;_xlfn.SINGLE(IF(K15="","",'字段对应'!$B$21&amp;"="&amp;VLOOKUP(K15,'基础信息'!$F$2:$G$4,2,0)))</f>
        <v>PhotoMode=1;ScanSpeed=2;Slit1=2.0;ResponseTime=1;</v>
      </c>
      <c s="95" t="str">
        <f>_xlfn.SINGLE(IF(W15="","",'检测项信息'!W15&amp;":"&amp;'字段对应'!$B$16&amp;"|"))&amp;IF(X15="","",X15&amp;":"&amp;IF(V15="是",'字段对应'!$C$17,'字段对应'!$B$17&amp;";"&amp;_xlfn.SINGLE(IF(H15="","",'字段对应'!$B$15&amp;"="&amp;'检测项信息'!H15)))&amp;"|")&amp;_xlfn.SINGLE(IF(Y15="",":",Y15&amp;":"))&amp;IF(V15="是",'字段对应'!$C$18,'字段对应'!$B$18&amp;";"&amp;_xlfn.SINGLE(IF(H15="","",'字段对应'!$B$15&amp;"="&amp;'检测项信息'!H15))&amp;_xlfn.SINGLE(IF(AND(T15="",S15=""),"",";"&amp;'字段对应'!$B$20&amp;"="&amp;T15&amp;";"&amp;'字段对应'!$B$19&amp;"="&amp;S15)))</f>
        <v>黑挡块:Dark|空气:Zero;Wl=200|空气:Measure;Wl=200;totalcount=180;timeinterval=1</v>
      </c>
      <c s="65">
        <v>1</v>
      </c>
      <c s="95"/>
      <c s="65">
        <v>200</v>
      </c>
      <c s="95" t="str">
        <f>VLOOKUP(J15,'字段对应'!$D$2:$E$8,2,0)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180</v>
      </c>
      <c s="264">
        <v>1</v>
      </c>
      <c s="95" t="s">
        <v>138</v>
      </c>
      <c s="95" t="s">
        <v>249</v>
      </c>
      <c s="95" t="s">
        <v>247</v>
      </c>
      <c s="95" t="s">
        <v>247</v>
      </c>
      <c s="65">
        <f>VLOOKUP(A15,'对应信息'!$D$2:$E$10,2,0)</f>
        <v>8E+3</v>
      </c>
      <c s="65">
        <f t="shared" si="0"/>
        <v>8003</v>
      </c>
      <c s="79"/>
    </row>
    <row r="16" ht="40.5">
      <c r="A16" s="95" t="s">
        <v>207</v>
      </c>
      <c s="95" t="s">
        <v>211</v>
      </c>
      <c s="95"/>
      <c s="95" t="str">
        <f>_xlfn.SINGLE(IF(L16="","",'字段对应'!$B$10&amp;"="&amp;VLOOKUP(L16,'基础信息'!$I$2:$J$6,2,0)&amp;";"))&amp;_xlfn.SINGLE(IF(M16="","",'字段对应'!$B$11&amp;"="&amp;VLOOKUP(M16,'基础信息'!$K$2:$L$6,2,0)&amp;";"))&amp;_xlfn.SINGLE(IF(N16="","",'字段对应'!$C$2&amp;"="&amp;N16&amp;","&amp;O16&amp;","&amp;P16&amp;";"))&amp;_xlfn.SINGLE(IF(Q16="","",'字段对应'!$B$13&amp;"="&amp;Q16&amp;";"))&amp;_xlfn.SINGLE(IF(R16="","",'字段对应'!$B$14&amp;"="&amp;R16&amp;";"))&amp;_xlfn.SINGLE(IF(U16="","",'字段对应'!$B$22&amp;"="&amp;U16&amp;";"))&amp;_xlfn.SINGLE(IF(K16="","",'字段对应'!$B$21&amp;"="&amp;VLOOKUP(K16,'基础信息'!$F$2:$G$4,2,0)))</f>
        <v>PhotoMode=1;ScanSpeed=2;Slit1=2.0;ResponseTime=1;</v>
      </c>
      <c s="95" t="str">
        <f>_xlfn.SINGLE(IF(W16="","",'检测项信息'!W16&amp;":"&amp;'字段对应'!$B$16&amp;"|"))&amp;IF(X16="","",X16&amp;":"&amp;IF(V16="是",'字段对应'!$C$17,'字段对应'!$B$17&amp;";"&amp;_xlfn.SINGLE(IF(H16="","",'字段对应'!$B$15&amp;"="&amp;'检测项信息'!H16)))&amp;"|")&amp;_xlfn.SINGLE(IF(Y16="",":",Y16&amp;":"))&amp;IF(V16="是",'字段对应'!$C$18,'字段对应'!$B$18&amp;";"&amp;_xlfn.SINGLE(IF(H16="","",'字段对应'!$B$15&amp;"="&amp;'检测项信息'!H16))&amp;_xlfn.SINGLE(IF(AND(T16="",S16=""),"",";"&amp;'字段对应'!$B$20&amp;"="&amp;T16&amp;";"&amp;'字段对应'!$B$19&amp;"="&amp;S16)))</f>
        <v>黑挡块:Dark|空气:Zero;Wl=200|黑挡块:Measure;Wl=200;totalcount=180;timeinterval=1</v>
      </c>
      <c s="65">
        <v>1</v>
      </c>
      <c s="95"/>
      <c s="65">
        <v>200</v>
      </c>
      <c s="95" t="str">
        <f>VLOOKUP(J16,'字段对应'!$D$2:$E$8,2,0)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180</v>
      </c>
      <c s="264">
        <v>1</v>
      </c>
      <c s="95" t="s">
        <v>138</v>
      </c>
      <c s="95" t="s">
        <v>249</v>
      </c>
      <c s="95" t="s">
        <v>247</v>
      </c>
      <c s="95" t="s">
        <v>249</v>
      </c>
      <c s="65">
        <f>VLOOKUP(A16,'对应信息'!$D$2:$E$10,2,0)</f>
        <v>8E+3</v>
      </c>
      <c s="65">
        <f t="shared" si="0"/>
        <v>8004</v>
      </c>
      <c s="79"/>
    </row>
    <row r="17" ht="39.75" customHeight="1">
      <c r="A17" s="95" t="s">
        <v>198</v>
      </c>
      <c s="95" t="s">
        <v>254</v>
      </c>
      <c s="95"/>
      <c s="95" t="str">
        <f>_xlfn.SINGLE(IF(L17="","",'字段对应'!$B$10&amp;"="&amp;VLOOKUP(L17,'基础信息'!$I$2:$J$6,2,0)&amp;";"))&amp;_xlfn.SINGLE(IF(M17="","",'字段对应'!$B$11&amp;"="&amp;VLOOKUP(M17,'基础信息'!$K$2:$L$6,2,0)&amp;";"))&amp;_xlfn.SINGLE(IF(N17="","",'字段对应'!$C$2&amp;"="&amp;N17&amp;","&amp;O17&amp;","&amp;P17&amp;";"))&amp;_xlfn.SINGLE(IF(Q17="","",'字段对应'!$B$13&amp;"="&amp;Q17&amp;";"))&amp;_xlfn.SINGLE(IF(R17="","",'字段对应'!$B$14&amp;"="&amp;R17&amp;";"))&amp;_xlfn.SINGLE(IF(U17="","",'字段对应'!$B$22&amp;"="&amp;U17&amp;";"))&amp;_xlfn.SINGLE(IF(K17="","",'字段对应'!$B$21&amp;"="&amp;VLOOKUP(K17,'基础信息'!$F$2:$G$4,2,0)))</f>
        <v>PhotoMode=1;ScanSpeed=2;Slit1=2.0;</v>
      </c>
      <c s="95" t="str">
        <f>_xlfn.SINGLE(IF(W17="","",'检测项信息'!W17&amp;":"&amp;'字段对应'!$B$16&amp;"|"))&amp;IF(X17="","",X17&amp;":"&amp;IF(V17="是",'字段对应'!$C$17,'字段对应'!$B$17&amp;";"&amp;_xlfn.SINGLE(IF(H17="","",'字段对应'!$B$15&amp;"="&amp;'检测项信息'!H17)))&amp;"|")&amp;_xlfn.SINGLE(IF(Y17="",":",Y17&amp;":"))&amp;IF(V17="是",'字段对应'!$C$18,'字段对应'!$B$18&amp;";"&amp;_xlfn.SINGLE(IF(H17="","",'字段对应'!$B$15&amp;"="&amp;'检测项信息'!H17))&amp;_xlfn.SINGLE(IF(AND(T17="",S17=""),"",";"&amp;'字段对应'!$B$20&amp;"="&amp;T17&amp;";"&amp;'字段对应'!$B$19&amp;"="&amp;S17)))</f>
        <v>黑挡块:Dark|碘化钠空白溶液:Zero;Wl=220|碘化钠溶液:Measure;Wl=220</v>
      </c>
      <c s="65">
        <v>3</v>
      </c>
      <c s="65">
        <v>1</v>
      </c>
      <c s="95" t="s">
        <v>255</v>
      </c>
      <c s="95" t="str">
        <f>VLOOKUP(J17,'字段对应'!$D$2:$E$8,2,0)</f>
        <v>Validation.ViewModel.DataStructure.WlPointsUVTestTool</v>
      </c>
      <c s="95" t="s">
        <v>256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76"/>
      <c s="276"/>
      <c s="276"/>
      <c s="95" t="s">
        <v>138</v>
      </c>
      <c s="95" t="s">
        <v>249</v>
      </c>
      <c s="95" t="s">
        <v>257</v>
      </c>
      <c s="95" t="s">
        <v>161</v>
      </c>
      <c s="65">
        <f>VLOOKUP(A17,'对应信息'!$D$2:$E$10,2,0)</f>
        <v>3E+3</v>
      </c>
      <c s="65">
        <f t="shared" si="0"/>
        <v>3001</v>
      </c>
      <c s="79"/>
    </row>
    <row r="18" ht="27">
      <c r="A18" s="95" t="s">
        <v>198</v>
      </c>
      <c s="95" t="s">
        <v>258</v>
      </c>
      <c s="95"/>
      <c s="95" t="str">
        <f>_xlfn.SINGLE(IF(L18="","",'字段对应'!$B$10&amp;"="&amp;VLOOKUP(L18,'基础信息'!$I$2:$J$6,2,0)&amp;";"))&amp;_xlfn.SINGLE(IF(M18="","",'字段对应'!$B$11&amp;"="&amp;VLOOKUP(M18,'基础信息'!$K$2:$L$6,2,0)&amp;";"))&amp;_xlfn.SINGLE(IF(N18="","",'字段对应'!$C$2&amp;"="&amp;N18&amp;","&amp;O18&amp;","&amp;P18&amp;";"))&amp;_xlfn.SINGLE(IF(Q18="","",'字段对应'!$B$13&amp;"="&amp;Q18&amp;";"))&amp;_xlfn.SINGLE(IF(R18="","",'字段对应'!$B$14&amp;"="&amp;R18&amp;";"))&amp;_xlfn.SINGLE(IF(U18="","",'字段对应'!$B$22&amp;"="&amp;U18&amp;";"))&amp;_xlfn.SINGLE(IF(K18="","",'字段对应'!$B$21&amp;"="&amp;VLOOKUP(K18,'基础信息'!$F$2:$G$4,2,0)))</f>
        <v>PhotoMode=1;ScanSpeed=2;Slit1=2.0;</v>
      </c>
      <c s="95" t="str">
        <f>_xlfn.SINGLE(IF(W18="","",'检测项信息'!W18&amp;":"&amp;'字段对应'!$B$16&amp;"|"))&amp;IF(X18="","",X18&amp;":"&amp;IF(V18="是",'字段对应'!$C$17,'字段对应'!$B$17&amp;";"&amp;_xlfn.SINGLE(IF(H18="","",'字段对应'!$B$15&amp;"="&amp;'检测项信息'!H18)))&amp;"|")&amp;_xlfn.SINGLE(IF(Y18="",":",Y18&amp;":"))&amp;IF(V18="是",'字段对应'!$C$18,'字段对应'!$B$18&amp;";"&amp;_xlfn.SINGLE(IF(H18="","",'字段对应'!$B$15&amp;"="&amp;'检测项信息'!H18))&amp;_xlfn.SINGLE(IF(AND(T18="",S18=""),"",";"&amp;'字段对应'!$B$20&amp;"="&amp;T18&amp;";"&amp;'字段对应'!$B$19&amp;"="&amp;S18)))</f>
        <v>黑挡块:Dark|亚硝酸钠空白溶液:Zero;Wl=360|亚硝酸钠溶液:Measure;Wl=360</v>
      </c>
      <c s="65">
        <v>3</v>
      </c>
      <c s="65">
        <v>1</v>
      </c>
      <c s="95" t="s">
        <v>259</v>
      </c>
      <c s="95" t="str">
        <f>VLOOKUP(J18,'字段对应'!$D$2:$E$8,2,0)</f>
        <v>Validation.ViewModel.DataStructure.WlPointsUVTestTool</v>
      </c>
      <c s="95" t="s">
        <v>256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76"/>
      <c s="276"/>
      <c s="276"/>
      <c s="95" t="s">
        <v>138</v>
      </c>
      <c s="95" t="s">
        <v>249</v>
      </c>
      <c s="95" t="s">
        <v>260</v>
      </c>
      <c s="95" t="s">
        <v>162</v>
      </c>
      <c s="65">
        <f>VLOOKUP(A18,'对应信息'!$D$2:$E$10,2,0)</f>
        <v>3E+3</v>
      </c>
      <c s="65">
        <f t="shared" si="0"/>
        <v>3002</v>
      </c>
      <c s="79"/>
    </row>
    <row r="19" ht="40.5">
      <c r="A19" s="95" t="s">
        <v>190</v>
      </c>
      <c s="95" t="s">
        <v>49</v>
      </c>
      <c s="95"/>
      <c s="95" t="str">
        <f>_xlfn.SINGLE(IF(L19="","",'字段对应'!$B$10&amp;"="&amp;VLOOKUP(L19,'基础信息'!$I$2:$J$6,2,0)&amp;";"))&amp;_xlfn.SINGLE(IF(M19="","",'字段对应'!$B$11&amp;"="&amp;VLOOKUP(M19,'基础信息'!$K$2:$L$6,2,0)&amp;";"))&amp;_xlfn.SINGLE(IF(N19="","",'字段对应'!$C$2&amp;"="&amp;N19&amp;","&amp;O19&amp;","&amp;P19&amp;";"))&amp;_xlfn.SINGLE(IF(Q19="","",'字段对应'!$B$13&amp;"="&amp;Q19&amp;";"))&amp;_xlfn.SINGLE(IF(R19="","",'字段对应'!$B$14&amp;"="&amp;R19&amp;";"))&amp;_xlfn.SINGLE(IF(U19="","",'字段对应'!$B$22&amp;"="&amp;U19&amp;";"))&amp;_xlfn.SINGLE(IF(K19="","",'字段对应'!$B$21&amp;"="&amp;VLOOKUP(K19,'基础信息'!$F$2:$G$4,2,0)))</f>
        <v>PhotoMode=1;ScanSpeed=2;Slit1=2.0;</v>
      </c>
      <c s="95" t="str">
        <f>_xlfn.SINGLE(IF(W19="","",'检测项信息'!W19&amp;":"&amp;'字段对应'!$B$16&amp;"|"))&amp;IF(X19="","",X19&amp;":"&amp;IF(V19="是",'字段对应'!$C$17,'字段对应'!$B$17&amp;";"&amp;_xlfn.SINGLE(IF(H19="","",'字段对应'!$B$15&amp;"="&amp;'检测项信息'!H19)))&amp;"|")&amp;_xlfn.SINGLE(IF(Y19="",":",Y19&amp;":"))&amp;IF(V19="是",'字段对应'!$C$18,'字段对应'!$B$18&amp;";"&amp;_xlfn.SINGLE(IF(H19="","",'字段对应'!$B$15&amp;"="&amp;'检测项信息'!H19))&amp;_xlfn.SINGLE(IF(AND(T19="",S19=""),"",";"&amp;'字段对应'!$B$20&amp;"="&amp;T19&amp;";"&amp;'字段对应'!$B$19&amp;"="&amp;S19)))</f>
        <v>黑挡块:Dark|紫外分光光度计标准物质空白溶液:Zero;Wl=350,313,257,235|紫外分光光度计标准物质GBW(E)130066:Measure;Wl=350,313,257,235</v>
      </c>
      <c s="65">
        <v>3</v>
      </c>
      <c s="65">
        <v>1</v>
      </c>
      <c s="95" t="s">
        <v>261</v>
      </c>
      <c s="95" t="str">
        <f>VLOOKUP(J19,'字段对应'!$D$2:$E$8,2,0)</f>
        <v>Validation.ViewModel.DataStructure.WlPointsAndAverageUVTestTool</v>
      </c>
      <c s="95" t="s">
        <v>262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76"/>
      <c s="276"/>
      <c s="276"/>
      <c s="95" t="s">
        <v>138</v>
      </c>
      <c s="95" t="s">
        <v>249</v>
      </c>
      <c s="212" t="s">
        <v>263</v>
      </c>
      <c s="95" t="s">
        <v>49</v>
      </c>
      <c s="65">
        <f>VLOOKUP(A19,'对应信息'!$D$2:$E$10,2,0)</f>
        <v>2E+3</v>
      </c>
      <c s="65">
        <f t="shared" si="0"/>
        <v>2001</v>
      </c>
      <c s="79" t="s">
        <v>264</v>
      </c>
    </row>
    <row r="20" ht="27">
      <c r="A20" s="95" t="s">
        <v>190</v>
      </c>
      <c s="95" t="s">
        <v>39</v>
      </c>
      <c s="95"/>
      <c s="95" t="str">
        <f>_xlfn.SINGLE(IF(L20="","",'字段对应'!$B$10&amp;"="&amp;VLOOKUP(L20,'基础信息'!$I$2:$J$6,2,0)&amp;";"))&amp;_xlfn.SINGLE(IF(M20="","",'字段对应'!$B$11&amp;"="&amp;VLOOKUP(M20,'基础信息'!$K$2:$L$6,2,0)&amp;";"))&amp;_xlfn.SINGLE(IF(N20="","",'字段对应'!$C$2&amp;"="&amp;N20&amp;","&amp;O20&amp;","&amp;P20&amp;";"))&amp;_xlfn.SINGLE(IF(Q20="","",'字段对应'!$B$13&amp;"="&amp;Q20&amp;";"))&amp;_xlfn.SINGLE(IF(R20="","",'字段对应'!$B$14&amp;"="&amp;R20&amp;";"))&amp;_xlfn.SINGLE(IF(U20="","",'字段对应'!$B$22&amp;"="&amp;U20&amp;";"))&amp;_xlfn.SINGLE(IF(K20="","",'字段对应'!$B$21&amp;"="&amp;VLOOKUP(K20,'基础信息'!$F$2:$G$4,2,0)))</f>
        <v>PhotoMode=1;ScanSpeed=2;Slit1=2.0;</v>
      </c>
      <c s="95" t="str">
        <f>_xlfn.SINGLE(IF(W20="","",'检测项信息'!W20&amp;":"&amp;'字段对应'!$B$16&amp;"|"))&amp;IF(X20="","",X20&amp;":"&amp;IF(V20="是",'字段对应'!$C$17,'字段对应'!$B$17&amp;";"&amp;_xlfn.SINGLE(IF(H20="","",'字段对应'!$B$15&amp;"="&amp;'检测项信息'!H20)))&amp;"|")&amp;_xlfn.SINGLE(IF(Y20="",":",Y20&amp;":"))&amp;IF(V20="是",'字段对应'!$C$18,'字段对应'!$B$18&amp;";"&amp;_xlfn.SINGLE(IF(H20="","",'字段对应'!$B$15&amp;"="&amp;'检测项信息'!H20))&amp;_xlfn.SINGLE(IF(AND(T20="",S20=""),"",";"&amp;'字段对应'!$B$20&amp;"="&amp;T20&amp;";"&amp;'字段对应'!$B$19&amp;"="&amp;S20)))</f>
        <v>黑挡块:Dark|空气:Zero;Wl=635,546,440|10%中性滤光片:Measure;Wl=635,546,440</v>
      </c>
      <c s="65">
        <v>3</v>
      </c>
      <c s="65">
        <v>1</v>
      </c>
      <c s="95" t="s">
        <v>265</v>
      </c>
      <c s="95" t="str">
        <f>VLOOKUP(J20,'字段对应'!$D$2:$E$8,2,0)</f>
        <v>Validation.ViewModel.DataStructure.WlPointsAndAverageUVTestTool</v>
      </c>
      <c s="95" t="s">
        <v>262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76"/>
      <c s="276"/>
      <c s="276"/>
      <c s="95" t="s">
        <v>138</v>
      </c>
      <c s="95" t="s">
        <v>249</v>
      </c>
      <c s="95" t="s">
        <v>247</v>
      </c>
      <c s="95" t="s">
        <v>39</v>
      </c>
      <c s="65">
        <f>VLOOKUP(A20,'对应信息'!$D$2:$E$10,2,0)</f>
        <v>2E+3</v>
      </c>
      <c s="65">
        <f t="shared" si="0"/>
        <v>2002</v>
      </c>
      <c s="79" t="s">
        <v>266</v>
      </c>
    </row>
    <row r="21" ht="27">
      <c r="A21" s="95" t="s">
        <v>190</v>
      </c>
      <c s="95" t="s">
        <v>45</v>
      </c>
      <c s="95"/>
      <c s="95" t="str">
        <f>_xlfn.SINGLE(IF(L21="","",'字段对应'!$B$10&amp;"="&amp;VLOOKUP(L21,'基础信息'!$I$2:$J$6,2,0)&amp;";"))&amp;_xlfn.SINGLE(IF(M21="","",'字段对应'!$B$11&amp;"="&amp;VLOOKUP(M21,'基础信息'!$K$2:$L$6,2,0)&amp;";"))&amp;_xlfn.SINGLE(IF(N21="","",'字段对应'!$C$2&amp;"="&amp;N21&amp;","&amp;O21&amp;","&amp;P21&amp;";"))&amp;_xlfn.SINGLE(IF(Q21="","",'字段对应'!$B$13&amp;"="&amp;Q21&amp;";"))&amp;_xlfn.SINGLE(IF(R21="","",'字段对应'!$B$14&amp;"="&amp;R21&amp;";"))&amp;_xlfn.SINGLE(IF(U21="","",'字段对应'!$B$22&amp;"="&amp;U21&amp;";"))&amp;_xlfn.SINGLE(IF(K21="","",'字段对应'!$B$21&amp;"="&amp;VLOOKUP(K21,'基础信息'!$F$2:$G$4,2,0)))</f>
        <v>PhotoMode=1;ScanSpeed=2;Slit1=2.0;</v>
      </c>
      <c s="95" t="str">
        <f>_xlfn.SINGLE(IF(W21="","",'检测项信息'!W21&amp;":"&amp;'字段对应'!$B$16&amp;"|"))&amp;IF(X21="","",X21&amp;":"&amp;IF(V21="是",'字段对应'!$C$17,'字段对应'!$B$17&amp;";"&amp;_xlfn.SINGLE(IF(H21="","",'字段对应'!$B$15&amp;"="&amp;'检测项信息'!H21)))&amp;"|")&amp;_xlfn.SINGLE(IF(Y21="",":",Y21&amp;":"))&amp;IF(V21="是",'字段对应'!$C$18,'字段对应'!$B$18&amp;";"&amp;_xlfn.SINGLE(IF(H21="","",'字段对应'!$B$15&amp;"="&amp;'检测项信息'!H21))&amp;_xlfn.SINGLE(IF(AND(T21="",S21=""),"",";"&amp;'字段对应'!$B$20&amp;"="&amp;T21&amp;";"&amp;'字段对应'!$B$19&amp;"="&amp;S21)))</f>
        <v>黑挡块:Dark|空气:Zero;Wl=635,546,440|20%中性滤光片:Measure;Wl=635,546,440</v>
      </c>
      <c s="65">
        <v>3</v>
      </c>
      <c s="65">
        <v>1</v>
      </c>
      <c s="95" t="s">
        <v>265</v>
      </c>
      <c s="95" t="str">
        <f>VLOOKUP(J21,'字段对应'!$D$2:$E$8,2,0)</f>
        <v>Validation.ViewModel.DataStructure.WlPointsAndAverageUVTestTool</v>
      </c>
      <c s="95" t="s">
        <v>262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76"/>
      <c s="276"/>
      <c s="276"/>
      <c s="95" t="s">
        <v>138</v>
      </c>
      <c s="95" t="s">
        <v>249</v>
      </c>
      <c s="95" t="s">
        <v>247</v>
      </c>
      <c s="95" t="s">
        <v>45</v>
      </c>
      <c s="65">
        <f>VLOOKUP(A21,'对应信息'!$D$2:$E$10,2,0)</f>
        <v>2E+3</v>
      </c>
      <c s="65">
        <f t="shared" si="0"/>
        <v>2003</v>
      </c>
      <c s="79" t="s">
        <v>267</v>
      </c>
    </row>
    <row r="22" ht="40.5" customHeight="1">
      <c r="A22" s="95" t="s">
        <v>190</v>
      </c>
      <c s="95" t="s">
        <v>47</v>
      </c>
      <c s="95"/>
      <c s="95" t="str">
        <f>_xlfn.SINGLE(IF(L22="","",'字段对应'!$B$10&amp;"="&amp;VLOOKUP(L22,'基础信息'!$I$2:$J$6,2,0)&amp;";"))&amp;_xlfn.SINGLE(IF(M22="","",'字段对应'!$B$11&amp;"="&amp;VLOOKUP(M22,'基础信息'!$K$2:$L$6,2,0)&amp;";"))&amp;_xlfn.SINGLE(IF(N22="","",'字段对应'!$C$2&amp;"="&amp;N22&amp;","&amp;O22&amp;","&amp;P22&amp;";"))&amp;_xlfn.SINGLE(IF(Q22="","",'字段对应'!$B$13&amp;"="&amp;Q22&amp;";"))&amp;_xlfn.SINGLE(IF(R22="","",'字段对应'!$B$14&amp;"="&amp;R22&amp;";"))&amp;_xlfn.SINGLE(IF(U22="","",'字段对应'!$B$22&amp;"="&amp;U22&amp;";"))&amp;_xlfn.SINGLE(IF(K22="","",'字段对应'!$B$21&amp;"="&amp;VLOOKUP(K22,'基础信息'!$F$2:$G$4,2,0)))</f>
        <v>PhotoMode=1;ScanSpeed=2;Slit1=2.0;</v>
      </c>
      <c s="95" t="str">
        <f>_xlfn.SINGLE(IF(W22="","",'检测项信息'!W22&amp;":"&amp;'字段对应'!$B$16&amp;"|"))&amp;IF(X22="","",X22&amp;":"&amp;IF(V22="是",'字段对应'!$C$17,'字段对应'!$B$17&amp;";"&amp;_xlfn.SINGLE(IF(H22="","",'字段对应'!$B$15&amp;"="&amp;'检测项信息'!H22)))&amp;"|")&amp;_xlfn.SINGLE(IF(Y22="",":",Y22&amp;":"))&amp;IF(V22="是",'字段对应'!$C$18,'字段对应'!$B$18&amp;";"&amp;_xlfn.SINGLE(IF(H22="","",'字段对应'!$B$15&amp;"="&amp;'检测项信息'!H22))&amp;_xlfn.SINGLE(IF(AND(T22="",S22=""),"",";"&amp;'字段对应'!$B$20&amp;"="&amp;T22&amp;";"&amp;'字段对应'!$B$19&amp;"="&amp;S22)))</f>
        <v>黑挡块:Dark|空气:Zero;Wl=635,546,440|30%中性滤光片:Measure;Wl=635,546,440</v>
      </c>
      <c s="65">
        <v>3</v>
      </c>
      <c s="65">
        <v>1</v>
      </c>
      <c s="95" t="s">
        <v>265</v>
      </c>
      <c s="95" t="str">
        <f>VLOOKUP(J22,'字段对应'!$D$2:$E$8,2,0)</f>
        <v>Validation.ViewModel.DataStructure.WlPointsAndAverageUVTestTool</v>
      </c>
      <c s="95" t="s">
        <v>262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76"/>
      <c s="276"/>
      <c s="276"/>
      <c s="95" t="s">
        <v>138</v>
      </c>
      <c s="95" t="s">
        <v>249</v>
      </c>
      <c s="95" t="s">
        <v>247</v>
      </c>
      <c s="95" t="s">
        <v>47</v>
      </c>
      <c s="65">
        <f>VLOOKUP(A22,'对应信息'!$D$2:$E$10,2,0)</f>
        <v>2E+3</v>
      </c>
      <c s="65">
        <f t="shared" si="0"/>
        <v>2004</v>
      </c>
      <c s="79" t="s">
        <v>268</v>
      </c>
    </row>
    <row r="23" ht="54">
      <c r="A23" s="95" t="s">
        <v>212</v>
      </c>
      <c s="95" t="s">
        <v>212</v>
      </c>
      <c s="95" t="s">
        <v>269</v>
      </c>
      <c s="95" t="str">
        <f>_xlfn.SINGLE(IF(L23="","",'字段对应'!$B$10&amp;"="&amp;VLOOKUP(L23,'基础信息'!$I$2:$J$6,2,0)&amp;";"))&amp;_xlfn.SINGLE(IF(M23="","",'字段对应'!$B$11&amp;"="&amp;VLOOKUP(M23,'基础信息'!$K$2:$L$6,2,0)&amp;";"))&amp;_xlfn.SINGLE(IF(N23="","",'字段对应'!$C$2&amp;"="&amp;N23&amp;","&amp;O23&amp;","&amp;P23&amp;";"))&amp;_xlfn.SINGLE(IF(Q23="","",'字段对应'!$B$13&amp;"="&amp;Q23&amp;";"))&amp;_xlfn.SINGLE(IF(R23="","",'字段对应'!$B$14&amp;"="&amp;R23&amp;";"))&amp;_xlfn.SINGLE(IF(U23="","",'字段对应'!$B$22&amp;"="&amp;U23&amp;";"))&amp;_xlfn.SINGLE(IF(K23="","",'字段对应'!$B$21&amp;"="&amp;VLOOKUP(K23,'基础信息'!$F$2:$G$4,2,0)))</f>
        <v>PhotoMode=1;ScanSpeed=2;Slit1=2.0;ResponseTime=1;</v>
      </c>
      <c s="95" t="str">
        <f>_xlfn.SINGLE(IF(W23="","",'检测项信息'!W23&amp;":"&amp;'字段对应'!$B$16&amp;"|"))&amp;IF(X23="","",X23&amp;":"&amp;IF(V23="是",'字段对应'!$C$17,'字段对应'!$B$17&amp;";"&amp;_xlfn.SINGLE(IF(H23="","",'字段对应'!$B$15&amp;"="&amp;'检测项信息'!H23)))&amp;"|")&amp;_xlfn.SINGLE(IF(Y23="",":",Y23&amp;":"))&amp;IF(V23="是",'字段对应'!$C$18,'字段对应'!$B$18&amp;";"&amp;_xlfn.SINGLE(IF(H23="","",'字段对应'!$B$15&amp;"="&amp;'检测项信息'!H23))&amp;_xlfn.SINGLE(IF(AND(T23="",S23=""),"",";"&amp;'字段对应'!$B$20&amp;"="&amp;T23&amp;";"&amp;'字段对应'!$B$19&amp;"="&amp;S23)))</f>
        <v>黑挡块:Dark|空气:Zero;Wl=500|空气:Measure;Wl=500;totalcount=3600;timeinterval=1</v>
      </c>
      <c s="65">
        <v>1</v>
      </c>
      <c s="95"/>
      <c s="65">
        <v>500</v>
      </c>
      <c s="95" t="str">
        <f>VLOOKUP(J23,'字段对应'!$D$2:$E$8,2,0)</f>
        <v>Validation.ViewModel.DataStructure.FindMaxOffsetUVTestTool</v>
      </c>
      <c s="95" t="s">
        <v>253</v>
      </c>
      <c s="276"/>
      <c s="276" t="s">
        <v>140</v>
      </c>
      <c s="276" t="s">
        <v>146</v>
      </c>
      <c s="276"/>
      <c s="276"/>
      <c s="276"/>
      <c s="276"/>
      <c s="276" t="s">
        <v>151</v>
      </c>
      <c s="264">
        <v>1</v>
      </c>
      <c s="264">
        <v>3600</v>
      </c>
      <c s="264">
        <v>1</v>
      </c>
      <c s="95" t="s">
        <v>138</v>
      </c>
      <c s="95" t="s">
        <v>249</v>
      </c>
      <c s="95" t="s">
        <v>247</v>
      </c>
      <c s="95" t="s">
        <v>247</v>
      </c>
      <c s="65">
        <f>VLOOKUP(A23,'对应信息'!$D$2:$E$10,2,0)</f>
        <v>9E+3</v>
      </c>
      <c s="65">
        <f t="shared" si="0"/>
        <v>9001</v>
      </c>
      <c s="79"/>
    </row>
  </sheetData>
  <dataValidations>
    <dataValidation type="list" allowBlank="1" showInputMessage="1" showErrorMessage="1" sqref="J1:J1048576">
      <formula1>'字段对应'!$D$2:$D$8</formula1>
    </dataValidation>
    <dataValidation type="list" allowBlank="1" showInputMessage="1" showErrorMessage="1" sqref="K1:K1048576">
      <formula1>'基础信息'!$F$2:$F$4</formula1>
    </dataValidation>
    <dataValidation type="list" allowBlank="1" showInputMessage="1" showErrorMessage="1" sqref="L1:L1048576">
      <formula1>'基础信息'!$I$2:$I$6</formula1>
    </dataValidation>
    <dataValidation type="list" allowBlank="1" showInputMessage="1" showErrorMessage="1" sqref="M1:M1048576">
      <formula1>'基础信息'!$K$2:$K$6</formula1>
    </dataValidation>
    <dataValidation type="list" allowBlank="1" showInputMessage="1" showErrorMessage="1" sqref="P1:P1048576">
      <formula1>'基础信息'!$M$2:$M$9</formula1>
    </dataValidation>
    <dataValidation type="list" allowBlank="1" showInputMessage="1" showErrorMessage="1" sqref="Q1:Q1048576">
      <formula1>'基础信息'!$Q$2:$Q$7</formula1>
    </dataValidation>
    <dataValidation type="list" allowBlank="1" showInputMessage="1" showErrorMessage="1" sqref="R1:R1048576">
      <formula1>'基础信息'!$P$2:$P$6</formula1>
    </dataValidation>
    <dataValidation type="list" allowBlank="1" showInputMessage="1" showErrorMessage="1" sqref="U1:U1048576">
      <formula1>'基础信息'!$R$2:$R$5</formula1>
    </dataValidation>
    <dataValidation type="list" allowBlank="1" showInputMessage="1" showErrorMessage="1" sqref="V1:V1048576">
      <formula1>'基础信息'!$E$2:$E$3</formula1>
    </dataValidation>
  </dataValidations>
  <printOptions/>
  <pageMargins left="0.7" right="0.7" top="0.75" bottom="0.75" header="0.3" footer="0.3"/>
  <pageSetup paperSize="9" firstPageNumber="4294963191" copies="0"/>
  <headerFooter/>
  <extLst/>
</worksheet>
</file>

<file path=xl/worksheets/sheet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8"/>
  <sheetViews>
    <sheetView topLeftCell="A1" workbookViewId="0" showRowColHeaders="0">
      <pane topLeftCell="A1"/>
      <selection activeCellId="0" activeCell="A1" sqref="A1"/>
    </sheetView>
  </sheetViews>
  <sheetFormatPr defaultColWidth="9" defaultRowHeight="13.5" customHeight="1"/>
  <cols>
    <col min="1" max="1" width="22.63" customWidth="1" style="9"/>
    <col min="2" max="2" width="44.63" customWidth="1" style="9"/>
    <col min="3" max="3" width="22.63" customWidth="1" style="9"/>
    <col min="4" max="5" width="5.5" customWidth="1" style="9"/>
    <col min="6" max="9" width="22.63" customWidth="1" style="9"/>
    <col min="10" max="16384" width="9" style="9"/>
  </cols>
  <sheetData>
    <row r="1" customHeight="1">
      <c r="A1" s="271" t="s">
        <v>270</v>
      </c>
      <c s="271" t="s">
        <v>271</v>
      </c>
      <c s="271" t="s">
        <v>272</v>
      </c>
      <c s="271" t="s">
        <v>273</v>
      </c>
      <c s="271" t="s">
        <v>274</v>
      </c>
    </row>
    <row r="2" customHeight="1">
      <c r="A2" s="50" t="str">
        <f ca="1" ref="A2:A18" t="shared" si="0">MID(_xlfn.SINGLE(CELL("filename")),FIND("[",_xlfn.SINGLE(CELL("filename")),1)+1,FIND(".",_xlfn.SINGLE(CELL("filename")),1)-FIND("[",_xlfn.SINGLE(CELL("filename")),1)-1)</f>
        <v>34U1602-01-0024_202508110540</v>
      </c>
      <c s="181" t="s">
        <v>275</v>
      </c>
      <c s="50"/>
      <c s="50"/>
      <c s="50"/>
    </row>
    <row r="3" customHeight="1">
      <c r="A3" s="50" t="str">
        <f ca="1" t="shared" si="0"/>
        <v>34U1602-01-0024_202508110540</v>
      </c>
      <c s="181" t="s">
        <v>276</v>
      </c>
      <c s="50"/>
      <c s="50"/>
      <c s="50"/>
    </row>
    <row r="4" customHeight="1">
      <c r="A4" s="50" t="str">
        <f ca="1" t="shared" si="0"/>
        <v>34U1602-01-0024_202508110540</v>
      </c>
      <c s="181" t="s">
        <v>277</v>
      </c>
      <c s="50"/>
      <c s="50"/>
      <c s="50"/>
    </row>
    <row r="5" customHeight="1">
      <c r="A5" s="50" t="str">
        <f ca="1" t="shared" si="0"/>
        <v>34U1602-01-0024_202508110540</v>
      </c>
      <c s="181" t="s">
        <v>278</v>
      </c>
      <c s="50"/>
      <c s="50"/>
      <c s="50"/>
    </row>
    <row r="6" customHeight="1">
      <c r="A6" s="50" t="str">
        <f ca="1" t="shared" si="0"/>
        <v>34U1602-01-0024_202508110540</v>
      </c>
      <c s="181" t="s">
        <v>279</v>
      </c>
      <c s="50"/>
      <c s="50"/>
      <c s="50"/>
    </row>
    <row r="7" customHeight="1">
      <c r="A7" s="50" t="str">
        <f ca="1" t="shared" si="0"/>
        <v>34U1602-01-0024_202508110540</v>
      </c>
      <c s="181" t="s">
        <v>280</v>
      </c>
      <c s="50"/>
      <c s="50"/>
      <c s="50"/>
    </row>
    <row r="8" customHeight="1">
      <c r="A8" s="50" t="str">
        <f ca="1" t="shared" si="0"/>
        <v>34U1602-01-0024_202508110540</v>
      </c>
      <c s="181" t="s">
        <v>281</v>
      </c>
      <c s="50"/>
      <c s="50"/>
      <c s="50"/>
    </row>
    <row r="9" customHeight="1">
      <c r="A9" s="50" t="str">
        <f ca="1" t="shared" si="0"/>
        <v>34U1602-01-0024_202508110540</v>
      </c>
      <c s="181" t="s">
        <v>282</v>
      </c>
      <c s="50"/>
      <c s="50"/>
      <c s="50"/>
    </row>
    <row r="10" customHeight="1">
      <c r="A10" s="50" t="str">
        <f ca="1" t="shared" si="0"/>
        <v>34U1602-01-0024_202508110540</v>
      </c>
      <c s="181" t="s">
        <v>283</v>
      </c>
      <c s="50" t="s">
        <v>361</v>
      </c>
      <c s="161">
        <v>1001</v>
      </c>
      <c s="161">
        <v>1001</v>
      </c>
    </row>
    <row r="11" customHeight="1">
      <c r="A11" s="50" t="str">
        <f ca="1" t="shared" si="0"/>
        <v>34U1602-01-0024_202508110540</v>
      </c>
      <c s="181" t="s">
        <v>284</v>
      </c>
      <c s="50"/>
      <c s="161">
        <v>1002</v>
      </c>
      <c s="161">
        <v>1002</v>
      </c>
    </row>
    <row r="12" customHeight="1">
      <c r="A12" s="50" t="str">
        <f ca="1" t="shared" si="0"/>
        <v>34U1602-01-0024_202508110540</v>
      </c>
      <c s="181" t="s">
        <v>285</v>
      </c>
      <c s="50"/>
      <c s="161">
        <v>2001</v>
      </c>
      <c s="161">
        <v>2001</v>
      </c>
    </row>
    <row r="13" customHeight="1">
      <c r="A13" s="50" t="str">
        <f ca="1" t="shared" si="0"/>
        <v>34U1602-01-0024_202508110540</v>
      </c>
      <c s="181" t="s">
        <v>286</v>
      </c>
      <c s="50"/>
      <c s="161">
        <v>2002</v>
      </c>
      <c s="161">
        <v>2001</v>
      </c>
    </row>
    <row r="14" customHeight="1">
      <c r="A14" s="50" t="str">
        <f ca="1" t="shared" si="0"/>
        <v>34U1602-01-0024_202508110540</v>
      </c>
      <c s="181" t="s">
        <v>287</v>
      </c>
      <c s="50"/>
      <c s="161">
        <v>2003</v>
      </c>
      <c s="161">
        <v>2001</v>
      </c>
    </row>
    <row r="15" customHeight="1">
      <c r="A15" s="50" t="str">
        <f ca="1" t="shared" si="0"/>
        <v>34U1602-01-0024_202508110540</v>
      </c>
      <c s="181" t="s">
        <v>288</v>
      </c>
      <c s="50"/>
      <c s="161">
        <v>2004</v>
      </c>
      <c s="161">
        <v>2001</v>
      </c>
    </row>
    <row r="16" customHeight="1">
      <c r="A16" s="50" t="str">
        <f ca="1" t="shared" si="0"/>
        <v>34U1602-01-0024_202508110540</v>
      </c>
      <c s="181" t="s">
        <v>289</v>
      </c>
      <c s="50"/>
      <c s="161">
        <v>3001</v>
      </c>
      <c s="161">
        <v>3001</v>
      </c>
    </row>
    <row r="17" customHeight="1">
      <c r="A17" s="50" t="str">
        <f ca="1" t="shared" si="0"/>
        <v>34U1602-01-0024_202508110540</v>
      </c>
      <c s="181" t="s">
        <v>290</v>
      </c>
      <c s="50"/>
      <c s="161">
        <v>3002</v>
      </c>
      <c s="161">
        <v>3002</v>
      </c>
    </row>
    <row r="18" customHeight="1">
      <c r="A18" s="50" t="str">
        <f ca="1" t="shared" si="0"/>
        <v>34U1602-01-0024_202508110540</v>
      </c>
      <c s="149" t="s">
        <v>291</v>
      </c>
      <c s="50"/>
      <c s="161">
        <v>4001</v>
      </c>
      <c s="161">
        <v>4001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"/>
  <sheetViews>
    <sheetView topLeftCell="A1" workbookViewId="0" showRowColHeaders="0">
      <pane topLeftCell="A1"/>
      <selection activeCellId="0" activeCell="A1" sqref="A1"/>
    </sheetView>
  </sheetViews>
  <sheetFormatPr defaultColWidth="9" defaultRowHeight="13.5" customHeight="1"/>
  <cols>
    <col min="1" max="1" width="35.75" customWidth="1" style="9"/>
    <col min="2" max="16384" width="9" style="9"/>
  </cols>
  <sheetData>
    <row r="1" ht="189.75" customHeight="1">
      <c r="A1" s="105"/>
    </row>
  </sheetData>
  <printOptions/>
  <pageMargins left="0.7" right="0.7" top="0.75" bottom="0.75" header="0.3" footer="0.3"/>
  <pageSetup firstPageNumber="4294963191" copies="0"/>
  <headerFooter/>
  <extLst/>
</worksheet>
</file>

<file path=xl/worksheets/sheet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23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35.38" customWidth="1" style="9"/>
    <col min="2" max="2" width="27.5" customWidth="1" style="9"/>
    <col min="3" max="3" width="15.75" customWidth="1" style="9"/>
    <col min="4" max="4" width="20.25" customWidth="1" style="9"/>
    <col min="5" max="16384" width="9" style="9"/>
  </cols>
  <sheetData>
    <row r="1" customHeight="1">
      <c r="A1" s="42" t="s">
        <v>292</v>
      </c>
      <c s="42" t="s">
        <v>23</v>
      </c>
      <c s="42" t="s">
        <v>120</v>
      </c>
      <c s="100" t="s">
        <v>50</v>
      </c>
    </row>
    <row r="2" customHeight="1">
      <c r="A2" s="266" t="s">
        <v>190</v>
      </c>
      <c s="97" t="s">
        <v>49</v>
      </c>
      <c s="153" t="s">
        <v>191</v>
      </c>
      <c s="98">
        <v>23.2</v>
      </c>
    </row>
    <row r="3" customHeight="1">
      <c r="A3" s="266"/>
      <c s="29"/>
      <c s="153" t="s">
        <v>192</v>
      </c>
      <c s="98">
        <v>51.58</v>
      </c>
    </row>
    <row r="4" ht="12" customHeight="1">
      <c r="A4" s="266"/>
      <c s="29"/>
      <c s="152" t="s">
        <v>193</v>
      </c>
      <c s="98">
        <v>14.06</v>
      </c>
    </row>
    <row r="5" customHeight="1">
      <c r="A5" s="266"/>
      <c s="252"/>
      <c s="152" t="s">
        <v>194</v>
      </c>
      <c s="98">
        <v>18.42</v>
      </c>
    </row>
    <row r="6" customHeight="1">
      <c r="A6" s="266"/>
      <c s="227" t="s">
        <v>39</v>
      </c>
      <c s="153" t="s">
        <v>195</v>
      </c>
      <c s="98">
        <v>7.62</v>
      </c>
    </row>
    <row r="7" customHeight="1">
      <c r="A7" s="266"/>
      <c s="223"/>
      <c s="153" t="s">
        <v>196</v>
      </c>
      <c s="98">
        <v>11.03</v>
      </c>
    </row>
    <row r="8" customHeight="1">
      <c r="A8" s="266"/>
      <c s="193"/>
      <c s="153" t="s">
        <v>197</v>
      </c>
      <c s="98">
        <v>11.46</v>
      </c>
    </row>
    <row r="9" customHeight="1">
      <c r="A9" s="266"/>
      <c s="227" t="s">
        <v>45</v>
      </c>
      <c s="153" t="s">
        <v>195</v>
      </c>
      <c s="98">
        <v>17.64</v>
      </c>
    </row>
    <row r="10" customHeight="1">
      <c r="A10" s="266"/>
      <c s="223"/>
      <c s="153" t="s">
        <v>196</v>
      </c>
      <c s="98">
        <v>21.74</v>
      </c>
    </row>
    <row r="11" customHeight="1">
      <c r="A11" s="266"/>
      <c s="193"/>
      <c s="153" t="s">
        <v>197</v>
      </c>
      <c s="98">
        <v>21.92</v>
      </c>
    </row>
    <row r="12" customHeight="1">
      <c r="A12" s="266"/>
      <c s="227" t="s">
        <v>47</v>
      </c>
      <c s="153" t="s">
        <v>195</v>
      </c>
      <c s="98">
        <v>23.59</v>
      </c>
    </row>
    <row r="13" customHeight="1">
      <c r="A13" s="266"/>
      <c s="223"/>
      <c s="153" t="s">
        <v>196</v>
      </c>
      <c s="98">
        <v>29.32</v>
      </c>
    </row>
    <row r="14" customHeight="1">
      <c r="A14" s="162"/>
      <c s="193"/>
      <c s="153" t="s">
        <v>197</v>
      </c>
      <c s="98">
        <v>29.91</v>
      </c>
    </row>
    <row r="15" customHeight="1">
      <c r="A15" s="97" t="s">
        <v>181</v>
      </c>
      <c s="187" t="s">
        <v>24</v>
      </c>
      <c s="136" t="s">
        <v>183</v>
      </c>
      <c s="136"/>
    </row>
    <row r="16" customHeight="1">
      <c r="A16" s="29"/>
      <c s="179" t="s">
        <v>33</v>
      </c>
      <c s="136" t="s">
        <v>293</v>
      </c>
      <c s="136"/>
    </row>
    <row r="17" customHeight="1">
      <c r="A17" s="29"/>
      <c s="175"/>
      <c s="136" t="s">
        <v>294</v>
      </c>
      <c s="136"/>
    </row>
    <row r="18" customHeight="1">
      <c r="A18" s="29"/>
      <c s="175"/>
      <c s="136" t="s">
        <v>295</v>
      </c>
      <c s="136"/>
    </row>
    <row r="19" customHeight="1">
      <c r="A19" s="29"/>
      <c s="175"/>
      <c s="136" t="s">
        <v>296</v>
      </c>
      <c s="136"/>
    </row>
    <row r="20" customHeight="1">
      <c r="A20" s="29"/>
      <c s="175"/>
      <c s="136" t="s">
        <v>297</v>
      </c>
      <c s="136"/>
    </row>
    <row r="21" customHeight="1">
      <c r="A21" s="252"/>
      <c s="158"/>
      <c s="136" t="s">
        <v>298</v>
      </c>
      <c s="136"/>
    </row>
    <row r="23" customHeight="1">
      <c r="A23" s="239" t="s">
        <v>299</v>
      </c>
      <c s="239"/>
      <c s="239"/>
      <c s="239"/>
    </row>
  </sheetData>
  <mergeCells>
    <mergeCell ref="A23:D23"/>
    <mergeCell ref="A2:A14"/>
    <mergeCell ref="A15:A21"/>
    <mergeCell ref="B2:B5"/>
    <mergeCell ref="B6:B8"/>
    <mergeCell ref="B9:B11"/>
    <mergeCell ref="B12:B14"/>
    <mergeCell ref="B16:B21"/>
  </mergeCells>
  <printOptions/>
  <pageMargins left="0.7" right="0.7" top="0.75" bottom="0.75" header="0.3" footer="0.3"/>
  <pageSetup firstPageNumber="4294963191" copies="0"/>
  <headerFooter/>
  <extLst/>
</worksheet>
</file>

<file path=xl/worksheets/sheet10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22"/>
  <sheetViews>
    <sheetView topLeftCell="A1" workbookViewId="0" showRowColHeaders="0">
      <pane topLeftCell="A1"/>
      <selection activeCellId="0" activeCell="A1" sqref="A1"/>
    </sheetView>
  </sheetViews>
  <sheetFormatPr defaultColWidth="9" defaultRowHeight="13.5" customHeight="1"/>
  <cols>
    <col min="1" max="2" width="16.13" customWidth="1" style="9"/>
    <col min="3" max="3" width="9" style="9"/>
    <col min="4" max="4" width="13.88" customWidth="1" style="9"/>
    <col min="5" max="5" width="69.88" customWidth="1" style="9"/>
    <col min="6" max="16384" width="9" style="9"/>
  </cols>
  <sheetData>
    <row r="1" customHeight="1">
      <c r="A1" s="167" t="s">
        <v>300</v>
      </c>
      <c s="167" t="s">
        <v>301</v>
      </c>
      <c r="D1" s="167" t="s">
        <v>302</v>
      </c>
      <c s="167" t="s">
        <v>303</v>
      </c>
    </row>
    <row r="2" customHeight="1">
      <c r="A2" s="285" t="s">
        <v>237</v>
      </c>
      <c s="285" t="s">
        <v>304</v>
      </c>
      <c s="285" t="s">
        <v>305</v>
      </c>
      <c s="338" t="s">
        <v>246</v>
      </c>
      <c s="285" t="s">
        <v>306</v>
      </c>
    </row>
    <row r="3" customHeight="1">
      <c r="A3" s="285" t="s">
        <v>238</v>
      </c>
      <c s="285" t="s">
        <v>307</v>
      </c>
      <c r="D3" s="285" t="s">
        <v>262</v>
      </c>
      <c s="285" t="s">
        <v>308</v>
      </c>
    </row>
    <row r="4" customHeight="1">
      <c r="A4" s="285" t="s">
        <v>128</v>
      </c>
      <c s="285" t="s">
        <v>309</v>
      </c>
      <c r="D4" s="338" t="s">
        <v>256</v>
      </c>
      <c s="285" t="s">
        <v>310</v>
      </c>
    </row>
    <row r="5" customHeight="1">
      <c r="A5" s="285" t="s">
        <v>234</v>
      </c>
      <c s="285" t="s">
        <v>311</v>
      </c>
      <c r="D5" s="338" t="s">
        <v>253</v>
      </c>
      <c s="285" t="s">
        <v>312</v>
      </c>
    </row>
    <row r="6" customHeight="1">
      <c r="A6" s="285" t="s">
        <v>232</v>
      </c>
      <c s="285" t="s">
        <v>313</v>
      </c>
      <c r="D6" s="338" t="s">
        <v>251</v>
      </c>
      <c s="285" t="s">
        <v>314</v>
      </c>
    </row>
    <row r="7" customHeight="1">
      <c r="A7" s="285" t="s">
        <v>233</v>
      </c>
      <c s="285" t="s">
        <v>315</v>
      </c>
      <c r="D7" s="338" t="s">
        <v>252</v>
      </c>
      <c s="285" t="s">
        <v>316</v>
      </c>
    </row>
    <row r="8" customHeight="1">
      <c r="A8" s="285" t="s">
        <v>317</v>
      </c>
      <c s="285" t="s">
        <v>318</v>
      </c>
      <c r="D8" s="338" t="s">
        <v>319</v>
      </c>
      <c s="285" t="s">
        <v>320</v>
      </c>
    </row>
    <row r="9" customHeight="1">
      <c r="A9" s="285" t="s">
        <v>230</v>
      </c>
      <c s="285" t="s">
        <v>321</v>
      </c>
    </row>
    <row r="10" customHeight="1">
      <c r="A10" s="285" t="s">
        <v>236</v>
      </c>
      <c s="285" t="s">
        <v>322</v>
      </c>
    </row>
    <row r="11" customHeight="1">
      <c r="A11" s="285" t="s">
        <v>126</v>
      </c>
      <c s="285" t="s">
        <v>323</v>
      </c>
    </row>
    <row r="12" customHeight="1">
      <c r="A12" s="285" t="s">
        <v>239</v>
      </c>
      <c s="285" t="s">
        <v>324</v>
      </c>
    </row>
    <row r="13" customHeight="1">
      <c r="A13" s="285" t="s">
        <v>131</v>
      </c>
      <c s="285" t="s">
        <v>325</v>
      </c>
    </row>
    <row r="14" customHeight="1">
      <c r="A14" s="285" t="s">
        <v>66</v>
      </c>
      <c s="285" t="s">
        <v>326</v>
      </c>
    </row>
    <row r="15" customHeight="1">
      <c r="A15" s="285" t="s">
        <v>120</v>
      </c>
      <c s="285" t="s">
        <v>327</v>
      </c>
    </row>
    <row r="16" customHeight="1">
      <c r="A16" s="285" t="s">
        <v>328</v>
      </c>
      <c s="285" t="s">
        <v>329</v>
      </c>
    </row>
    <row r="17" customHeight="1">
      <c r="A17" s="285" t="s">
        <v>330</v>
      </c>
      <c s="285" t="s">
        <v>331</v>
      </c>
      <c s="285" t="s">
        <v>332</v>
      </c>
    </row>
    <row r="18" customHeight="1">
      <c r="A18" s="285" t="s">
        <v>333</v>
      </c>
      <c s="285" t="s">
        <v>334</v>
      </c>
      <c s="285" t="s">
        <v>335</v>
      </c>
    </row>
    <row r="19" customHeight="1">
      <c r="A19" s="285" t="s">
        <v>240</v>
      </c>
      <c s="285" t="s">
        <v>336</v>
      </c>
    </row>
    <row r="20" customHeight="1">
      <c r="A20" s="285" t="s">
        <v>241</v>
      </c>
      <c s="285" t="s">
        <v>337</v>
      </c>
      <c r="D20" s="285"/>
    </row>
    <row r="21" customHeight="1">
      <c r="A21" s="285" t="s">
        <v>123</v>
      </c>
      <c s="285" t="s">
        <v>338</v>
      </c>
    </row>
    <row r="22" customHeight="1">
      <c r="A22" s="285" t="s">
        <v>132</v>
      </c>
      <c s="285" t="s">
        <v>339</v>
      </c>
    </row>
  </sheetData>
  <printOptions/>
  <pageMargins left="0.7" right="0.7" top="0.75" bottom="0.75" header="0.3" footer="0.3"/>
  <pageSetup firstPageNumber="4294963191" copies="0"/>
  <headerFooter/>
  <extLst/>
</worksheet>
</file>

<file path=xl/worksheets/sheet11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N19"/>
  <sheetViews>
    <sheetView topLeftCell="A1" tabSelected="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11.5" customWidth="1" style="129"/>
    <col min="2" max="2" width="7.75" customWidth="1" style="129"/>
    <col min="3" max="6" width="8.5" customWidth="1" style="253"/>
    <col min="7" max="7" width="8.5" customWidth="1" style="44"/>
    <col min="8" max="8" width="7.75" customWidth="1" style="253"/>
    <col min="9" max="9" width="9.75" customWidth="1" style="129"/>
    <col min="10" max="10" width="7.38" customWidth="1" style="129"/>
    <col min="11" max="11" width="10" customWidth="1" style="129"/>
    <col min="12" max="12" width="10.5" customWidth="1" style="55"/>
    <col min="13" max="13" width="9" style="129"/>
    <col min="14" max="14" width="6.63" customWidth="1" style="129"/>
    <col min="15" max="16384" width="9" style="129"/>
  </cols>
  <sheetData>
    <row r="1" ht="25.5">
      <c r="A1" s="42" t="s">
        <v>230</v>
      </c>
      <c s="42" t="s">
        <v>340</v>
      </c>
      <c s="133" t="s">
        <v>27</v>
      </c>
      <c s="203"/>
      <c s="312"/>
      <c s="100" t="s">
        <v>341</v>
      </c>
      <c s="200" t="s">
        <v>342</v>
      </c>
      <c s="100" t="s">
        <v>343</v>
      </c>
      <c s="284" t="s">
        <v>344</v>
      </c>
      <c s="317" t="s">
        <v>179</v>
      </c>
      <c s="108" t="s">
        <v>171</v>
      </c>
    </row>
    <row r="2" ht="15" customHeight="1">
      <c r="A2" s="187" t="s">
        <v>345</v>
      </c>
      <c s="136" t="s">
        <v>182</v>
      </c>
      <c s="21">
        <v>656.08</v>
      </c>
      <c s="21">
        <v>656.08</v>
      </c>
      <c s="21">
        <v>656.08</v>
      </c>
      <c s="192">
        <f ref="F2:F10" t="shared" si="0">IFERROR(AVERAGE(C2:E2),"")</f>
        <v>656.08</v>
      </c>
      <c s="164">
        <f ref="G2:G10" t="shared" si="1">IFERROR(F2-B2,"")</f>
        <v>-0.01999999999998181</v>
      </c>
      <c s="88">
        <f ref="H2:H10" t="shared" si="2">MAX(C2:E2)-MIN(C2:E2)</f>
        <v>0</v>
      </c>
      <c s="88">
        <v>0.1</v>
      </c>
      <c s="116">
        <v>0.1</v>
      </c>
      <c s="167" t="str">
        <f ref="K2:K10" t="shared" si="3">IF(C2="","未检测",IF(AND(ROUND(ABS(G2),1)&lt;=ROUND(ABS(I2),1),ROUND(H2,1)&lt;=ROUND(J2,1)),"合格","不合格"))</f>
        <v>合格</v>
      </c>
      <c s="49"/>
    </row>
    <row r="3" ht="15" customHeight="1">
      <c r="A3" s="187" t="s">
        <v>346</v>
      </c>
      <c s="136" t="s">
        <v>347</v>
      </c>
      <c s="21"/>
      <c s="21"/>
      <c s="21"/>
      <c s="192" t="str">
        <f t="shared" si="0"/>
        <v/>
      </c>
      <c s="164" t="str">
        <f t="shared" si="1"/>
        <v/>
      </c>
      <c s="88">
        <f t="shared" si="2"/>
        <v>0</v>
      </c>
      <c s="88">
        <v>0.3</v>
      </c>
      <c s="116">
        <v>0.1</v>
      </c>
      <c s="167" t="str">
        <f t="shared" si="3"/>
        <v>未检测</v>
      </c>
      <c s="49"/>
    </row>
    <row r="4" ht="15" customHeight="1">
      <c r="A4" s="187" t="s">
        <v>24</v>
      </c>
      <c s="136" t="str">
        <f>'标准值'!C15</f>
        <v>807.4</v>
      </c>
      <c s="21"/>
      <c s="21"/>
      <c s="21"/>
      <c s="192" t="str">
        <f t="shared" si="0"/>
        <v/>
      </c>
      <c s="164" t="str">
        <f t="shared" si="1"/>
        <v/>
      </c>
      <c s="88">
        <f t="shared" si="2"/>
        <v>0</v>
      </c>
      <c s="88">
        <v>0.3</v>
      </c>
      <c s="116">
        <v>0.1</v>
      </c>
      <c s="167" t="str">
        <f t="shared" si="3"/>
        <v>未检测</v>
      </c>
      <c s="139"/>
      <c r="N4" s="70"/>
    </row>
    <row r="5" ht="12" customHeight="1">
      <c r="A5" s="179" t="s">
        <v>33</v>
      </c>
      <c s="136" t="str">
        <f>'标准值'!C16</f>
        <v>640.7</v>
      </c>
      <c s="21"/>
      <c s="21"/>
      <c s="21"/>
      <c s="192" t="str">
        <f t="shared" si="0"/>
        <v/>
      </c>
      <c s="164" t="str">
        <f t="shared" si="1"/>
        <v/>
      </c>
      <c s="88">
        <f t="shared" si="2"/>
        <v>0</v>
      </c>
      <c s="88">
        <v>0.3</v>
      </c>
      <c s="116">
        <v>0.1</v>
      </c>
      <c s="167" t="str">
        <f t="shared" si="3"/>
        <v>未检测</v>
      </c>
      <c s="49"/>
    </row>
    <row r="6" customHeight="1">
      <c r="A6" s="175"/>
      <c s="136" t="str">
        <f>'标准值'!C17</f>
        <v>536.8</v>
      </c>
      <c s="21"/>
      <c s="21"/>
      <c s="21"/>
      <c s="192" t="str">
        <f t="shared" si="0"/>
        <v/>
      </c>
      <c s="164" t="str">
        <f t="shared" si="1"/>
        <v/>
      </c>
      <c s="88">
        <f t="shared" si="2"/>
        <v>0</v>
      </c>
      <c s="88">
        <v>0.3</v>
      </c>
      <c s="116">
        <v>0.1</v>
      </c>
      <c s="167" t="str">
        <f t="shared" si="3"/>
        <v>未检测</v>
      </c>
      <c s="49"/>
      <c r="N6" s="24"/>
    </row>
    <row r="7" customHeight="1">
      <c r="A7" s="175"/>
      <c s="136" t="str">
        <f>'标准值'!C18</f>
        <v>416.5</v>
      </c>
      <c s="21"/>
      <c s="21"/>
      <c s="21"/>
      <c s="192" t="str">
        <f t="shared" si="0"/>
        <v/>
      </c>
      <c s="164" t="str">
        <f t="shared" si="1"/>
        <v/>
      </c>
      <c s="88">
        <f t="shared" si="2"/>
        <v>0</v>
      </c>
      <c s="88">
        <v>0.3</v>
      </c>
      <c s="116">
        <v>0.1</v>
      </c>
      <c s="167" t="str">
        <f t="shared" si="3"/>
        <v>未检测</v>
      </c>
      <c s="49"/>
    </row>
    <row r="8" ht="15" customHeight="1">
      <c r="A8" s="175"/>
      <c s="136" t="str">
        <f>'标准值'!C19</f>
        <v>361.0</v>
      </c>
      <c s="21"/>
      <c s="21"/>
      <c s="21"/>
      <c s="192" t="str">
        <f t="shared" si="0"/>
        <v/>
      </c>
      <c s="164" t="str">
        <f t="shared" si="1"/>
        <v/>
      </c>
      <c s="88">
        <f t="shared" si="2"/>
        <v>0</v>
      </c>
      <c s="88">
        <v>0.3</v>
      </c>
      <c s="116">
        <v>0.1</v>
      </c>
      <c s="167" t="str">
        <f t="shared" si="3"/>
        <v>未检测</v>
      </c>
      <c s="49"/>
    </row>
    <row r="9" ht="15" customHeight="1">
      <c r="A9" s="175"/>
      <c s="136" t="str">
        <f>'标准值'!C20</f>
        <v>287.4</v>
      </c>
      <c s="21"/>
      <c s="21"/>
      <c s="21"/>
      <c s="192" t="str">
        <f t="shared" si="0"/>
        <v/>
      </c>
      <c s="164" t="str">
        <f t="shared" si="1"/>
        <v/>
      </c>
      <c s="88">
        <f t="shared" si="2"/>
        <v>0</v>
      </c>
      <c s="88">
        <v>0.3</v>
      </c>
      <c s="116">
        <v>0.1</v>
      </c>
      <c s="167" t="str">
        <f t="shared" si="3"/>
        <v>未检测</v>
      </c>
      <c s="49"/>
    </row>
    <row r="10" ht="15" customHeight="1">
      <c r="A10" s="158"/>
      <c s="136" t="str">
        <f>'标准值'!C21</f>
        <v>241.0</v>
      </c>
      <c s="21"/>
      <c s="21"/>
      <c s="21"/>
      <c s="192" t="str">
        <f t="shared" si="0"/>
        <v/>
      </c>
      <c s="164" t="str">
        <f t="shared" si="1"/>
        <v/>
      </c>
      <c s="88">
        <f t="shared" si="2"/>
        <v>0</v>
      </c>
      <c s="88">
        <v>0.3</v>
      </c>
      <c s="116">
        <v>0.1</v>
      </c>
      <c s="167" t="str">
        <f t="shared" si="3"/>
        <v>未检测</v>
      </c>
      <c s="49"/>
    </row>
    <row r="11" ht="15" customHeight="1">
      <c r="A11" s="447"/>
      <c s="53"/>
      <c s="33"/>
      <c s="302"/>
      <c s="302"/>
      <c s="302"/>
      <c s="156"/>
      <c s="302"/>
      <c s="302"/>
      <c s="76"/>
      <c s="32"/>
      <c s="49"/>
    </row>
    <row r="12" customHeight="1">
      <c r="L12" s="139"/>
    </row>
    <row r="13" customHeight="1">
      <c r="L13" s="139"/>
    </row>
    <row r="14" customHeight="1">
      <c r="L14" s="139"/>
    </row>
    <row r="15" customHeight="1">
      <c r="L15" s="139"/>
    </row>
    <row r="16" customHeight="1">
      <c r="L16" s="139"/>
    </row>
    <row r="17" customHeight="1">
      <c r="L17" s="139"/>
    </row>
    <row r="18" customHeight="1">
      <c r="L18" s="139"/>
    </row>
    <row r="19" customHeight="1">
      <c r="L19" s="139"/>
    </row>
  </sheetData>
  <mergeCells>
    <mergeCell ref="C1:E1"/>
    <mergeCell ref="A5:A10"/>
  </mergeCells>
  <conditionalFormatting sqref="K2:K11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2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L33"/>
  <sheetViews>
    <sheetView topLeftCell="H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13.38" customWidth="1" style="129"/>
    <col min="2" max="2" width="7.25" customWidth="1" style="31"/>
    <col min="3" max="3" width="7.25" customWidth="1" style="253"/>
    <col min="4" max="6" width="7.88" customWidth="1" style="73"/>
    <col min="7" max="7" width="8.75" customWidth="1" style="311"/>
    <col min="8" max="8" width="7.88" customWidth="1" style="235"/>
    <col min="9" max="9" width="7.25" customWidth="1" style="253"/>
    <col min="10" max="11" width="7.25" customWidth="1" style="129"/>
    <col min="12" max="12" width="10" customWidth="1" style="129"/>
    <col min="13" max="13" width="9" style="129"/>
    <col min="14" max="14" width="14.38" customWidth="1" style="129"/>
    <col min="15" max="20" width="9" style="129"/>
    <col min="21" max="21" width="16.13" customWidth="1" style="129"/>
    <col min="22" max="22" width="13.88" customWidth="1" style="129"/>
    <col min="23" max="16384" width="9" style="129"/>
  </cols>
  <sheetData>
    <row r="1" ht="38.25">
      <c r="A1" s="42" t="s">
        <v>230</v>
      </c>
      <c s="42" t="s">
        <v>348</v>
      </c>
      <c s="100" t="s">
        <v>50</v>
      </c>
      <c s="45" t="s">
        <v>51</v>
      </c>
      <c s="75"/>
      <c s="387"/>
      <c s="100" t="s">
        <v>349</v>
      </c>
      <c s="200" t="s">
        <v>350</v>
      </c>
      <c s="100" t="s">
        <v>351</v>
      </c>
      <c s="284" t="s">
        <v>352</v>
      </c>
      <c s="284" t="s">
        <v>353</v>
      </c>
      <c s="42" t="s">
        <v>171</v>
      </c>
    </row>
    <row r="2" ht="15" customHeight="1">
      <c r="A2" s="97" t="s">
        <v>49</v>
      </c>
      <c s="98">
        <v>350</v>
      </c>
      <c s="98">
        <f>'标准值'!D2</f>
        <v>23.2</v>
      </c>
      <c s="168"/>
      <c s="168"/>
      <c s="168"/>
      <c s="160" t="str">
        <f ref="G2:G14" t="shared" si="0">IFERROR(AVERAGE(D2:F2),"")</f>
        <v/>
      </c>
      <c s="185" t="str">
        <f ref="H2:H14" t="shared" si="1">IFERROR(G2-C2,"")</f>
        <v/>
      </c>
      <c s="150">
        <f ref="I2:I14" t="shared" si="2">MAX(ROUND(D2,2),ROUND(E2,2),ROUND(F2,2))-MIN(ROUND(D2,2),ROUND(E2,2),ROUND(F2,2))</f>
        <v>0</v>
      </c>
      <c s="41">
        <v>0.3</v>
      </c>
      <c s="41">
        <v>0.1</v>
      </c>
      <c s="167" t="str">
        <f ref="L2:L14" t="shared" si="3">IF(D2="","未检测",IF(AND(ROUND(ABS(H2),2)&lt;=ROUND(ABS(J2),2),ROUND(I2,2)&lt;=ROUND(K2,2)),"合格","不合格"))</f>
        <v>未检测</v>
      </c>
    </row>
    <row r="3" customHeight="1">
      <c r="A3" s="29"/>
      <c s="98">
        <v>313</v>
      </c>
      <c s="98">
        <f>'标准值'!D3</f>
        <v>51.58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4" customHeight="1">
      <c r="A4" s="29"/>
      <c s="214">
        <v>257</v>
      </c>
      <c s="98">
        <f>'标准值'!D4</f>
        <v>14.06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5" customHeight="1">
      <c r="A5" s="252"/>
      <c s="214">
        <v>235</v>
      </c>
      <c s="98">
        <f>'标准值'!D5</f>
        <v>18.42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6" customHeight="1">
      <c r="A6" s="227" t="s">
        <v>39</v>
      </c>
      <c s="98">
        <v>635</v>
      </c>
      <c s="98">
        <f>'标准值'!D6</f>
        <v>7.62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7" ht="15" customHeight="1">
      <c r="A7" s="223"/>
      <c s="98">
        <v>546</v>
      </c>
      <c s="98">
        <f>'标准值'!D7</f>
        <v>11.03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8" ht="15" customHeight="1">
      <c r="A8" s="193"/>
      <c s="98">
        <v>440</v>
      </c>
      <c s="98">
        <f>'标准值'!D8</f>
        <v>11.46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9" ht="15" customHeight="1">
      <c r="A9" s="227" t="s">
        <v>45</v>
      </c>
      <c s="98">
        <v>635</v>
      </c>
      <c s="98">
        <f>'标准值'!D9</f>
        <v>17.64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10" ht="15" customHeight="1">
      <c r="A10" s="223"/>
      <c s="98">
        <v>546</v>
      </c>
      <c s="98">
        <f>'标准值'!D10</f>
        <v>21.74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11" customHeight="1">
      <c r="A11" s="193"/>
      <c s="98">
        <v>440</v>
      </c>
      <c s="98">
        <f>'标准值'!D11</f>
        <v>21.92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12" customHeight="1">
      <c r="A12" s="227" t="s">
        <v>47</v>
      </c>
      <c s="98">
        <v>635</v>
      </c>
      <c s="98">
        <f>'标准值'!D12</f>
        <v>23.59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13" customHeight="1">
      <c r="A13" s="223"/>
      <c s="98">
        <v>546</v>
      </c>
      <c s="98">
        <f>'标准值'!D13</f>
        <v>29.32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14" customHeight="1">
      <c r="A14" s="193"/>
      <c s="98">
        <v>440</v>
      </c>
      <c s="98">
        <f>'标准值'!D14</f>
        <v>29.91</v>
      </c>
      <c s="168"/>
      <c s="168"/>
      <c s="168"/>
      <c s="160" t="str">
        <f t="shared" si="0"/>
        <v/>
      </c>
      <c s="185" t="str">
        <f t="shared" si="1"/>
        <v/>
      </c>
      <c s="150">
        <f t="shared" si="2"/>
        <v>0</v>
      </c>
      <c s="41">
        <v>0.3</v>
      </c>
      <c s="41">
        <v>0.1</v>
      </c>
      <c s="167" t="str">
        <f t="shared" si="3"/>
        <v>未检测</v>
      </c>
    </row>
    <row r="18" ht="15" customHeight="1"/>
    <row r="19" ht="15" customHeight="1"/>
    <row r="25" ht="15" customHeight="1"/>
    <row r="26" ht="15" customHeight="1"/>
    <row r="28" ht="15" customHeight="1"/>
    <row r="31" ht="15" customHeight="1"/>
    <row r="32" ht="15" customHeight="1"/>
    <row r="33" ht="15" customHeight="1"/>
  </sheetData>
  <mergeCells>
    <mergeCell ref="D1:F1"/>
    <mergeCell ref="A2:A5"/>
    <mergeCell ref="A6:A8"/>
    <mergeCell ref="A9:A11"/>
    <mergeCell ref="A12:A14"/>
  </mergeCells>
  <conditionalFormatting sqref="L2:L14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3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G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18.38" customWidth="1" style="129"/>
    <col min="2" max="2" width="7.88" customWidth="1" style="129"/>
    <col min="3" max="5" width="12.75" customWidth="1" style="261"/>
    <col min="6" max="6" width="10" customWidth="1" style="253"/>
    <col min="7" max="7" width="9.38" customWidth="1" style="129"/>
    <col min="8" max="16384" width="9" style="129"/>
  </cols>
  <sheetData>
    <row r="1" ht="30" customHeight="1">
      <c r="A1" s="42" t="s">
        <v>230</v>
      </c>
      <c s="42" t="s">
        <v>354</v>
      </c>
      <c s="40" t="s">
        <v>51</v>
      </c>
      <c s="106"/>
      <c s="268"/>
      <c s="381" t="s">
        <v>355</v>
      </c>
      <c s="42" t="s">
        <v>171</v>
      </c>
    </row>
    <row r="2" ht="18" customHeight="1">
      <c r="A2" s="267" t="s">
        <v>56</v>
      </c>
      <c s="11">
        <v>220</v>
      </c>
      <c s="446"/>
      <c s="446"/>
      <c s="446"/>
      <c s="316">
        <v>0.01</v>
      </c>
      <c s="167" t="str">
        <f ref="G2:G3" t="shared" si="0">IF(C2="","未检测",IF(ROUND(ABS(AVERAGE(C2:E2)),4)&lt;ROUND(F2,4),"合格","不合格"))</f>
        <v>未检测</v>
      </c>
    </row>
    <row r="3" ht="16.5" customHeight="1">
      <c r="A3" s="267" t="s">
        <v>60</v>
      </c>
      <c s="11">
        <v>360</v>
      </c>
      <c s="446"/>
      <c s="446"/>
      <c s="446"/>
      <c s="316">
        <v>0.05</v>
      </c>
      <c s="167" t="str">
        <f t="shared" si="0"/>
        <v>未检测</v>
      </c>
    </row>
    <row r="5" customHeight="1">
      <c r="A5" s="10"/>
    </row>
  </sheetData>
  <mergeCells>
    <mergeCell ref="C1:E1"/>
  </mergeCells>
  <conditionalFormatting sqref="G2:G3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4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11.75" customWidth="1" style="9"/>
    <col min="2" max="2" width="16.13" customWidth="1" style="8"/>
    <col min="3" max="3" width="17.5" customWidth="1" style="9"/>
    <col min="4" max="4" width="12.25" customWidth="1" style="9"/>
    <col min="5" max="16384" width="9" style="9"/>
  </cols>
  <sheetData>
    <row r="1" ht="30" customHeight="1">
      <c r="A1" s="42" t="s">
        <v>230</v>
      </c>
      <c s="229" t="s">
        <v>63</v>
      </c>
      <c s="284" t="s">
        <v>355</v>
      </c>
      <c s="42" t="s">
        <v>171</v>
      </c>
    </row>
    <row r="2" customHeight="1">
      <c r="A2" s="112" t="s">
        <v>61</v>
      </c>
      <c s="119"/>
      <c s="155">
        <v>0.0005</v>
      </c>
      <c s="167" t="str">
        <f>IF(B2="","未检测",IF(OR(B2="",(ABS(B2)&gt;C2)),"不合格","合格"))</f>
        <v>未检测</v>
      </c>
    </row>
    <row r="4" customHeight="1">
      <c r="B4" s="69"/>
    </row>
    <row r="5" customHeight="1">
      <c r="A5" s="222"/>
    </row>
  </sheetData>
  <conditionalFormatting sqref="D2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5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D5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12.25" customWidth="1" style="9"/>
    <col min="2" max="2" width="12.75" customWidth="1" style="6"/>
    <col min="3" max="3" width="13.25" customWidth="1" style="7"/>
    <col min="4" max="4" width="10.25" customWidth="1" style="9"/>
    <col min="5" max="5" width="13.5" customWidth="1" style="9"/>
    <col min="6" max="8" width="9" style="9"/>
    <col min="9" max="9" width="10" customWidth="1" style="9"/>
    <col min="10" max="16384" width="9" style="9"/>
  </cols>
  <sheetData>
    <row r="1" ht="30" customHeight="1">
      <c r="A1" s="42" t="s">
        <v>230</v>
      </c>
      <c s="63" t="s">
        <v>51</v>
      </c>
      <c s="326" t="s">
        <v>355</v>
      </c>
      <c s="42" t="s">
        <v>171</v>
      </c>
    </row>
    <row r="2" customHeight="1">
      <c r="A2" s="112" t="s">
        <v>64</v>
      </c>
      <c s="454"/>
      <c s="131">
        <v>0.1</v>
      </c>
      <c s="167" t="str">
        <f>IF(B2="","未检测",IF(ABS(ROUND(B2,4))&lt;ROUND(C2,4),"合格","不合格"))</f>
        <v>未检测</v>
      </c>
    </row>
    <row r="4" customHeight="1">
      <c r="B4" s="385"/>
    </row>
    <row r="5" customHeight="1">
      <c r="A5" s="222"/>
    </row>
  </sheetData>
  <conditionalFormatting sqref="D2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6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G3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9.38" customWidth="1" style="129"/>
    <col min="2" max="2" width="9.38" customWidth="1" style="31"/>
    <col min="3" max="3" width="11.38" customWidth="1" style="55"/>
    <col min="4" max="4" width="14.75" customWidth="1" style="73"/>
    <col min="5" max="5" width="12.13" customWidth="1" style="73"/>
    <col min="6" max="6" width="14.88" customWidth="1" style="73"/>
    <col min="7" max="7" width="10" customWidth="1" style="129"/>
    <col min="8" max="11" width="9" style="129"/>
    <col min="12" max="12" width="16.5" customWidth="1" style="129"/>
    <col min="13" max="16384" width="9" style="129"/>
  </cols>
  <sheetData>
    <row r="1" ht="30" customHeight="1">
      <c r="A1" s="42" t="s">
        <v>230</v>
      </c>
      <c s="182" t="s">
        <v>120</v>
      </c>
      <c s="182" t="s">
        <v>121</v>
      </c>
      <c s="63" t="s">
        <v>27</v>
      </c>
      <c s="63" t="s">
        <v>71</v>
      </c>
      <c s="60" t="s">
        <v>356</v>
      </c>
      <c s="42" t="s">
        <v>171</v>
      </c>
    </row>
    <row r="2" ht="15" customHeight="1">
      <c r="A2" s="112" t="s">
        <v>69</v>
      </c>
      <c s="298">
        <v>656.1</v>
      </c>
      <c s="199">
        <v>2</v>
      </c>
      <c s="38"/>
      <c s="38">
        <f>(D2-C2)/C2*100</f>
        <v>-100</v>
      </c>
      <c s="56">
        <v>20</v>
      </c>
      <c s="167" t="str">
        <f>IF(D2="","未检测",IF(ROUND(ABS(E2),2)&lt;=ROUND(ABS(F2),2),"合格","不合格"))</f>
        <v>未检测</v>
      </c>
    </row>
    <row r="3" customHeight="1">
      <c r="C3" s="262"/>
      <c s="154"/>
      <c s="154"/>
      <c s="154"/>
      <c s="32"/>
    </row>
  </sheetData>
  <conditionalFormatting sqref="G2">
    <cfRule dxfId="1" priority="2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7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7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15" customWidth="1" style="9"/>
    <col min="2" max="2" width="11.38" customWidth="1" style="9"/>
    <col min="3" max="3" width="14.63" customWidth="1" style="5"/>
    <col min="4" max="4" width="14.13" customWidth="1" style="3"/>
    <col min="5" max="5" width="10" customWidth="1" style="9"/>
    <col min="6" max="16384" width="9" style="9"/>
  </cols>
  <sheetData>
    <row r="1" ht="30" customHeight="1">
      <c r="A1" s="39" t="s">
        <v>230</v>
      </c>
      <c s="42" t="s">
        <v>120</v>
      </c>
      <c s="54" t="s">
        <v>51</v>
      </c>
      <c s="57" t="s">
        <v>357</v>
      </c>
      <c s="42" t="s">
        <v>171</v>
      </c>
    </row>
    <row r="2" customHeight="1">
      <c r="A2" s="61" t="s">
        <v>203</v>
      </c>
      <c s="166">
        <v>500</v>
      </c>
      <c s="35"/>
      <c s="72">
        <v>0.05</v>
      </c>
      <c s="167" t="str">
        <f ref="E2:E5" t="shared" si="0">IF(C2="","未检测",IF(C2&lt;=D2,"合格","不合格"))</f>
        <v>未检测</v>
      </c>
    </row>
    <row r="3" customHeight="1">
      <c r="A3" s="61" t="s">
        <v>204</v>
      </c>
      <c s="166">
        <v>500</v>
      </c>
      <c s="35"/>
      <c s="48">
        <v>0.005</v>
      </c>
      <c s="167" t="str">
        <f t="shared" si="0"/>
        <v>未检测</v>
      </c>
    </row>
    <row r="4" customHeight="1">
      <c r="A4" s="61" t="s">
        <v>205</v>
      </c>
      <c s="166">
        <v>250</v>
      </c>
      <c s="35"/>
      <c s="72">
        <v>0.05</v>
      </c>
      <c s="167" t="str">
        <f t="shared" si="0"/>
        <v>未检测</v>
      </c>
    </row>
    <row r="5" customHeight="1">
      <c r="A5" s="61" t="s">
        <v>206</v>
      </c>
      <c s="166">
        <v>250</v>
      </c>
      <c s="35"/>
      <c s="48">
        <v>0.005</v>
      </c>
      <c s="167" t="str">
        <f t="shared" si="0"/>
        <v>未检测</v>
      </c>
    </row>
    <row r="7" customHeight="1">
      <c r="A7" s="222"/>
      <c s="107"/>
    </row>
  </sheetData>
  <conditionalFormatting sqref="E2:E5">
    <cfRule dxfId="1" priority="1" type="cellIs" operator="equal">
      <formula>"不合格"</formula>
    </cfRule>
  </conditionalFormatting>
  <printOptions/>
  <pageMargins left="0.7" right="0.7" top="0.75" bottom="0.75" header="0.3" footer="0.3"/>
  <pageSetup paperSize="9" firstPageNumber="4294963191" copies="0"/>
  <headerFooter/>
  <extLst/>
</worksheet>
</file>

<file path=xl/worksheets/sheet18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7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1" width="16.13" customWidth="1" style="9"/>
    <col min="2" max="2" width="11.38" customWidth="1" style="9"/>
    <col min="3" max="3" width="14.38" customWidth="1" style="3"/>
    <col min="4" max="4" width="14.25" customWidth="1" style="1"/>
    <col min="5" max="5" width="10.75" customWidth="1" style="9"/>
    <col min="6" max="16384" width="9" style="9"/>
  </cols>
  <sheetData>
    <row r="1" ht="30" customHeight="1">
      <c r="A1" s="39" t="s">
        <v>230</v>
      </c>
      <c s="42" t="s">
        <v>358</v>
      </c>
      <c s="134" t="s">
        <v>51</v>
      </c>
      <c s="103" t="s">
        <v>357</v>
      </c>
      <c s="42" t="s">
        <v>171</v>
      </c>
    </row>
    <row r="2" customHeight="1">
      <c r="A2" s="61" t="s">
        <v>208</v>
      </c>
      <c s="166">
        <v>1090</v>
      </c>
      <c s="122"/>
      <c s="92">
        <v>0.1</v>
      </c>
      <c s="167" t="str">
        <f ref="E2:E5" t="shared" si="0">IF(C2="","未检测",IF(C2&lt;=D2,"合格","不合格"))</f>
        <v>未检测</v>
      </c>
    </row>
    <row r="3" customHeight="1">
      <c r="A3" s="61" t="s">
        <v>209</v>
      </c>
      <c s="166">
        <v>1090</v>
      </c>
      <c s="122"/>
      <c s="72">
        <v>0.02</v>
      </c>
      <c s="167" t="str">
        <f t="shared" si="0"/>
        <v>未检测</v>
      </c>
    </row>
    <row r="4" customHeight="1">
      <c r="A4" s="61" t="s">
        <v>210</v>
      </c>
      <c s="166">
        <v>200</v>
      </c>
      <c s="122"/>
      <c s="92">
        <v>0.1</v>
      </c>
      <c s="167" t="str">
        <f t="shared" si="0"/>
        <v>未检测</v>
      </c>
    </row>
    <row r="5" customHeight="1">
      <c r="A5" s="61" t="s">
        <v>211</v>
      </c>
      <c s="166">
        <v>200</v>
      </c>
      <c s="122"/>
      <c s="72">
        <v>0.02</v>
      </c>
      <c s="167" t="str">
        <f t="shared" si="0"/>
        <v>未检测</v>
      </c>
    </row>
    <row r="7" customHeight="1">
      <c r="A7" s="222"/>
      <c s="107"/>
    </row>
  </sheetData>
  <conditionalFormatting sqref="E2:E5">
    <cfRule dxfId="1" priority="1" type="cellIs" operator="equal">
      <formula>"不合格"</formula>
    </cfRule>
  </conditionalFormatting>
  <printOptions/>
  <pageMargins left="0.7" right="0.7" top="0.75" bottom="0.75" header="0.3" footer="0.3"/>
  <pageSetup firstPageNumber="4294963191" copies="0"/>
  <headerFooter/>
  <extLst/>
</worksheet>
</file>

<file path=xl/worksheets/sheet19.xml><?xml version="1.0" encoding="utf-8"?>
<worksheet xmlns:mc="http://schemas.openxmlformats.org/markup-compatibility/2006" xmlns:x14ac="http://schemas.microsoft.com/office/spreadsheetml/2009/9/ac" xmlns:x14="http://schemas.microsoft.com/office/spreadsheetml/2009/9/main" xmlns:r="http://schemas.openxmlformats.org/officeDocument/2006/relationships" xmlns="http://schemas.openxmlformats.org/spreadsheetml/2006/main" mc:Ignorable="x14ac">
  <sheetPr/>
  <dimension ref="A1:E11"/>
  <sheetViews>
    <sheetView topLeftCell="A1" workbookViewId="0" showGridLines="0" showRowColHeaders="0">
      <pane topLeftCell="A1"/>
      <selection activeCellId="0" activeCell="A1" sqref="A1"/>
    </sheetView>
  </sheetViews>
  <sheetFormatPr defaultColWidth="9" defaultRowHeight="13.5" customHeight="1"/>
  <cols>
    <col min="1" max="2" width="10.5" customWidth="1" style="9"/>
    <col min="3" max="3" width="16.63" customWidth="1" style="1"/>
    <col min="4" max="4" width="16.63" customWidth="1" style="9"/>
    <col min="5" max="5" width="10.75" customWidth="1" style="9"/>
    <col min="6" max="16384" width="9" style="9"/>
  </cols>
  <sheetData>
    <row r="1" ht="30" customHeight="1">
      <c r="A1" s="42" t="s">
        <v>230</v>
      </c>
      <c s="42" t="s">
        <v>358</v>
      </c>
      <c s="100" t="s">
        <v>51</v>
      </c>
      <c s="284" t="s">
        <v>355</v>
      </c>
      <c s="42" t="s">
        <v>171</v>
      </c>
    </row>
    <row r="2" customHeight="1">
      <c r="A2" s="112" t="s">
        <v>212</v>
      </c>
      <c s="93">
        <v>500</v>
      </c>
      <c s="160"/>
      <c s="219">
        <v>0.1</v>
      </c>
      <c s="167" t="str">
        <f ref="E2:E11" t="shared" si="0">IF(C2="","未检测",IF(C2&lt;=D2,"合格","不合格"))</f>
        <v>未检测</v>
      </c>
    </row>
    <row r="3" customHeight="1">
      <c r="A3" s="112" t="s">
        <v>212</v>
      </c>
      <c s="93">
        <v>500</v>
      </c>
      <c s="160"/>
      <c s="219">
        <v>0.1</v>
      </c>
      <c s="167" t="str">
        <f t="shared" si="0"/>
        <v>未检测</v>
      </c>
    </row>
    <row r="4" customHeight="1">
      <c r="A4" s="112" t="s">
        <v>212</v>
      </c>
      <c s="93">
        <v>500</v>
      </c>
      <c s="160"/>
      <c s="219">
        <v>0.1</v>
      </c>
      <c s="167" t="str">
        <f t="shared" si="0"/>
        <v>未检测</v>
      </c>
    </row>
    <row r="5" customHeight="1">
      <c r="A5" s="112" t="s">
        <v>212</v>
      </c>
      <c s="93">
        <v>500</v>
      </c>
      <c s="160"/>
      <c s="219">
        <v>0.1</v>
      </c>
      <c s="167" t="str">
        <f t="shared" si="0"/>
        <v>未检测</v>
      </c>
    </row>
    <row r="6" customHeight="1">
      <c r="A6" s="112" t="s">
        <v>212</v>
      </c>
      <c s="93">
        <v>500</v>
      </c>
      <c s="160"/>
      <c s="219">
        <v>0.1</v>
      </c>
      <c s="167" t="str">
        <f t="shared" si="0"/>
        <v>未检测</v>
      </c>
    </row>
    <row r="7" customHeight="1">
      <c r="A7" s="112" t="s">
        <v>212</v>
      </c>
      <c s="93">
        <v>500</v>
      </c>
      <c s="160"/>
      <c s="219">
        <v>0.1</v>
      </c>
      <c s="167" t="str">
        <f t="shared" si="0"/>
        <v>未检测</v>
      </c>
    </row>
    <row r="8" customHeight="1">
      <c r="A8" s="112" t="s">
        <v>212</v>
      </c>
      <c s="93">
        <v>500</v>
      </c>
      <c s="160"/>
      <c s="219">
        <v>0.1</v>
      </c>
      <c s="167" t="str">
        <f t="shared" si="0"/>
        <v>未检测</v>
      </c>
    </row>
    <row r="9" customHeight="1">
      <c r="A9" s="112" t="s">
        <v>212</v>
      </c>
      <c s="93">
        <v>500</v>
      </c>
      <c s="160"/>
      <c s="219">
        <v>0.1</v>
      </c>
      <c s="167" t="str">
        <f t="shared" si="0"/>
        <v>未检测</v>
      </c>
    </row>
    <row r="10" customHeight="1">
      <c r="A10" s="112" t="s">
        <v>212</v>
      </c>
      <c s="93">
        <v>500</v>
      </c>
      <c s="160"/>
      <c s="219">
        <v>0.1</v>
      </c>
      <c s="167" t="str">
        <f t="shared" si="0"/>
        <v>未检测</v>
      </c>
    </row>
    <row r="11" customHeight="1">
      <c r="A11" s="112" t="s">
        <v>212</v>
      </c>
      <c s="93">
        <v>500</v>
      </c>
      <c s="160"/>
      <c s="219">
        <v>0.1</v>
      </c>
      <c s="167" t="str">
        <f t="shared" si="0"/>
        <v>未检测</v>
      </c>
    </row>
  </sheetData>
  <conditionalFormatting sqref="E2:E11">
    <cfRule dxfId="1" priority="1" type="cellIs" operator="equal">
      <formula>"不合格"</formula>
    </cfRule>
  </conditionalFormatting>
  <printOptions/>
  <pageMargins left="0.7" right="0.7" top="0.75" bottom="0.75" header="0.3" footer="0.3"/>
  <pageSetup firstPageNumber="4294963191" copies="0"/>
  <headerFooter/>
  <extLst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99153</dc:creator>
  <cp:lastModifiedBy>寻</cp:lastModifiedBy>
  <cp:revision>0</cp:revision>
  <dcterms:created xsi:type="dcterms:W3CDTF">2006-09-16T08:00:00+08:00</dcterms:created>
  <dcterms:modified xsi:type="dcterms:W3CDTF">2025-08-06T02:12:39+08:00</dcterms:modified>
</cp:coreProperties>
</file>