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eg" ContentType="image/jpeg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:mc="http://schemas.openxmlformats.org/markup-compatibility/2006" xmlns:x15="http://schemas.microsoft.com/office/spreadsheetml/2010/11/main" xmlns:gc="http://schemas.grapecity.com/office/spreadsheet/2018/main" xmlns="http://schemas.openxmlformats.org/spreadsheetml/2006/main" mc:Ignorable="x15">
  <fileVersion appName="xl" lastEdited="3" lowestEdited="5" rupBuild="9302"/>
  <workbookPr/>
  <bookViews>
    <workbookView xWindow="0" yWindow="0" windowWidth="28800" windowHeight="11010" tabRatio="865" activeTab="5"/>
  </bookViews>
  <sheets>
    <sheet name="Report" sheetId="21" r:id="rId2"/>
    <sheet name="基础信息" sheetId="13" r:id="rId3"/>
    <sheet name="测量结果表" sheetId="20" r:id="rId4"/>
    <sheet name="管理表" sheetId="19" r:id="rId5"/>
    <sheet name="对应信息" sheetId="17" state="hidden" r:id="rId6"/>
    <sheet name="检测项信息" sheetId="14" r:id="rId7"/>
    <sheet name="仪器状态" sheetId="22" r:id="rId8"/>
    <sheet name="样品池准确度与重复性校验" sheetId="23" state="hidden" r:id="rId9"/>
    <sheet name="标准值" sheetId="16" r:id="rId10"/>
    <sheet name="字段对应" sheetId="15" state="hidden" r:id="rId11"/>
    <sheet name="样品池重复性" sheetId="6" r:id="rId12"/>
    <sheet name="波长拟合" sheetId="3" r:id="rId13"/>
    <sheet name="能量扫描" sheetId="7" r:id="rId14"/>
    <sheet name="波长示值误差校验" sheetId="24" r:id="rId15"/>
    <sheet name="杂散光校验" sheetId="25" r:id="rId16"/>
    <sheet name="基线平直度检验" sheetId="26" r:id="rId17"/>
  </sheets>
  <externalReferences>
    <externalReference r:id="rId18"/>
  </externalReferences>
  <definedNames>
    <definedName name="OLE_LINK10" localSheetId="0">Report!#REF!</definedName>
  </definedNames>
  <calcPr calcId="191029"/>
  <extLst>
    <ext xmlns:x14="http://schemas.microsoft.com/office/spreadsheetml/2009/9/main" uri="{508A625A-C496-44e7-AB3D-5DD9D212655C}">
      <gcWorkbook aFmt="0" aCreateHyperlink="0" excelShortcuts="0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:xda="http://schemas.microsoft.com/office/spreadsheetml/2017/dynamicarray" xmlns:xlrd="http://schemas.microsoft.com/office/spreadsheetml/2017/richdata" xmlns="http://schemas.openxmlformats.org/spreadsheetml/2006/main">
  <metadataTypes count="1">
    <metadataType copy="1" pasteAll="1" pasteValues="1" merge="1" splitFirst="1" rowColShift="1" clearFormats="1" clearComments="1" assign="1" coerce="1" cellMeta="1" minSupportedVersion="120000" name="XLDAPR"/>
  </metadataTypes>
  <futureMetadata count="1" name="XLDAPR">
    <bk>
      <extLst>
        <ext uri="{bdbb8cdc-fa1e-496e-a857-3c3f30c029c3}">
          <xda:dynamicArrayProperties fCollapsed="0" fDynamic="1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<sst xmlns="http://schemas.openxmlformats.org/spreadsheetml/2006/main" uniqueCount="312">
  <si>
    <t>北京普析通用仪器有限责任公司</t>
  </si>
  <si>
    <t>文件编号</t>
  </si>
  <si>
    <t>T600T700系列紫外可见分光光度计整机检验原始记录表</t>
  </si>
  <si>
    <t>版本/修订</t>
  </si>
  <si>
    <t>发布/修订日期</t>
  </si>
  <si>
    <t>产品型号</t>
  </si>
  <si>
    <t>产品编号</t>
  </si>
  <si>
    <t>检验员</t>
  </si>
  <si>
    <t>检验日期</t>
  </si>
  <si>
    <t>复核员</t>
  </si>
  <si>
    <t>温度(℃)</t>
  </si>
  <si>
    <t>相对湿度(%)</t>
  </si>
  <si>
    <t>检验结果</t>
  </si>
  <si>
    <t>UVWin版本号</t>
  </si>
  <si>
    <t>UVTouch版本号</t>
  </si>
  <si>
    <t>检验软件版本号</t>
  </si>
  <si>
    <t>序号</t>
  </si>
  <si>
    <t>检验项目</t>
  </si>
  <si>
    <t>结果</t>
  </si>
  <si>
    <t>样品池重复性</t>
  </si>
  <si>
    <t>准确度：100%±0.1%
重复性：&lt;0.1%</t>
  </si>
  <si>
    <t>1号池测量值(%)</t>
  </si>
  <si>
    <t>重复性(%)</t>
  </si>
  <si>
    <t>波长拟合</t>
  </si>
  <si>
    <t>检测工具</t>
  </si>
  <si>
    <t>模式</t>
  </si>
  <si>
    <t>增益</t>
  </si>
  <si>
    <t>标准值(nm)</t>
  </si>
  <si>
    <t>测量值（nm）</t>
  </si>
  <si>
    <t>氘灯</t>
  </si>
  <si>
    <t>镨钕滤光片</t>
  </si>
  <si>
    <t>钬溶液</t>
  </si>
  <si>
    <t>汞灯</t>
  </si>
  <si>
    <t>能量扫描</t>
  </si>
  <si>
    <t>提示</t>
  </si>
  <si>
    <t>标准值</t>
  </si>
  <si>
    <t>测量值</t>
  </si>
  <si>
    <t>定点波长：486nm</t>
  </si>
  <si>
    <t>波长段：656.1nm</t>
  </si>
  <si>
    <t>波长段：1100nm-300nm</t>
  </si>
  <si>
    <t>钨灯</t>
  </si>
  <si>
    <t>波长段：700nm-190nm</t>
  </si>
  <si>
    <t>波长示值误差校验</t>
  </si>
  <si>
    <t xml:space="preserve">
波长示值误差
氘灯：
±0.1nm
镨钕：
±0.3nm
波长重复性
≤0.1nm 
</t>
  </si>
  <si>
    <t>波长段</t>
  </si>
  <si>
    <t>B段</t>
  </si>
  <si>
    <t>误差值(nm)</t>
  </si>
  <si>
    <t xml:space="preserve">波长示值误差校验
</t>
  </si>
  <si>
    <t xml:space="preserve">
波长示值误差
钬溶液：
±0.3nm
波长重复性
≤0.1nm </t>
  </si>
  <si>
    <t>杂散光</t>
  </si>
  <si>
    <t>检验工具</t>
  </si>
  <si>
    <t>220nm</t>
  </si>
  <si>
    <t>&lt;0.01%</t>
  </si>
  <si>
    <t>碘化钠标准溶液</t>
  </si>
  <si>
    <t>测量值
（%）</t>
  </si>
  <si>
    <t>360nm</t>
  </si>
  <si>
    <t>≤0.02%</t>
  </si>
  <si>
    <t>亚硝酸钠标准溶液</t>
  </si>
  <si>
    <t>基线平直度</t>
  </si>
  <si>
    <t>≤±0.0005（2.0nm光谱带宽）</t>
  </si>
  <si>
    <t>测量值（Abs）</t>
  </si>
  <si>
    <t>外观和结构</t>
  </si>
  <si>
    <t>仪器外观应清洁，所有电镀件表面不应有脱皮现象，喷漆表面色泽应均匀，无掉漆与划痕，不得有明显的擦伤、露底、裂纹、起泡现象，外露部件结合处应整齐，无粗糙不平现象。仪器应有下列标志：仪器名称、型号、制造厂名、出厂日期、仪器编号、工作电源电压、频率、制造计量器具许可证标志及编号，仪器的铭牌、二维码的内容及粘贴方向应正确。仪器的各紧固件均应紧固良好，外露螺钉无损伤，生锈，缺失。各按键、开关、指示灯工作正常，电缆线的接插件均能紧密配合且接地良好，启动后无异常杂音。</t>
  </si>
  <si>
    <t>合格□
不合格□</t>
  </si>
  <si>
    <t>检验结论</t>
  </si>
  <si>
    <t>合格 □                 不合格 □</t>
  </si>
  <si>
    <t>备注</t>
  </si>
  <si>
    <t xml:space="preserve">1.本表格依据T600T700系列紫外可见分光光度计整机检验工艺编制；
2. 测量结果保留的小数点位数应与指标要求的小数点位数一致；
3. 表格中的标准值依据有效期内的标准物质证书提供的标准值为准。
</t>
  </si>
  <si>
    <t>名称</t>
  </si>
  <si>
    <t>特征值</t>
  </si>
  <si>
    <t>是否为光谱扫描</t>
  </si>
  <si>
    <t>灯状态</t>
  </si>
  <si>
    <t>较零物质</t>
  </si>
  <si>
    <t>光度方式</t>
  </si>
  <si>
    <t>扫描速度</t>
  </si>
  <si>
    <t>扫描间隔(nm)</t>
  </si>
  <si>
    <t>重复次数</t>
  </si>
  <si>
    <t>重复时间间隔(S)</t>
  </si>
  <si>
    <t>光谱带宽(nm)</t>
  </si>
  <si>
    <t>响应时间</t>
  </si>
  <si>
    <t>是</t>
  </si>
  <si>
    <t>Abs</t>
  </si>
  <si>
    <t>极慢</t>
  </si>
  <si>
    <t>低压汞灯A段</t>
  </si>
  <si>
    <t>否</t>
  </si>
  <si>
    <t>其它</t>
  </si>
  <si>
    <t>T%</t>
  </si>
  <si>
    <t>慢速</t>
  </si>
  <si>
    <t>低压汞灯B段</t>
  </si>
  <si>
    <t>365.0,435.8,546.1</t>
  </si>
  <si>
    <t>Es</t>
  </si>
  <si>
    <t>中速</t>
  </si>
  <si>
    <t>1.0</t>
  </si>
  <si>
    <t>739.2,,807.4</t>
  </si>
  <si>
    <t>Er</t>
  </si>
  <si>
    <t>快速</t>
  </si>
  <si>
    <t>2.0</t>
  </si>
  <si>
    <t>10%中性滤光片</t>
  </si>
  <si>
    <t>635.0,546.0,440.0</t>
  </si>
  <si>
    <t>R%</t>
  </si>
  <si>
    <t>极快</t>
  </si>
  <si>
    <t>5.0</t>
  </si>
  <si>
    <t>20%中性滤光片</t>
  </si>
  <si>
    <t>635.0,546.0,440.1</t>
  </si>
  <si>
    <t xml:space="preserve"> </t>
  </si>
  <si>
    <t>30%中性滤光片</t>
  </si>
  <si>
    <t>635.0,546.0,440.2</t>
  </si>
  <si>
    <t>重铬酸钾标准物质</t>
  </si>
  <si>
    <t>22.9,51.3,13.7,18.2</t>
  </si>
  <si>
    <t>碘化钠溶液</t>
  </si>
  <si>
    <t>亚硝酸钠溶液</t>
  </si>
  <si>
    <t>项目编号</t>
  </si>
  <si>
    <t>仪器ID</t>
  </si>
  <si>
    <t>平均值</t>
  </si>
  <si>
    <t>误差值</t>
  </si>
  <si>
    <t>重复性</t>
  </si>
  <si>
    <t>检验地点</t>
  </si>
  <si>
    <t>温度</t>
  </si>
  <si>
    <t>湿度</t>
  </si>
  <si>
    <t>判定结果</t>
  </si>
  <si>
    <t>其他</t>
  </si>
  <si>
    <t>子项目编号-与检测项信息对应的</t>
  </si>
  <si>
    <t>父项目编号</t>
  </si>
  <si>
    <t>父项目名称</t>
  </si>
  <si>
    <t>子项目编号</t>
  </si>
  <si>
    <t>子项目名称</t>
  </si>
  <si>
    <t>可允许误差范围</t>
  </si>
  <si>
    <t>波长重复性</t>
  </si>
  <si>
    <t>T700S</t>
  </si>
  <si>
    <t>样品池重复性检测</t>
  </si>
  <si>
    <t>波长示值误差与重复性校验</t>
  </si>
  <si>
    <t>656.1</t>
  </si>
  <si>
    <t>807.4</t>
  </si>
  <si>
    <t>640.79</t>
  </si>
  <si>
    <t>536.86</t>
  </si>
  <si>
    <t>416.57</t>
  </si>
  <si>
    <t>361.12</t>
  </si>
  <si>
    <t>287.52</t>
  </si>
  <si>
    <t>241.12</t>
  </si>
  <si>
    <t>透射比示值误差与重复性校验</t>
  </si>
  <si>
    <t>紫外分光光度计标准物质GBW(E)130066</t>
  </si>
  <si>
    <t>350nm</t>
  </si>
  <si>
    <t>313nm</t>
  </si>
  <si>
    <t>257nm</t>
  </si>
  <si>
    <t>235nm</t>
  </si>
  <si>
    <t>635nm</t>
  </si>
  <si>
    <t>546nm</t>
  </si>
  <si>
    <t>440nm</t>
  </si>
  <si>
    <t>杂散光校验</t>
  </si>
  <si>
    <t>基线平直度检验</t>
  </si>
  <si>
    <t>基线暗噪声检验</t>
  </si>
  <si>
    <t>基线暗噪声</t>
  </si>
  <si>
    <t>光谱带宽与仪器最小光谱带宽</t>
  </si>
  <si>
    <t>氘灯2.0</t>
  </si>
  <si>
    <t>噪声检验</t>
  </si>
  <si>
    <t>500nm100%噪声</t>
  </si>
  <si>
    <t>500nm0%噪声</t>
  </si>
  <si>
    <t>250nm100%噪声</t>
  </si>
  <si>
    <t>250nm0%噪声</t>
  </si>
  <si>
    <t>波长边缘噪声</t>
  </si>
  <si>
    <t>1090nm100%噪声</t>
  </si>
  <si>
    <t>1090nm0%噪声</t>
  </si>
  <si>
    <t>200nm100%噪声</t>
  </si>
  <si>
    <t>200nm0%噪声</t>
  </si>
  <si>
    <t>漂移检验</t>
  </si>
  <si>
    <t>500nm</t>
  </si>
  <si>
    <t>U1601</t>
  </si>
  <si>
    <t>T600B</t>
  </si>
  <si>
    <t>U1602</t>
  </si>
  <si>
    <t>T600A</t>
  </si>
  <si>
    <t>U1603</t>
  </si>
  <si>
    <t>T600S</t>
  </si>
  <si>
    <t>U1604</t>
  </si>
  <si>
    <t>T600AS</t>
  </si>
  <si>
    <t>U1701</t>
  </si>
  <si>
    <t>T700B</t>
  </si>
  <si>
    <t>U1702</t>
  </si>
  <si>
    <t>T700A</t>
  </si>
  <si>
    <t>U1703</t>
  </si>
  <si>
    <t>U1704</t>
  </si>
  <si>
    <t>T700AS</t>
  </si>
  <si>
    <t>检测类别</t>
  </si>
  <si>
    <t>项目名称</t>
  </si>
  <si>
    <t>方法信息</t>
  </si>
  <si>
    <t>测量信息</t>
  </si>
  <si>
    <t>重复时间间隔</t>
  </si>
  <si>
    <t>分析方法</t>
  </si>
  <si>
    <t>光度模式</t>
  </si>
  <si>
    <t>起始波长</t>
  </si>
  <si>
    <t>终止波长</t>
  </si>
  <si>
    <t>扫描间隔</t>
  </si>
  <si>
    <t>光谱带宽</t>
  </si>
  <si>
    <t>时间间隔</t>
  </si>
  <si>
    <t>扫描个数</t>
  </si>
  <si>
    <t>暗电流物质</t>
  </si>
  <si>
    <t>校零物质</t>
  </si>
  <si>
    <t>测量物质</t>
  </si>
  <si>
    <t>最大最小值差</t>
  </si>
  <si>
    <t>空气</t>
  </si>
  <si>
    <t>氘灯486.0</t>
  </si>
  <si>
    <t>寻峰</t>
  </si>
  <si>
    <t>氘灯656.1</t>
  </si>
  <si>
    <t>黑挡块</t>
  </si>
  <si>
    <t>钬溶液241.0</t>
  </si>
  <si>
    <t>钬溶液361.0</t>
  </si>
  <si>
    <t>钬溶液640.7</t>
  </si>
  <si>
    <t>汞灯296.7</t>
  </si>
  <si>
    <t>汞灯404.7</t>
  </si>
  <si>
    <t>汞灯435.8</t>
  </si>
  <si>
    <t>汞灯546.1</t>
  </si>
  <si>
    <t>640.7,536.8,416.5,361.0,287.4,241.0</t>
  </si>
  <si>
    <t>220nm杂散光</t>
  </si>
  <si>
    <t>PhotoMode=1;ScanSpeed=2;Slit1=2.0;</t>
  </si>
  <si>
    <t>220</t>
  </si>
  <si>
    <t>多次测量</t>
  </si>
  <si>
    <t>碘化钠空白溶液</t>
  </si>
  <si>
    <t>360nm杂散光</t>
  </si>
  <si>
    <t>360</t>
  </si>
  <si>
    <t>亚硝酸钠空白溶液</t>
  </si>
  <si>
    <t>求最大偏移量</t>
  </si>
  <si>
    <t>仪器id</t>
  </si>
  <si>
    <t>项目</t>
  </si>
  <si>
    <t>能量</t>
  </si>
  <si>
    <t>id</t>
  </si>
  <si>
    <t>父id</t>
  </si>
  <si>
    <t>关灯，增益1下的RSD值</t>
  </si>
  <si>
    <t>关灯，增益2下的RSD值</t>
  </si>
  <si>
    <t>关灯，增益3下的RSD值</t>
  </si>
  <si>
    <t>关灯，增益4下的RSD值</t>
  </si>
  <si>
    <t>开灯，增益1下的RSD值</t>
  </si>
  <si>
    <t>开灯，增益2下的RSD值</t>
  </si>
  <si>
    <t>开灯，增益3下的RSD值</t>
  </si>
  <si>
    <t>开灯，增益4下的RSD值</t>
  </si>
  <si>
    <t>氘灯656.1能量</t>
  </si>
  <si>
    <t>氘灯486.0能量</t>
  </si>
  <si>
    <t>紫外分光光度计标准物质GBW(E)130066-350nm能量</t>
  </si>
  <si>
    <t>紫外分光光度计标准物质GBW(E)130066-313nm能量</t>
  </si>
  <si>
    <t>紫外分光光度计标准物质GBW(E)130066-257nm能量</t>
  </si>
  <si>
    <t>紫外分光光度计标准物质GBW(E)130066-235nm能量</t>
  </si>
  <si>
    <t>碘化钠标准溶液-220nm能量</t>
  </si>
  <si>
    <t>亚硝酸钠标准溶液-360nm能量</t>
  </si>
  <si>
    <t>基线平直度-全波长能量</t>
  </si>
  <si>
    <t>测试项</t>
  </si>
  <si>
    <t>标准值（%）</t>
  </si>
  <si>
    <t>640.7</t>
  </si>
  <si>
    <t>536.8</t>
  </si>
  <si>
    <t>416.5</t>
  </si>
  <si>
    <t>361.0</t>
  </si>
  <si>
    <t>287.4</t>
  </si>
  <si>
    <t>241.0</t>
  </si>
  <si>
    <t>修改标准值时，该仪器对应的模板文件必须未打开，同时修改后光标要在未修改的单元格内！方可保存成功！</t>
  </si>
  <si>
    <t>仪器方法标记</t>
  </si>
  <si>
    <t>仪器方法字段</t>
  </si>
  <si>
    <t>算法标记</t>
  </si>
  <si>
    <t>算法字段</t>
  </si>
  <si>
    <t>StartWl</t>
  </si>
  <si>
    <t>WlRange</t>
  </si>
  <si>
    <t>Validation.ViewModel.DataStructure.FindPeakAndAverageUVTestTool</t>
  </si>
  <si>
    <t>EndWl</t>
  </si>
  <si>
    <t>求平均</t>
  </si>
  <si>
    <t>Validation.ViewModel.DataStructure.WlPointsAndAverageUVTestTool</t>
  </si>
  <si>
    <t>RepeatTimes</t>
  </si>
  <si>
    <t>Validation.ViewModel.DataStructure.WlPointsUVTestTool</t>
  </si>
  <si>
    <t>RepeatInterval</t>
  </si>
  <si>
    <t>Validation.ViewModel.DataStructure.FindMaxOffsetUVTestTool</t>
  </si>
  <si>
    <t>MethodStr</t>
  </si>
  <si>
    <t>求半峰宽</t>
  </si>
  <si>
    <t>Validation.ViewModel.DataStructure.FindHalfPeakUVTestTool</t>
  </si>
  <si>
    <t>MeasurePara</t>
  </si>
  <si>
    <t>Validation.ViewModel.DataStructure.GetMaxDIstanceUVTestTool</t>
  </si>
  <si>
    <t>使用物质</t>
  </si>
  <si>
    <t>ToolStr</t>
  </si>
  <si>
    <t>求漂移</t>
  </si>
  <si>
    <t>Validation.ViewModel.DataStructure.GetDriftUVTestTool</t>
  </si>
  <si>
    <t>Name</t>
  </si>
  <si>
    <t>PhotoMode</t>
  </si>
  <si>
    <t>ScanSpeed</t>
  </si>
  <si>
    <t>ScanWlInterval</t>
  </si>
  <si>
    <t>Gain</t>
  </si>
  <si>
    <t>Slit1</t>
  </si>
  <si>
    <t>Wl</t>
  </si>
  <si>
    <t>暗电流</t>
  </si>
  <si>
    <t>Dark</t>
  </si>
  <si>
    <t>校零</t>
  </si>
  <si>
    <t>Zero</t>
  </si>
  <si>
    <t>BaseLine</t>
  </si>
  <si>
    <t>测量</t>
  </si>
  <si>
    <t>Measure</t>
  </si>
  <si>
    <t>Scan</t>
  </si>
  <si>
    <t>timeinterval</t>
  </si>
  <si>
    <t>totalcount</t>
  </si>
  <si>
    <t>LampPos</t>
  </si>
  <si>
    <t>ResponseTime</t>
  </si>
  <si>
    <t>测量值（T%）</t>
  </si>
  <si>
    <t>1号</t>
  </si>
  <si>
    <t>2号</t>
  </si>
  <si>
    <t>3号</t>
  </si>
  <si>
    <t>4号</t>
  </si>
  <si>
    <t>5号</t>
  </si>
  <si>
    <t>检测结果</t>
  </si>
  <si>
    <t>特征值（nm）</t>
  </si>
  <si>
    <t>光源</t>
  </si>
  <si>
    <t>486</t>
  </si>
  <si>
    <t>全段</t>
  </si>
  <si>
    <t>误差值（nm）</t>
  </si>
  <si>
    <t>波长示值误差(nm)</t>
  </si>
  <si>
    <t>氘灯486</t>
  </si>
  <si>
    <t>波长点</t>
  </si>
  <si>
    <t>测量值（%）</t>
  </si>
  <si>
    <t>指标要求</t>
  </si>
  <si>
    <t>34U1602-01-0024</t>
  </si>
  <si>
    <t>2.2.24.1119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</si>
</sst>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>
    <numFmt numFmtId="177" formatCode="General"/>
    <numFmt numFmtId="186" formatCode="0%"/>
    <numFmt numFmtId="214" formatCode="_ * #,##0_ ;_ * \-#,##0_ ;_ * &quot;-&quot;_ ;_ @_ "/>
    <numFmt numFmtId="215" formatCode="_ &quot;￥&quot;* #,##0_ ;_ &quot;￥&quot;* \-#,##0_ ;_ &quot;￥&quot;* &quot;-&quot;_ ;_ @_ "/>
    <numFmt numFmtId="216" formatCode="_ * #,##0.00_ ;_ * \-#,##0.00_ ;_ * &quot;-&quot;??_ ;_ @_ "/>
    <numFmt numFmtId="217" formatCode="_ &quot;￥&quot;* #,##0.00_ ;_ &quot;￥&quot;* \-#,##0.00_ ;_ &quot;￥&quot;* &quot;-&quot;??_ ;_ @_ "/>
    <numFmt numFmtId="229" formatCode="0.00000 "/>
    <numFmt numFmtId="232" formatCode="0.00000 "/>
    <numFmt numFmtId="233" formatCode="0.0000_);[Red]\(0.0000\)"/>
    <numFmt numFmtId="235" formatCode="0.00000 "/>
    <numFmt numFmtId="236" formatCode="0.00000 "/>
    <numFmt numFmtId="238" formatCode="0.000_);[Red]\(0.000\)"/>
    <numFmt numFmtId="240" formatCode="0.00_);[Red]\(0.00\)"/>
    <numFmt numFmtId="244" formatCode="0.000_);[Red]\-0.000\ "/>
    <numFmt numFmtId="245" formatCode="0.00_);[Red]\(0.00\)"/>
    <numFmt numFmtId="246" formatCode="0.000_);[Red]\(0.000\)"/>
    <numFmt numFmtId="247" formatCode="0.00_);[Red]\(0.00\)"/>
    <numFmt numFmtId="250" formatCode="0.00_);[Red]\(0.00\)"/>
    <numFmt numFmtId="251" formatCode="0.00_);[Red]\-0.00\ "/>
    <numFmt numFmtId="255" formatCode="0.00_);[Red]\(0.00\)"/>
    <numFmt numFmtId="256" formatCode="0.0_);[Red]\-0.0\ "/>
    <numFmt numFmtId="257" formatCode="0.0 "/>
    <numFmt numFmtId="263" formatCode="0.00 "/>
    <numFmt numFmtId="264" formatCode="0.0_);[Red]\(0.0\)"/>
    <numFmt numFmtId="265" formatCode="0.00_);[Red]\(0.00\)"/>
    <numFmt numFmtId="266" formatCode="0.00_);[Red]\(0.00\)"/>
    <numFmt numFmtId="270" formatCode="0.00_);[Red]\(0.00\)"/>
    <numFmt numFmtId="272" formatCode="0.00 "/>
    <numFmt numFmtId="273" formatCode="0.0_);[Red]\(0.0\)"/>
    <numFmt numFmtId="276" formatCode="0.00_);[Red]\(0.00\)"/>
    <numFmt numFmtId="280" formatCode="0.00_);[Red]\(0.00\)"/>
    <numFmt numFmtId="281" formatCode="0.0_);[Red]\(0.0\)"/>
    <numFmt numFmtId="283" formatCode="0.00 "/>
    <numFmt numFmtId="286" formatCode="0.00 "/>
    <numFmt numFmtId="288" formatCode="0.00000 "/>
    <numFmt numFmtId="292" formatCode="0.00000 "/>
    <numFmt numFmtId="293" formatCode="0.00 "/>
    <numFmt numFmtId="319" formatCode="#,##0.00"/>
    <numFmt numFmtId="320" formatCode="0.0 "/>
    <numFmt numFmtId="347" formatCode="#,##0"/>
    <numFmt numFmtId="350" formatCode="[$-10804]yyyy&quot;年&quot;m&quot;月&quot;d&quot;日&quot;"/>
    <numFmt numFmtId="357" formatCode="0.00_);[Red]\(0.00\)"/>
    <numFmt numFmtId="365" formatCode="0.00_);[Red]\(0.00\)"/>
    <numFmt numFmtId="366" formatCode="0.0000_);[Red]\(0.0000\)"/>
    <numFmt numFmtId="367" formatCode="0.0_);[Red]\(0.0\)"/>
    <numFmt numFmtId="368" formatCode="0.00 "/>
    <numFmt numFmtId="369" formatCode="0.0"/>
    <numFmt numFmtId="370" formatCode="0.00_);[Red]\(0.00\)"/>
    <numFmt numFmtId="371" formatCode="0.000_);[Red]\(0.000\)"/>
    <numFmt numFmtId="372" formatCode="0.0_);[Red]\(0.0\)"/>
    <numFmt numFmtId="374" formatCode="0.0_);[Red]\(0.0\)"/>
    <numFmt numFmtId="378" formatCode="[$-10804]yyyy&quot;年&quot;m&quot;月&quot;d&quot;日&quot;"/>
    <numFmt numFmtId="387" formatCode="[$-10804]yyyy&quot;年&quot;m&quot;月&quot;d&quot;日&quot;"/>
    <numFmt numFmtId="388" formatCode="[$-10804]yyyy/m/d h:mm"/>
    <numFmt numFmtId="393" formatCode="#,##0"/>
    <numFmt numFmtId="424" formatCode="0.00_);[Red]\(0.00\)"/>
    <numFmt numFmtId="432" formatCode="0.00_);[Red]\(0.00\)"/>
    <numFmt numFmtId="433" formatCode="0.00 "/>
    <numFmt numFmtId="434" formatCode="0.00 "/>
    <numFmt numFmtId="435" formatCode="0.00_);[Red]\-0.00\ "/>
    <numFmt numFmtId="465" formatCode="0.000 "/>
    <numFmt numFmtId="467" formatCode="0.00000 "/>
    <numFmt numFmtId="474" formatCode="  #,##0.00_);  \-#,##0.00_);  &quot;-&quot; "/>
    <numFmt numFmtId="475" formatCode=" &quot;￥&quot; #,##0.00_); &quot;￥&quot; \-#,##0.00_); &quot;￥&quot; &quot;-&quot; "/>
    <numFmt numFmtId="476" formatCode="0%"/>
    <numFmt numFmtId="477" formatCode="  #,##0_);  \-#,##0_);  &quot;-&quot; "/>
    <numFmt numFmtId="478" formatCode=" &quot;￥&quot; #,##0_); &quot;￥&quot; \-#,##0_); &quot;￥&quot; &quot;-&quot; "/>
  </numFmts>
  <fonts>
    <font>
      <b val="0"/>
      <i val="0"/>
      <strike val="0"/>
      <condense val="0"/>
      <extend val="0"/>
      <outline val="0"/>
      <shadow val="0"/>
      <u val="none"/>
      <vertAlign val="baseline"/>
      <sz val="11"/>
      <name val="宋体"/>
    </font>
    <font/>
    <font/>
    <font/>
    <font/>
    <font>
      <b/>
      <i val="0"/>
      <strike val="0"/>
      <condense val="0"/>
      <extend val="0"/>
      <outline val="0"/>
      <shadow val="0"/>
      <u val="none"/>
      <vertAlign val="baseline"/>
      <sz val="11"/>
      <color rgb="FFFF0000"/>
      <name val="宋体"/>
      <charset val="134"/>
      <scheme val="minor"/>
    </font>
    <font/>
    <font>
      <b/>
      <i val="0"/>
      <strike val="0"/>
      <condense val="0"/>
      <extend val="0"/>
      <outline val="0"/>
      <shadow val="0"/>
      <u val="none"/>
      <vertAlign val="baseline"/>
      <sz val="10.5"/>
      <color rgb="FF000000"/>
      <name val="Times New Roman"/>
      <charset val="134"/>
      <scheme val="none"/>
    </font>
    <font>
      <b/>
      <i val="0"/>
      <strike val="0"/>
      <condense val="0"/>
      <extend val="0"/>
      <outline val="0"/>
      <shadow val="0"/>
      <u val="none"/>
      <vertAlign val="baseline"/>
      <sz val="10.5"/>
      <color rgb="FF000000"/>
      <name val="宋体"/>
      <charset val="134"/>
      <scheme val="none"/>
    </font>
    <font/>
    <font>
      <b/>
      <i val="0"/>
      <strike val="0"/>
      <condense val="0"/>
      <extend val="0"/>
      <outline val="0"/>
      <shadow val="0"/>
      <u val="none"/>
      <vertAlign val="baseline"/>
      <sz val="11"/>
      <color theme="1"/>
      <name val="宋体"/>
      <charset val="134"/>
      <scheme val="none"/>
    </font>
    <font>
      <b val="0"/>
      <i val="0"/>
      <strike val="0"/>
      <condense val="0"/>
      <extend val="0"/>
      <outline val="0"/>
      <shadow val="0"/>
      <u val="none"/>
      <vertAlign val="baseline"/>
      <sz val="11"/>
      <color rgb="FFFF0000"/>
      <name val="宋体"/>
      <charset val="134"/>
      <scheme val="minor"/>
    </font>
    <font>
      <b/>
      <i val="0"/>
      <strike val="0"/>
      <condense val="0"/>
      <extend val="0"/>
      <outline val="0"/>
      <shadow val="0"/>
      <u val="none"/>
      <vertAlign val="baseline"/>
      <sz val="10.5"/>
      <color theme="1"/>
      <name val="Times New Roman"/>
      <charset val="134"/>
      <scheme val="none"/>
    </font>
    <font>
      <b val="0"/>
      <i val="0"/>
      <strike val="0"/>
      <condense val="0"/>
      <extend val="0"/>
      <outline val="0"/>
      <shadow val="0"/>
      <u val="none"/>
      <vertAlign val="baseline"/>
      <sz val="16"/>
      <color theme="1"/>
      <name val="宋体"/>
      <charset val="134"/>
      <scheme val="minor"/>
    </font>
    <font>
      <b val="0"/>
      <i val="0"/>
      <strike val="0"/>
      <condense val="0"/>
      <extend val="0"/>
      <outline val="0"/>
      <shadow val="0"/>
      <u val="none"/>
      <vertAlign val="baseline"/>
      <sz val="12"/>
      <color rgb="FF43436B"/>
      <name val="Segoe UI"/>
      <charset val="134"/>
      <scheme val="none"/>
    </font>
    <font>
      <b/>
      <i val="0"/>
      <strike val="0"/>
      <condense val="0"/>
      <extend val="0"/>
      <outline val="0"/>
      <shadow val="0"/>
      <u val="none"/>
      <vertAlign val="baseline"/>
      <sz val="10.5"/>
      <color rgb="FF000000"/>
      <name val="宋体"/>
      <charset val="134"/>
      <scheme val="minor"/>
    </font>
    <font>
      <b/>
      <i val="0"/>
      <strike val="0"/>
      <condense val="0"/>
      <extend val="0"/>
      <outline val="0"/>
      <shadow val="0"/>
      <u val="none"/>
      <vertAlign val="baseline"/>
      <sz val="16"/>
      <color theme="1"/>
      <name val="宋体"/>
      <charset val="134"/>
      <scheme val="minor"/>
    </font>
    <font>
      <b val="0"/>
      <i val="0"/>
      <strike val="0"/>
      <condense val="0"/>
      <extend val="0"/>
      <outline val="0"/>
      <shadow val="0"/>
      <u val="none"/>
      <vertAlign val="baseline"/>
      <sz val="10.5"/>
      <color rgb="FF000000"/>
      <name val="宋体"/>
      <charset val="134"/>
      <scheme val="minor"/>
    </font>
    <font>
      <b/>
      <i val="0"/>
      <strike val="0"/>
      <condense val="0"/>
      <extend val="0"/>
      <outline val="0"/>
      <shadow val="0"/>
      <u val="none"/>
      <vertAlign val="baseline"/>
      <sz val="12"/>
      <color theme="1"/>
      <name val="宋体"/>
      <charset val="134"/>
      <scheme val="minor"/>
    </font>
    <font>
      <b val="0"/>
      <i val="0"/>
      <strike val="0"/>
      <condense val="0"/>
      <extend val="0"/>
      <outline val="0"/>
      <shadow val="0"/>
      <u val="none"/>
      <vertAlign val="baseline"/>
      <sz val="10.5"/>
      <color theme="1"/>
      <name val="宋体"/>
      <charset val="134"/>
      <scheme val="none"/>
    </font>
    <font>
      <b val="0"/>
      <i val="0"/>
      <strike val="0"/>
      <condense val="0"/>
      <extend val="0"/>
      <outline val="0"/>
      <shadow val="0"/>
      <u val="none"/>
      <vertAlign val="baseline"/>
      <sz val="12"/>
      <color theme="1"/>
      <name val="黑体"/>
      <charset val="134"/>
      <scheme val="none"/>
    </font>
    <font>
      <b val="0"/>
      <i val="0"/>
      <strike val="0"/>
      <condense val="0"/>
      <extend val="0"/>
      <outline val="0"/>
      <shadow val="0"/>
      <u val="none"/>
      <vertAlign val="baseline"/>
      <sz val="10.5"/>
      <color rgb="FF000000"/>
      <name val="Times New Roman"/>
      <charset val="134"/>
      <scheme val="none"/>
    </font>
    <font>
      <b/>
      <i val="0"/>
      <strike val="0"/>
      <condense val="0"/>
      <extend val="0"/>
      <outline val="0"/>
      <shadow val="0"/>
      <u val="none"/>
      <vertAlign val="baseline"/>
      <sz val="11"/>
      <color theme="1"/>
      <name val="宋体"/>
      <charset val="134"/>
      <scheme val="minor"/>
    </font>
    <font>
      <b val="0"/>
      <i val="0"/>
      <strike val="0"/>
      <condense val="0"/>
      <extend val="0"/>
      <outline val="0"/>
      <shadow val="0"/>
      <u val="none"/>
      <vertAlign val="baseline"/>
      <sz val="10.5"/>
      <color theme="1"/>
      <name val="黑体"/>
      <charset val="134"/>
      <scheme val="none"/>
    </font>
    <font>
      <b/>
      <i val="0"/>
      <strike val="0"/>
      <condense val="0"/>
      <extend val="0"/>
      <outline val="0"/>
      <shadow val="0"/>
      <u val="none"/>
      <vertAlign val="baseline"/>
      <sz val="10.5"/>
      <color theme="1"/>
      <name val="宋体"/>
      <charset val="134"/>
      <scheme val="none"/>
    </font>
    <font>
      <b val="0"/>
      <i val="0"/>
      <strike val="0"/>
      <condense val="0"/>
      <extend val="0"/>
      <outline val="0"/>
      <shadow val="0"/>
      <u/>
      <vertAlign val="baseline"/>
      <sz val="11"/>
      <color rgb="FF0000FF"/>
      <name val="宋体"/>
      <charset val="0"/>
      <scheme val="minor"/>
    </font>
    <font>
      <b val="0"/>
      <i val="0"/>
      <strike val="0"/>
      <condense val="0"/>
      <extend val="0"/>
      <outline val="0"/>
      <shadow val="0"/>
      <u/>
      <vertAlign val="baseline"/>
      <sz val="11"/>
      <color rgb="FF800080"/>
      <name val="宋体"/>
      <charset val="0"/>
      <scheme val="minor"/>
    </font>
    <font>
      <b val="0"/>
      <i val="0"/>
      <strike val="0"/>
      <condense val="0"/>
      <extend val="0"/>
      <outline val="0"/>
      <shadow val="0"/>
      <u val="none"/>
      <vertAlign val="baseline"/>
      <sz val="11"/>
      <color rgb="FFFF0000"/>
      <name val="宋体"/>
      <charset val="0"/>
      <scheme val="minor"/>
    </font>
    <font>
      <b/>
      <i val="0"/>
      <strike val="0"/>
      <condense val="0"/>
      <extend val="0"/>
      <outline val="0"/>
      <shadow val="0"/>
      <u val="none"/>
      <vertAlign val="baseline"/>
      <sz val="18"/>
      <color theme="3"/>
      <name val="宋体"/>
      <charset val="134"/>
      <scheme val="minor"/>
    </font>
    <font>
      <b val="0"/>
      <i/>
      <strike val="0"/>
      <condense val="0"/>
      <extend val="0"/>
      <outline val="0"/>
      <shadow val="0"/>
      <u val="none"/>
      <vertAlign val="baseline"/>
      <sz val="11"/>
      <color rgb="FF7F7F7F"/>
      <name val="宋体"/>
      <charset val="0"/>
      <scheme val="minor"/>
    </font>
    <font>
      <b/>
      <i val="0"/>
      <strike val="0"/>
      <condense val="0"/>
      <extend val="0"/>
      <outline val="0"/>
      <shadow val="0"/>
      <u val="none"/>
      <vertAlign val="baseline"/>
      <sz val="15"/>
      <color theme="3"/>
      <name val="宋体"/>
      <charset val="134"/>
      <scheme val="minor"/>
    </font>
    <font>
      <b/>
      <i val="0"/>
      <strike val="0"/>
      <condense val="0"/>
      <extend val="0"/>
      <outline val="0"/>
      <shadow val="0"/>
      <u val="none"/>
      <vertAlign val="baseline"/>
      <sz val="13"/>
      <color theme="3"/>
      <name val="宋体"/>
      <charset val="134"/>
      <scheme val="minor"/>
    </font>
    <font>
      <b/>
      <i val="0"/>
      <strike val="0"/>
      <condense val="0"/>
      <extend val="0"/>
      <outline val="0"/>
      <shadow val="0"/>
      <u val="none"/>
      <vertAlign val="baseline"/>
      <sz val="11"/>
      <color theme="3"/>
      <name val="宋体"/>
      <charset val="134"/>
      <scheme val="minor"/>
    </font>
    <font>
      <b val="0"/>
      <i val="0"/>
      <strike val="0"/>
      <condense val="0"/>
      <extend val="0"/>
      <outline val="0"/>
      <shadow val="0"/>
      <u val="none"/>
      <vertAlign val="baseline"/>
      <sz val="11"/>
      <color rgb="FF3F3F76"/>
      <name val="宋体"/>
      <charset val="0"/>
      <scheme val="minor"/>
    </font>
    <font>
      <b/>
      <i val="0"/>
      <strike val="0"/>
      <condense val="0"/>
      <extend val="0"/>
      <outline val="0"/>
      <shadow val="0"/>
      <u val="none"/>
      <vertAlign val="baseline"/>
      <sz val="11"/>
      <color rgb="FF3F3F3F"/>
      <name val="宋体"/>
      <charset val="0"/>
      <scheme val="minor"/>
    </font>
    <font>
      <b/>
      <i val="0"/>
      <strike val="0"/>
      <condense val="0"/>
      <extend val="0"/>
      <outline val="0"/>
      <shadow val="0"/>
      <u val="none"/>
      <vertAlign val="baseline"/>
      <sz val="11"/>
      <color rgb="FFFA7D00"/>
      <name val="宋体"/>
      <charset val="0"/>
      <scheme val="minor"/>
    </font>
    <font>
      <b/>
      <i val="0"/>
      <strike val="0"/>
      <condense val="0"/>
      <extend val="0"/>
      <outline val="0"/>
      <shadow val="0"/>
      <u val="none"/>
      <vertAlign val="baseline"/>
      <sz val="11"/>
      <color rgb="FFFFFFFF"/>
      <name val="宋体"/>
      <charset val="0"/>
      <scheme val="minor"/>
    </font>
    <font>
      <b val="0"/>
      <i val="0"/>
      <strike val="0"/>
      <condense val="0"/>
      <extend val="0"/>
      <outline val="0"/>
      <shadow val="0"/>
      <u val="none"/>
      <vertAlign val="baseline"/>
      <sz val="11"/>
      <color rgb="FFFA7D00"/>
      <name val="宋体"/>
      <charset val="0"/>
      <scheme val="minor"/>
    </font>
    <font>
      <b/>
      <i val="0"/>
      <strike val="0"/>
      <condense val="0"/>
      <extend val="0"/>
      <outline val="0"/>
      <shadow val="0"/>
      <u val="none"/>
      <vertAlign val="baseline"/>
      <sz val="11"/>
      <color theme="1"/>
      <name val="宋体"/>
      <charset val="0"/>
      <scheme val="minor"/>
    </font>
    <font>
      <b val="0"/>
      <i val="0"/>
      <strike val="0"/>
      <condense val="0"/>
      <extend val="0"/>
      <outline val="0"/>
      <shadow val="0"/>
      <u val="none"/>
      <vertAlign val="baseline"/>
      <sz val="11"/>
      <color rgb="FF006100"/>
      <name val="宋体"/>
      <charset val="0"/>
      <scheme val="minor"/>
    </font>
    <font>
      <b val="0"/>
      <i val="0"/>
      <strike val="0"/>
      <condense val="0"/>
      <extend val="0"/>
      <outline val="0"/>
      <shadow val="0"/>
      <u val="none"/>
      <vertAlign val="baseline"/>
      <sz val="11"/>
      <color rgb="FF9C0006"/>
      <name val="宋体"/>
      <charset val="0"/>
      <scheme val="minor"/>
    </font>
    <font>
      <b val="0"/>
      <i val="0"/>
      <strike val="0"/>
      <condense val="0"/>
      <extend val="0"/>
      <outline val="0"/>
      <shadow val="0"/>
      <u val="none"/>
      <vertAlign val="baseline"/>
      <sz val="11"/>
      <color rgb="FF9C6500"/>
      <name val="宋体"/>
      <charset val="0"/>
      <scheme val="minor"/>
    </font>
    <font>
      <b val="0"/>
      <i val="0"/>
      <strike val="0"/>
      <condense val="0"/>
      <extend val="0"/>
      <outline val="0"/>
      <shadow val="0"/>
      <u val="none"/>
      <vertAlign val="baseline"/>
      <sz val="11"/>
      <color theme="0"/>
      <name val="宋体"/>
      <charset val="0"/>
      <scheme val="minor"/>
    </font>
    <font>
      <b val="0"/>
      <i val="0"/>
      <strike val="0"/>
      <condense val="0"/>
      <extend val="0"/>
      <outline val="0"/>
      <shadow val="0"/>
      <u val="none"/>
      <vertAlign val="baseline"/>
      <sz val="11"/>
      <color theme="1"/>
      <name val="宋体"/>
      <charset val="0"/>
      <scheme val="minor"/>
    </font>
    <font>
      <color indexed="64"/>
    </font>
    <font>
      <b val="0"/>
      <i val="0"/>
      <strike val="0"/>
      <condense val="0"/>
      <extend val="0"/>
      <outline val="0"/>
      <shadow val="0"/>
      <u val="none"/>
      <vertAlign val="baseline"/>
      <sz val="11"/>
      <color rgb="FF000000"/>
      <name val="宋体"/>
    </font>
    <font>
      <b val="0"/>
      <i val="0"/>
      <strike val="0"/>
      <condense val="0"/>
      <extend val="0"/>
      <outline val="0"/>
      <shadow val="0"/>
      <u/>
      <vertAlign val="baseline"/>
      <sz val="11"/>
      <color rgb="FF0000FF"/>
      <name val="宋体"/>
    </font>
    <font>
      <b val="0"/>
      <i val="0"/>
      <strike val="0"/>
      <condense val="0"/>
      <extend val="0"/>
      <outline val="0"/>
      <shadow val="0"/>
      <u/>
      <vertAlign val="baseline"/>
      <sz val="11"/>
      <color rgb="FF800080"/>
      <name val="宋体"/>
    </font>
    <font>
      <b val="0"/>
      <i val="0"/>
      <strike val="0"/>
      <condense val="0"/>
      <extend val="0"/>
      <outline val="0"/>
      <shadow val="0"/>
      <u val="none"/>
      <vertAlign val="baseline"/>
      <sz val="11"/>
      <color rgb="FFFF0000"/>
      <name val="宋体"/>
    </font>
    <font>
      <b/>
      <i val="0"/>
      <strike val="0"/>
      <condense val="0"/>
      <extend val="0"/>
      <outline val="0"/>
      <shadow val="0"/>
      <u val="none"/>
      <vertAlign val="baseline"/>
      <sz val="18"/>
      <color rgb="FF1F497D"/>
      <name val="宋体"/>
    </font>
    <font>
      <b val="0"/>
      <i/>
      <strike val="0"/>
      <condense val="0"/>
      <extend val="0"/>
      <outline val="0"/>
      <shadow val="0"/>
      <u val="none"/>
      <vertAlign val="baseline"/>
      <sz val="11"/>
      <color rgb="FF7F7F7F"/>
      <name val="宋体"/>
    </font>
    <font>
      <b/>
      <i val="0"/>
      <strike val="0"/>
      <condense val="0"/>
      <extend val="0"/>
      <outline val="0"/>
      <shadow val="0"/>
      <u val="none"/>
      <vertAlign val="baseline"/>
      <sz val="15"/>
      <color rgb="FF1F497D"/>
      <name val="宋体"/>
    </font>
    <font>
      <b/>
      <i val="0"/>
      <strike val="0"/>
      <condense val="0"/>
      <extend val="0"/>
      <outline val="0"/>
      <shadow val="0"/>
      <u val="none"/>
      <vertAlign val="baseline"/>
      <sz val="13"/>
      <color rgb="FF1F497D"/>
      <name val="宋体"/>
    </font>
    <font>
      <b/>
      <i val="0"/>
      <strike val="0"/>
      <condense val="0"/>
      <extend val="0"/>
      <outline val="0"/>
      <shadow val="0"/>
      <u val="none"/>
      <vertAlign val="baseline"/>
      <sz val="11"/>
      <color rgb="FF1F497D"/>
      <name val="宋体"/>
    </font>
    <font>
      <b val="0"/>
      <i val="0"/>
      <strike val="0"/>
      <condense val="0"/>
      <extend val="0"/>
      <outline val="0"/>
      <shadow val="0"/>
      <u val="none"/>
      <vertAlign val="baseline"/>
      <sz val="11"/>
      <color rgb="FF3F3F76"/>
      <name val="宋体"/>
    </font>
    <font>
      <b/>
      <i val="0"/>
      <strike val="0"/>
      <condense val="0"/>
      <extend val="0"/>
      <outline val="0"/>
      <shadow val="0"/>
      <u val="none"/>
      <vertAlign val="baseline"/>
      <sz val="11"/>
      <color rgb="FF3F3F3F"/>
      <name val="宋体"/>
    </font>
    <font>
      <b/>
      <i val="0"/>
      <strike val="0"/>
      <condense val="0"/>
      <extend val="0"/>
      <outline val="0"/>
      <shadow val="0"/>
      <u val="none"/>
      <vertAlign val="baseline"/>
      <sz val="11"/>
      <color rgb="FFFA7D00"/>
      <name val="宋体"/>
    </font>
    <font>
      <b/>
      <i val="0"/>
      <strike val="0"/>
      <condense val="0"/>
      <extend val="0"/>
      <outline val="0"/>
      <shadow val="0"/>
      <u val="none"/>
      <vertAlign val="baseline"/>
      <sz val="11"/>
      <color rgb="FFFFFFFF"/>
      <name val="宋体"/>
    </font>
    <font>
      <b val="0"/>
      <i val="0"/>
      <strike val="0"/>
      <condense val="0"/>
      <extend val="0"/>
      <outline val="0"/>
      <shadow val="0"/>
      <u val="none"/>
      <vertAlign val="baseline"/>
      <sz val="11"/>
      <color rgb="FFFA7D00"/>
      <name val="宋体"/>
    </font>
    <font>
      <b/>
      <i val="0"/>
      <strike val="0"/>
      <condense val="0"/>
      <extend val="0"/>
      <outline val="0"/>
      <shadow val="0"/>
      <u val="none"/>
      <vertAlign val="baseline"/>
      <sz val="11"/>
      <color rgb="FF000000"/>
      <name val="宋体"/>
    </font>
    <font>
      <b val="0"/>
      <i val="0"/>
      <strike val="0"/>
      <condense val="0"/>
      <extend val="0"/>
      <outline val="0"/>
      <shadow val="0"/>
      <u val="none"/>
      <vertAlign val="baseline"/>
      <sz val="11"/>
      <color rgb="FF006100"/>
      <name val="宋体"/>
    </font>
    <font>
      <b val="0"/>
      <i val="0"/>
      <strike val="0"/>
      <condense val="0"/>
      <extend val="0"/>
      <outline val="0"/>
      <shadow val="0"/>
      <u val="none"/>
      <vertAlign val="baseline"/>
      <sz val="11"/>
      <color rgb="FF9C0006"/>
      <name val="宋体"/>
    </font>
    <font>
      <b val="0"/>
      <i val="0"/>
      <strike val="0"/>
      <condense val="0"/>
      <extend val="0"/>
      <outline val="0"/>
      <shadow val="0"/>
      <u val="none"/>
      <vertAlign val="baseline"/>
      <sz val="11"/>
      <color rgb="FF9C6500"/>
      <name val="宋体"/>
    </font>
    <font>
      <b val="0"/>
      <i val="0"/>
      <strike val="0"/>
      <condense val="0"/>
      <extend val="0"/>
      <outline val="0"/>
      <shadow val="0"/>
      <u val="none"/>
      <vertAlign val="baseline"/>
      <sz val="11"/>
      <color rgb="FFFFFFFF"/>
      <name val="宋体"/>
    </font>
    <font>
      <b val="0"/>
      <i val="0"/>
      <strike val="0"/>
      <condense val="0"/>
      <extend val="0"/>
      <outline val="0"/>
      <shadow val="0"/>
      <u val="none"/>
      <vertAlign val="baseline"/>
      <sz val="10.5"/>
      <color theme="1"/>
      <name val="Times New Roman"/>
      <charset val="134"/>
      <scheme val="none"/>
    </font>
    <font>
      <b val="0"/>
      <i val="0"/>
      <strike val="0"/>
      <condense val="0"/>
      <extend val="0"/>
      <outline val="0"/>
      <shadow val="0"/>
      <u val="none"/>
      <vertAlign val="baseline"/>
      <sz val="11"/>
      <color rgb="FF000000"/>
      <name val="宋体"/>
      <charset val="134"/>
      <scheme val="minor"/>
    </font>
    <font>
      <b val="0"/>
      <i val="0"/>
      <strike val="0"/>
      <condense val="0"/>
      <extend val="0"/>
      <outline val="0"/>
      <shadow val="0"/>
      <u val="none"/>
      <vertAlign val="baseline"/>
      <sz val="18"/>
      <color theme="1"/>
      <name val="黑体"/>
      <charset val="134"/>
      <scheme val="none"/>
    </font>
    <font>
      <b val="0"/>
      <i val="0"/>
      <strike val="0"/>
      <condense val="0"/>
      <extend val="0"/>
      <outline val="0"/>
      <shadow val="0"/>
      <u val="none"/>
      <vertAlign val="baseline"/>
      <sz val="16"/>
      <color theme="1"/>
      <name val="黑体"/>
      <charset val="134"/>
      <scheme val="none"/>
    </font>
    <font>
      <b val="0"/>
      <i val="0"/>
      <strike val="0"/>
      <condense val="0"/>
      <extend val="0"/>
      <outline val="0"/>
      <shadow val="0"/>
      <u val="none"/>
      <vertAlign val="baseline"/>
      <sz val="10"/>
      <color rgb="FF000000"/>
      <name val="宋体"/>
      <charset val="134"/>
      <scheme val="minor"/>
    </font>
    <font>
      <b val="0"/>
      <i val="0"/>
      <strike val="0"/>
      <condense val="0"/>
      <extend val="0"/>
      <outline val="0"/>
      <shadow val="0"/>
      <u val="none"/>
      <vertAlign val="baseline"/>
      <sz val="10.5"/>
      <color theme="1"/>
      <name val="宋体"/>
      <charset val="134"/>
      <scheme val="minor"/>
    </font>
  </fonts>
  <fills>
    <fill>
      <patternFill patternType="none"/>
    </fill>
    <fill>
      <patternFill patternType="gray125"/>
    </fill>
    <fill/>
    <fill>
      <patternFill patternType="solid">
        <fgColor theme="4" tint="0.7994628742332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49339274269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4628742332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/>
    <fill/>
    <fill>
      <patternFill patternType="solid">
        <fgColor rgb="FFFFFFCC"/>
        <bgColor rgb="FFFFFFCC"/>
      </patternFill>
    </fill>
    <fill>
      <patternFill patternType="solid">
        <fgColor rgb="FFFFCC99"/>
        <bgColor rgb="FFFFCC99"/>
      </patternFill>
    </fill>
    <fill>
      <patternFill patternType="solid">
        <fgColor rgb="FFF2F2F2"/>
        <bgColor rgb="FFF2F2F2"/>
      </patternFill>
    </fill>
    <fill>
      <patternFill patternType="solid">
        <fgColor rgb="FFA5A5A5"/>
        <bgColor rgb="FFA5A5A5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4F81BD"/>
        <bgColor rgb="FF4F81BD"/>
      </patternFill>
    </fill>
    <fill>
      <patternFill patternType="solid">
        <fgColor rgb="FFDCE6F2"/>
        <bgColor rgb="FFDCE6F2"/>
      </patternFill>
    </fill>
    <fill>
      <patternFill patternType="solid">
        <fgColor rgb="FFB9CDE5"/>
        <bgColor rgb="FFB9CDE5"/>
      </patternFill>
    </fill>
    <fill>
      <patternFill patternType="solid">
        <fgColor rgb="FF95B3D7"/>
        <bgColor rgb="FF95B3D7"/>
      </patternFill>
    </fill>
    <fill>
      <patternFill patternType="solid">
        <fgColor rgb="FFC0504D"/>
        <bgColor rgb="FFC0504D"/>
      </patternFill>
    </fill>
    <fill>
      <patternFill patternType="solid">
        <fgColor rgb="FFF2DCDB"/>
        <bgColor rgb="FFF2DCDB"/>
      </patternFill>
    </fill>
    <fill>
      <patternFill patternType="solid">
        <fgColor rgb="FFE6B9B8"/>
        <bgColor rgb="FFE6B9B8"/>
      </patternFill>
    </fill>
    <fill>
      <patternFill patternType="solid">
        <fgColor rgb="FFD99694"/>
        <bgColor rgb="FFD99694"/>
      </patternFill>
    </fill>
    <fill>
      <patternFill patternType="solid">
        <fgColor rgb="FF9BBB59"/>
        <bgColor rgb="FF9BBB59"/>
      </patternFill>
    </fill>
    <fill>
      <patternFill patternType="solid">
        <fgColor rgb="FFEBF1DE"/>
        <bgColor rgb="FFEBF1DE"/>
      </patternFill>
    </fill>
    <fill>
      <patternFill patternType="solid">
        <fgColor rgb="FFD7E4BD"/>
        <bgColor rgb="FFD7E4BD"/>
      </patternFill>
    </fill>
    <fill>
      <patternFill patternType="solid">
        <fgColor rgb="FFC3D69B"/>
        <bgColor rgb="FFC3D69B"/>
      </patternFill>
    </fill>
    <fill>
      <patternFill patternType="solid">
        <fgColor rgb="FF8064A2"/>
        <bgColor rgb="FF8064A2"/>
      </patternFill>
    </fill>
    <fill>
      <patternFill patternType="solid">
        <fgColor rgb="FFE6E0EC"/>
        <bgColor rgb="FFE6E0EC"/>
      </patternFill>
    </fill>
    <fill>
      <patternFill patternType="solid">
        <fgColor rgb="FFCCC1DA"/>
        <bgColor rgb="FFCCC1DA"/>
      </patternFill>
    </fill>
    <fill>
      <patternFill patternType="solid">
        <fgColor rgb="FFB3A2C7"/>
        <bgColor rgb="FFB3A2C7"/>
      </patternFill>
    </fill>
    <fill>
      <patternFill patternType="solid">
        <fgColor rgb="FF4BACC6"/>
        <bgColor rgb="FF4BACC6"/>
      </patternFill>
    </fill>
    <fill>
      <patternFill patternType="solid">
        <fgColor rgb="FFDBEEF4"/>
        <bgColor rgb="FFDBEEF4"/>
      </patternFill>
    </fill>
    <fill>
      <patternFill patternType="solid">
        <fgColor rgb="FFB7DEE8"/>
        <bgColor rgb="FFB7DEE8"/>
      </patternFill>
    </fill>
    <fill>
      <patternFill patternType="solid">
        <fgColor rgb="FF93CDDD"/>
        <bgColor rgb="FF93CDDD"/>
      </patternFill>
    </fill>
    <fill>
      <patternFill patternType="solid">
        <fgColor rgb="FFF79646"/>
        <bgColor rgb="FFF79646"/>
      </patternFill>
    </fill>
    <fill>
      <patternFill patternType="solid">
        <fgColor rgb="FFFDEADA"/>
        <bgColor rgb="FFFDEADA"/>
      </patternFill>
    </fill>
    <fill>
      <patternFill patternType="solid">
        <fgColor rgb="FFFCD5B5"/>
        <bgColor rgb="FFFCD5B5"/>
      </patternFill>
    </fill>
    <fill>
      <patternFill patternType="solid">
        <fgColor rgb="FFFAC090"/>
        <bgColor rgb="FFFAC090"/>
      </patternFill>
    </fill>
  </fills>
  <borders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 style="thin"/>
      <top/>
      <bottom/>
      <diagonal/>
    </border>
    <border diagonalUp="0" diagonalDown="0">
      <right style="thin">
        <color rgb="FF000000"/>
      </right>
      <top style="thin">
        <color rgb="FF000000"/>
      </top>
      <bottom style="thin">
        <color rgb="FF000000"/>
      </bottom>
    </border>
    <border/>
    <border/>
    <border>
      <left style="thin"/>
      <right style="thin"/>
      <top style="thin"/>
      <bottom/>
      <diagonal/>
    </border>
    <border>
      <left style="thin"/>
      <right style="thin"/>
      <top/>
      <bottom style="thin"/>
      <diagonal/>
    </border>
    <border>
      <left/>
      <right style="thin"/>
      <top style="thin"/>
      <bottom style="thin"/>
      <diagonal/>
    </border>
    <border diagonalUp="0" diagonalDown="0">
      <left style="thin">
        <color rgb="FF000000"/>
      </left>
      <top style="thin">
        <color rgb="FF000000"/>
      </top>
      <bottom style="thin">
        <color rgb="FF000000"/>
      </bottom>
    </border>
    <border/>
    <border diagonalUp="0" diagonalDown="0">
      <left style="thin">
        <color rgb="FF000000"/>
      </left>
      <right style="thin">
        <color rgb="FF000000"/>
      </right>
    </border>
    <border diagonalUp="0" diagonalDown="0">
      <left style="thin">
        <color rgb="FF000000"/>
      </left>
      <right style="thin">
        <color rgb="FF000000"/>
      </right>
      <bottom style="thin">
        <color rgb="FF000000"/>
      </bottom>
    </border>
    <border diagonalUp="0" diagonalDown="0">
      <top style="thin">
        <color rgb="FF000000"/>
      </top>
    </border>
    <border/>
    <border diagonalUp="0" diagonalDown="0">
      <right style="thin">
        <color rgb="FF000000"/>
      </right>
      <top style="thin">
        <color rgb="FF000000"/>
      </top>
    </border>
    <border/>
    <border diagonalUp="0" diagonalDown="0">
      <left style="thin">
        <color rgb="FF000000"/>
      </left>
      <bottom style="thin">
        <color rgb="FF000000"/>
      </bottom>
    </border>
    <border/>
    <border diagonalUp="0" diagonalDown="0">
      <top style="thin">
        <color rgb="FF000000"/>
      </top>
      <bottom style="thin">
        <color rgb="FF000000"/>
      </bottom>
    </border>
    <border diagonalUp="0" diagonalDown="0">
      <left style="thin">
        <color rgb="FF000000"/>
      </left>
      <right style="thin">
        <color rgb="FF000000"/>
      </right>
      <bottom style="thin">
        <color rgb="FF000000"/>
      </bottom>
    </border>
    <border diagonalUp="0" diagonalDown="0"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rgb="FF4F81BD"/>
      </bottom>
      <diagonal/>
    </border>
    <border>
      <left/>
      <right/>
      <top/>
      <bottom style="medium">
        <color rgb="FFA7C0DE"/>
      </bottom>
      <diagonal/>
    </border>
    <border diagonalUp="0" diagonalDown="0">
      <top style="thin">
        <color rgb="FF4F81BD"/>
      </top>
      <bottom style="double">
        <color rgb="FF4F81BD"/>
      </bottom>
    </border>
    <border/>
    <border/>
    <border diagonalUp="0" diagonalDown="0">
      <top style="thin">
        <color rgb="FF000000"/>
      </top>
    </border>
    <border diagonalUp="0" diagonalDown="0"/>
    <border diagonalUp="0" diagonalDown="0">
      <left style="thin">
        <color rgb="FF000000"/>
      </left>
      <right style="thin">
        <color rgb="FF000000"/>
      </right>
    </border>
    <border/>
    <border diagonalUp="0" diagonalDown="0">
      <left style="thin">
        <color rgb="FF000000"/>
      </left>
    </border>
    <border diagonalUp="0" diagonalDown="0">
      <left style="thin">
        <color rgb="FF000000"/>
      </left>
      <right style="thin">
        <color rgb="FF000000"/>
      </right>
      <top style="thin">
        <color rgb="FF000000"/>
      </top>
    </border>
    <border/>
    <border diagonalUp="0" diagonalDown="0">
      <left style="thin">
        <color rgb="FF000000"/>
      </left>
      <bottom style="thin">
        <color rgb="FF000000"/>
      </bottom>
    </border>
    <border diagonalUp="0" diagonalDown="0">
      <bottom style="thin">
        <color rgb="FF000000"/>
      </bottom>
    </border>
    <border diagonalUp="0" diagonalDown="0">
      <right style="thin">
        <color rgb="FF000000"/>
      </right>
      <bottom style="thin">
        <color rgb="FF000000"/>
      </bottom>
    </border>
    <border diagonalUp="0" diagonalDown="0">
      <left style="thin">
        <color rgb="FF000000"/>
      </left>
      <top style="thin">
        <color rgb="FF000000"/>
      </top>
    </border>
    <border diagonalUp="0" diagonalDown="0">
      <right style="thin">
        <color rgb="FF000000"/>
      </right>
      <top style="thin">
        <color rgb="FF000000"/>
      </top>
    </border>
    <border diagonalUp="0" diagonalDown="0">
      <left style="thin">
        <color rgb="FF000000"/>
      </left>
    </border>
    <border diagonalUp="0" diagonalDown="0">
      <right style="thin">
        <color rgb="FF000000"/>
      </right>
    </border>
    <border diagonalUp="0" diagonalDown="0">
      <left style="thin">
        <color rgb="FF000000"/>
      </left>
      <top style="thin">
        <color rgb="FF000000"/>
      </top>
      <bottom style="thin">
        <color rgb="FF000000"/>
      </bottom>
    </border>
    <border diagonalUp="0" diagonalDown="0">
      <top style="thin">
        <color rgb="FF000000"/>
      </top>
      <bottom style="thin">
        <color rgb="FF000000"/>
      </bottom>
    </border>
    <border diagonalUp="0" diagonalDown="0">
      <right style="thin">
        <color rgb="FF000000"/>
      </right>
      <top style="thin">
        <color rgb="FF000000"/>
      </top>
      <bottom style="thin">
        <color rgb="FF000000"/>
      </bottom>
    </border>
    <border diagonalUp="0" diagonalDown="0">
      <left style="thin">
        <color rgb="FF000000"/>
      </left>
      <top style="thin">
        <color rgb="FF000000"/>
      </top>
      <bottom style="thin">
        <color rgb="FF000000"/>
      </bottom>
    </border>
    <border diagonalUp="0" diagonalDown="0">
      <top style="thin">
        <color rgb="FF000000"/>
      </top>
      <bottom style="thin">
        <color rgb="FF000000"/>
      </bottom>
    </border>
    <border diagonalUp="0" diagonalDown="0">
      <right style="thin">
        <color rgb="FF000000"/>
      </right>
      <top style="thin">
        <color rgb="FF000000"/>
      </top>
      <bottom style="thin">
        <color rgb="FF000000"/>
      </bottom>
    </border>
    <border diagonalUp="0" diagonalDown="0">
      <left style="thin">
        <color rgb="FF000000"/>
      </left>
      <top style="thin">
        <color rgb="FF000000"/>
      </top>
    </border>
    <border diagonalUp="0" diagonalDown="0">
      <right style="thin">
        <color rgb="FF000000"/>
      </right>
      <top style="thin">
        <color rgb="FF000000"/>
      </top>
    </border>
  </borders>
  <cellStyleXfs>
    <xf numFmtId="0" fontId="0" fillId="0" borderId="0">
      <alignment vertical="top"/>
    </xf>
    <xf numFmtId="216" fontId="0" fillId="0" borderId="0">
      <alignment vertical="center"/>
    </xf>
    <xf numFmtId="217" fontId="0" fillId="0" borderId="0">
      <alignment vertical="center"/>
    </xf>
    <xf numFmtId="186" fontId="0" fillId="0" borderId="0">
      <alignment vertical="center"/>
    </xf>
    <xf numFmtId="214" fontId="0" fillId="0" borderId="0">
      <alignment vertical="center"/>
    </xf>
    <xf numFmtId="215" fontId="0" fillId="0" borderId="0">
      <alignment vertical="center"/>
    </xf>
    <xf numFmtId="177" fontId="25" fillId="0" borderId="0">
      <alignment vertical="center"/>
    </xf>
    <xf numFmtId="177" fontId="26" fillId="0" borderId="0">
      <alignment vertical="center"/>
    </xf>
    <xf numFmtId="177" fontId="0" fillId="10" borderId="23">
      <alignment vertical="center"/>
    </xf>
    <xf numFmtId="177" fontId="27" fillId="0" borderId="0">
      <alignment vertical="center"/>
    </xf>
    <xf numFmtId="177" fontId="28" fillId="0" borderId="0">
      <alignment vertical="center"/>
    </xf>
    <xf numFmtId="177" fontId="29" fillId="0" borderId="0">
      <alignment vertical="center"/>
    </xf>
    <xf numFmtId="177" fontId="30" fillId="0" borderId="24">
      <alignment vertical="center"/>
    </xf>
    <xf numFmtId="177" fontId="31" fillId="0" borderId="24">
      <alignment vertical="center"/>
    </xf>
    <xf numFmtId="177" fontId="32" fillId="0" borderId="25">
      <alignment vertical="center"/>
    </xf>
    <xf numFmtId="177" fontId="32" fillId="0" borderId="0">
      <alignment vertical="center"/>
    </xf>
    <xf numFmtId="177" fontId="33" fillId="11" borderId="26">
      <alignment vertical="center"/>
    </xf>
    <xf numFmtId="177" fontId="34" fillId="12" borderId="27">
      <alignment vertical="center"/>
    </xf>
    <xf numFmtId="177" fontId="35" fillId="12" borderId="26">
      <alignment vertical="center"/>
    </xf>
    <xf numFmtId="177" fontId="36" fillId="13" borderId="28">
      <alignment vertical="center"/>
    </xf>
    <xf numFmtId="177" fontId="37" fillId="0" borderId="29">
      <alignment vertical="center"/>
    </xf>
    <xf numFmtId="177" fontId="38" fillId="0" borderId="30">
      <alignment vertical="center"/>
    </xf>
    <xf numFmtId="177" fontId="39" fillId="14" borderId="0">
      <alignment vertical="center"/>
    </xf>
    <xf numFmtId="177" fontId="40" fillId="15" borderId="0">
      <alignment vertical="center"/>
    </xf>
    <xf numFmtId="177" fontId="41" fillId="16" borderId="0">
      <alignment vertical="center"/>
    </xf>
    <xf numFmtId="177" fontId="42" fillId="17" borderId="0">
      <alignment vertical="center"/>
    </xf>
    <xf numFmtId="177" fontId="43" fillId="18" borderId="0">
      <alignment vertical="center"/>
    </xf>
    <xf numFmtId="177" fontId="43" fillId="19" borderId="0">
      <alignment vertical="center"/>
    </xf>
    <xf numFmtId="177" fontId="42" fillId="20" borderId="0">
      <alignment vertical="center"/>
    </xf>
    <xf numFmtId="177" fontId="42" fillId="21" borderId="0">
      <alignment vertical="center"/>
    </xf>
    <xf numFmtId="177" fontId="43" fillId="22" borderId="0">
      <alignment vertical="center"/>
    </xf>
    <xf numFmtId="177" fontId="43" fillId="23" borderId="0">
      <alignment vertical="center"/>
    </xf>
    <xf numFmtId="177" fontId="42" fillId="24" borderId="0">
      <alignment vertical="center"/>
    </xf>
    <xf numFmtId="177" fontId="42" fillId="25" borderId="0">
      <alignment vertical="center"/>
    </xf>
    <xf numFmtId="177" fontId="43" fillId="26" borderId="0">
      <alignment vertical="center"/>
    </xf>
    <xf numFmtId="177" fontId="43" fillId="27" borderId="0">
      <alignment vertical="center"/>
    </xf>
    <xf numFmtId="177" fontId="42" fillId="28" borderId="0">
      <alignment vertical="center"/>
    </xf>
    <xf numFmtId="177" fontId="42" fillId="29" borderId="0">
      <alignment vertical="center"/>
    </xf>
    <xf numFmtId="177" fontId="43" fillId="30" borderId="0">
      <alignment vertical="center"/>
    </xf>
    <xf numFmtId="177" fontId="43" fillId="31" borderId="0">
      <alignment vertical="center"/>
    </xf>
    <xf numFmtId="177" fontId="42" fillId="32" borderId="0">
      <alignment vertical="center"/>
    </xf>
    <xf numFmtId="177" fontId="42" fillId="33" borderId="0">
      <alignment vertical="center"/>
    </xf>
    <xf numFmtId="177" fontId="43" fillId="34" borderId="0">
      <alignment vertical="center"/>
    </xf>
    <xf numFmtId="177" fontId="43" fillId="35" borderId="0">
      <alignment vertical="center"/>
    </xf>
    <xf numFmtId="177" fontId="42" fillId="36" borderId="0">
      <alignment vertical="center"/>
    </xf>
    <xf numFmtId="177" fontId="42" fillId="37" borderId="0">
      <alignment vertical="center"/>
    </xf>
    <xf numFmtId="177" fontId="43" fillId="38" borderId="0">
      <alignment vertical="center"/>
    </xf>
    <xf numFmtId="177" fontId="43" fillId="39" borderId="0">
      <alignment vertical="center"/>
    </xf>
    <xf numFmtId="177" fontId="42" fillId="40" borderId="0">
      <alignment vertical="center"/>
    </xf>
    <xf numFmtId="177" fontId="0" fillId="0" borderId="0">
      <alignment vertical="bottom"/>
    </xf>
    <xf numFmtId="177" fontId="0" fillId="0" borderId="0">
      <alignment vertical="bottom"/>
    </xf>
  </cellStyleXfs>
  <cellXfs count="471">
    <xf numFmtId="0" fontId="0" fillId="0" borderId="0" xfId="0" applyNumberFormat="1" applyFont="1" applyFill="1" applyBorder="1" applyAlignment="1" applyProtection="1">
      <alignment vertical="top"/>
    </xf>
    <xf numFmtId="0" fontId="0" fillId="0" borderId="0" xfId="0"/>
    <xf numFmtId="0" fontId="0" fillId="0" borderId="0" xfId="0"/>
    <xf numFmtId="233" fontId="22" fillId="0" borderId="1" xfId="0" applyNumberFormat="1" applyFont="1" applyFill="1" applyBorder="1" applyAlignment="1" applyProtection="1">
      <alignment vertical="center"/>
    </xf>
    <xf numFmtId="0" fontId="0" fillId="0" borderId="0" xfId="0"/>
    <xf numFmtId="235" fontId="0" fillId="0" borderId="0" xfId="0" applyNumberFormat="1" applyFont="1" applyFill="1" applyBorder="1" applyAlignment="1" applyProtection="1">
      <alignment vertical="bottom"/>
    </xf>
    <xf numFmtId="0" fontId="0" fillId="0" borderId="0" xfId="0"/>
    <xf numFmtId="0" fontId="0" fillId="0" borderId="0" xfId="0"/>
    <xf numFmtId="236" fontId="11" fillId="0" borderId="0" xfId="0" applyNumberFormat="1" applyFont="1" applyFill="1" applyBorder="1" applyAlignment="1" applyProtection="1">
      <alignment vertical="bottom"/>
    </xf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Alignment="1" applyProtection="1">
      <alignment vertical="bottom"/>
      <protection locked="1"/>
    </xf>
    <xf numFmtId="0" fontId="65" fillId="0" borderId="38" xfId="0" applyNumberFormat="1" applyFont="1" applyFill="1" applyBorder="1" applyAlignment="1" applyProtection="1">
      <alignment horizontal="center" vertical="center" wrapText="1"/>
    </xf>
    <xf numFmtId="245" fontId="7" fillId="0" borderId="1" xfId="0" applyNumberFormat="1" applyFont="1" applyFill="1" applyBorder="1" applyAlignment="1" applyProtection="1">
      <alignment vertical="center" wrapText="1"/>
    </xf>
    <xf numFmtId="0" fontId="15" fillId="0" borderId="1" xfId="0" applyNumberFormat="1" applyFont="1" applyFill="1" applyBorder="1" applyAlignment="1" applyProtection="1">
      <alignment vertical="center" wrapText="1"/>
    </xf>
    <xf numFmtId="0" fontId="22" fillId="0" borderId="0" xfId="0" applyNumberFormat="1" applyFont="1" applyFill="1" applyBorder="1" applyAlignment="1" applyProtection="1">
      <alignment vertical="center"/>
    </xf>
    <xf numFmtId="0" fontId="8" fillId="0" borderId="1" xfId="0" applyNumberFormat="1" applyFont="1" applyFill="1" applyBorder="1" applyAlignment="1" applyProtection="1">
      <alignment vertical="center" wrapText="1"/>
    </xf>
    <xf numFmtId="0" fontId="0" fillId="0" borderId="0" xfId="0"/>
    <xf numFmtId="247" fontId="22" fillId="0" borderId="0" xfId="0" applyNumberFormat="1" applyFont="1" applyFill="1" applyBorder="1" applyAlignment="1" applyProtection="1">
      <alignment vertical="center"/>
    </xf>
    <xf numFmtId="240" fontId="24" fillId="4" borderId="1" xfId="0" applyNumberFormat="1" applyFont="1" applyFill="1" applyBorder="1" applyAlignment="1" applyProtection="1">
      <alignment horizontal="center" vertical="center" wrapText="1"/>
    </xf>
    <xf numFmtId="0" fontId="0" fillId="0" borderId="0" xfId="0"/>
    <xf numFmtId="0" fontId="7" fillId="0" borderId="1" xfId="0" applyNumberFormat="1" applyFont="1" applyFill="1" applyBorder="1" applyAlignment="1" applyProtection="1">
      <alignment vertical="center" wrapText="1"/>
    </xf>
    <xf numFmtId="238" fontId="24" fillId="3" borderId="51" xfId="0" applyNumberFormat="1" applyFont="1" applyFill="1" applyBorder="1" applyAlignment="1" applyProtection="1">
      <alignment horizontal="center" vertical="center" wrapText="1"/>
    </xf>
    <xf numFmtId="257" fontId="22" fillId="0" borderId="1" xfId="0" applyNumberFormat="1" applyFont="1" applyFill="1" applyBorder="1" applyAlignment="1" applyProtection="1">
      <alignment horizontal="center" vertical="bottom"/>
    </xf>
    <xf numFmtId="256" fontId="22" fillId="0" borderId="1" xfId="0" applyNumberFormat="1" applyFont="1" applyFill="1" applyBorder="1" applyAlignment="1" applyProtection="1">
      <alignment horizontal="center" vertical="bottom"/>
    </xf>
    <xf numFmtId="246" fontId="22" fillId="0" borderId="0" xfId="0" applyNumberFormat="1" applyFont="1" applyFill="1" applyBorder="1" applyAlignment="1" applyProtection="1">
      <alignment vertical="center"/>
    </xf>
    <xf numFmtId="0" fontId="0" fillId="0" borderId="0" xfId="0"/>
    <xf numFmtId="250" fontId="24" fillId="5" borderId="2" xfId="0" applyNumberFormat="1" applyFont="1" applyFill="1" applyBorder="1" applyAlignment="1" applyProtection="1">
      <alignment horizontal="center" vertical="center" wrapText="1"/>
    </xf>
    <xf numFmtId="251" fontId="24" fillId="5" borderId="1" xfId="0" applyNumberFormat="1" applyFont="1" applyFill="1" applyBorder="1" applyAlignment="1" applyProtection="1">
      <alignment horizontal="center" vertical="center" wrapText="1"/>
    </xf>
    <xf numFmtId="0" fontId="24" fillId="4" borderId="1" xfId="0" applyNumberFormat="1" applyFont="1" applyFill="1" applyBorder="1" applyAlignment="1" applyProtection="1">
      <alignment horizontal="center" vertical="center" wrapText="1"/>
    </xf>
    <xf numFmtId="0" fontId="24" fillId="5" borderId="3" xfId="0" applyNumberFormat="1" applyFont="1" applyFill="1" applyBorder="1" applyAlignment="1" applyProtection="1">
      <alignment horizontal="center" vertical="center" wrapText="1"/>
    </xf>
    <xf numFmtId="0" fontId="5" fillId="0" borderId="0" xfId="0" applyNumberFormat="1" applyFont="1" applyFill="1" applyBorder="1" applyAlignment="1" applyProtection="1">
      <alignment vertical="center"/>
    </xf>
    <xf numFmtId="238" fontId="24" fillId="3" borderId="52" xfId="0" applyNumberFormat="1" applyFont="1" applyFill="1" applyBorder="1" applyAlignment="1" applyProtection="1">
      <alignment horizontal="center" vertical="center" wrapText="1"/>
    </xf>
    <xf numFmtId="0" fontId="0" fillId="0" borderId="56" xfId="0" applyNumberFormat="1" applyFont="1" applyFill="1" applyBorder="1" applyAlignment="1" applyProtection="1">
      <alignment horizontal="center" vertical="center" wrapText="1"/>
    </xf>
    <xf numFmtId="0" fontId="0" fillId="0" borderId="0" xfId="0"/>
    <xf numFmtId="0" fontId="0" fillId="0" borderId="0" xfId="0" applyNumberFormat="1" applyFont="1" applyFill="1" applyBorder="1" applyAlignment="1" applyProtection="1">
      <alignment vertical="bottom"/>
    </xf>
    <xf numFmtId="263" fontId="0" fillId="0" borderId="0" xfId="0" applyNumberFormat="1" applyFont="1" applyFill="1" applyBorder="1" applyAlignment="1" applyProtection="1">
      <alignment vertical="bottom"/>
    </xf>
    <xf numFmtId="264" fontId="0" fillId="0" borderId="0" xfId="0" applyNumberFormat="1" applyFont="1" applyFill="1" applyBorder="1" applyAlignment="1" applyProtection="1">
      <alignment vertical="bottom"/>
    </xf>
    <xf numFmtId="270" fontId="12" fillId="0" borderId="1" xfId="0" applyNumberFormat="1" applyFont="1" applyFill="1" applyBorder="1" applyAlignment="1" applyProtection="1">
      <alignment vertical="center" wrapText="1"/>
    </xf>
    <xf numFmtId="0" fontId="0" fillId="0" borderId="0" xfId="0"/>
    <xf numFmtId="0" fontId="0" fillId="0" borderId="0" xfId="0"/>
    <xf numFmtId="272" fontId="0" fillId="0" borderId="0" xfId="0" applyNumberFormat="1" applyFont="1" applyFill="1" applyBorder="1" applyAlignment="1" applyProtection="1">
      <alignment vertical="bottom"/>
    </xf>
    <xf numFmtId="0" fontId="0" fillId="0" borderId="1" xfId="0" applyNumberFormat="1" applyFont="1" applyFill="1" applyBorder="1" applyAlignment="1" applyProtection="1">
      <alignment vertical="bottom"/>
    </xf>
    <xf numFmtId="273" fontId="0" fillId="0" borderId="0" xfId="0" applyNumberFormat="1" applyFont="1" applyFill="1" applyBorder="1" applyAlignment="1" applyProtection="1">
      <alignment vertical="bottom"/>
    </xf>
    <xf numFmtId="0" fontId="0" fillId="0" borderId="0" xfId="0" applyNumberFormat="1" applyFont="1" applyFill="1" applyBorder="1" applyAlignment="1" applyProtection="1">
      <alignment vertical="bottom"/>
    </xf>
    <xf numFmtId="49" fontId="24" fillId="0" borderId="0" xfId="0" applyNumberFormat="1" applyFont="1" applyFill="1" applyBorder="1" applyAlignment="1" applyProtection="1">
      <alignment vertical="center" wrapText="1"/>
    </xf>
    <xf numFmtId="276" fontId="12" fillId="0" borderId="0" xfId="0" applyNumberFormat="1" applyFont="1" applyFill="1" applyBorder="1" applyAlignment="1" applyProtection="1">
      <alignment vertical="center" wrapText="1"/>
    </xf>
    <xf numFmtId="49" fontId="24" fillId="0" borderId="1" xfId="0" applyNumberFormat="1" applyFont="1" applyFill="1" applyBorder="1" applyAlignment="1" applyProtection="1">
      <alignment horizontal="center" vertical="center" wrapText="1"/>
    </xf>
    <xf numFmtId="0" fontId="0" fillId="0" borderId="0" xfId="0"/>
    <xf numFmtId="0" fontId="0" fillId="0" borderId="0" xfId="0"/>
    <xf numFmtId="0" fontId="24" fillId="5" borderId="1" xfId="0" applyNumberFormat="1" applyFont="1" applyFill="1" applyBorder="1" applyAlignment="1" applyProtection="1">
      <alignment horizontal="center" vertical="center" wrapText="1"/>
    </xf>
    <xf numFmtId="0" fontId="24" fillId="0" borderId="0" xfId="0" applyNumberFormat="1" applyFont="1" applyFill="1" applyBorder="1" applyAlignment="1" applyProtection="1">
      <alignment vertical="center" wrapText="1"/>
    </xf>
    <xf numFmtId="280" fontId="22" fillId="0" borderId="0" xfId="0" applyNumberFormat="1" applyFont="1" applyFill="1" applyBorder="1" applyAlignment="1" applyProtection="1">
      <alignment vertical="bottom"/>
    </xf>
    <xf numFmtId="281" fontId="22" fillId="0" borderId="0" xfId="0" applyNumberFormat="1" applyFont="1" applyFill="1" applyBorder="1" applyAlignment="1" applyProtection="1">
      <alignment vertical="bottom"/>
    </xf>
    <xf numFmtId="0" fontId="0" fillId="0" borderId="0" xfId="0"/>
    <xf numFmtId="0" fontId="0" fillId="0" borderId="0" xfId="0" applyNumberFormat="1" applyFont="1" applyFill="1" applyBorder="1" applyAlignment="1" applyProtection="1">
      <alignment horizontal="center" vertical="center" wrapText="1"/>
    </xf>
    <xf numFmtId="265" fontId="24" fillId="3" borderId="2" xfId="0" applyNumberFormat="1" applyFont="1" applyFill="1" applyBorder="1" applyAlignment="1" applyProtection="1">
      <alignment horizontal="center" vertical="center" wrapText="1"/>
    </xf>
    <xf numFmtId="0" fontId="24" fillId="0" borderId="12" xfId="0" applyNumberFormat="1" applyFont="1" applyFill="1" applyBorder="1" applyAlignment="1" applyProtection="1">
      <alignment horizontal="center" vertical="center"/>
    </xf>
    <xf numFmtId="0" fontId="24" fillId="0" borderId="12" xfId="0" applyNumberFormat="1" applyFont="1" applyFill="1" applyBorder="1" applyAlignment="1" applyProtection="1">
      <alignment horizontal="center" vertical="center" wrapText="1"/>
    </xf>
    <xf numFmtId="255" fontId="12" fillId="0" borderId="1" xfId="0" applyNumberFormat="1" applyFont="1" applyFill="1" applyBorder="1" applyAlignment="1" applyProtection="1">
      <alignment horizontal="center" vertical="center" wrapText="1"/>
    </xf>
    <xf numFmtId="0" fontId="22" fillId="0" borderId="0" xfId="0" applyNumberFormat="1" applyFont="1" applyFill="1" applyBorder="1" applyAlignment="1" applyProtection="1">
      <alignment vertical="bottom"/>
    </xf>
    <xf numFmtId="288" fontId="0" fillId="0" borderId="0" xfId="0" applyNumberFormat="1" applyFont="1" applyFill="1" applyBorder="1" applyAlignment="1" applyProtection="1">
      <alignment vertical="center"/>
    </xf>
    <xf numFmtId="0" fontId="22" fillId="0" borderId="1" xfId="0" applyNumberFormat="1" applyFont="1" applyFill="1" applyBorder="1" applyAlignment="1" applyProtection="1">
      <alignment horizontal="center" vertical="center"/>
    </xf>
    <xf numFmtId="0" fontId="24" fillId="0" borderId="41" xfId="0" applyNumberFormat="1" applyFont="1" applyFill="1" applyBorder="1" applyAlignment="1" applyProtection="1">
      <alignment horizontal="center" vertical="center" wrapText="1"/>
    </xf>
    <xf numFmtId="293" fontId="0" fillId="0" borderId="1" xfId="0" applyNumberFormat="1" applyFont="1" applyFill="1" applyBorder="1" applyAlignment="1" applyProtection="1">
      <alignment horizontal="center" vertical="center"/>
    </xf>
    <xf numFmtId="286" fontId="24" fillId="0" borderId="9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ont="1" applyFill="1" applyBorder="1" applyAlignment="1" applyProtection="1">
      <alignment vertical="center"/>
    </xf>
    <xf numFmtId="229" fontId="24" fillId="3" borderId="1" xfId="0" applyNumberFormat="1" applyFont="1" applyFill="1" applyBorder="1" applyAlignment="1" applyProtection="1">
      <alignment horizontal="center" vertical="center" wrapText="1"/>
    </xf>
    <xf numFmtId="0" fontId="15" fillId="0" borderId="1" xfId="0" applyNumberFormat="1" applyFont="1" applyFill="1" applyBorder="1" applyAlignment="1" applyProtection="1">
      <alignment horizontal="center" vertical="center" wrapText="1"/>
    </xf>
    <xf numFmtId="232" fontId="22" fillId="0" borderId="1" xfId="0" applyNumberFormat="1" applyFont="1" applyFill="1" applyBorder="1" applyAlignment="1" applyProtection="1">
      <alignment vertical="center"/>
    </xf>
    <xf numFmtId="0" fontId="24" fillId="0" borderId="45" xfId="0" applyNumberFormat="1" applyFont="1" applyFill="1" applyBorder="1" applyAlignment="1" applyProtection="1">
      <alignment horizontal="center" vertical="center" wrapText="1"/>
    </xf>
    <xf numFmtId="0" fontId="0" fillId="0" borderId="0" xfId="0"/>
    <xf numFmtId="49" fontId="12" fillId="0" borderId="1" xfId="0" applyNumberFormat="1" applyFont="1" applyFill="1" applyBorder="1" applyAlignment="1" applyProtection="1">
      <alignment horizontal="center" vertical="center" wrapText="1"/>
    </xf>
    <xf numFmtId="0" fontId="12" fillId="0" borderId="22" xfId="0" applyNumberFormat="1" applyFont="1" applyFill="1" applyBorder="1" applyAlignment="1" applyProtection="1">
      <alignment horizontal="center" vertical="center" wrapText="1"/>
    </xf>
    <xf numFmtId="266" fontId="24" fillId="3" borderId="1" xfId="0" applyNumberFormat="1" applyFont="1" applyFill="1" applyBorder="1" applyAlignment="1" applyProtection="1">
      <alignment horizontal="center" vertical="center" wrapText="1"/>
    </xf>
    <xf numFmtId="0" fontId="0" fillId="0" borderId="22" xfId="0" applyNumberFormat="1" applyFont="1" applyFill="1" applyBorder="1" applyAlignment="1" applyProtection="1">
      <alignment horizontal="center" vertical="center" wrapText="1"/>
    </xf>
    <xf numFmtId="0" fontId="24" fillId="0" borderId="21" xfId="0" applyNumberFormat="1" applyFont="1" applyFill="1" applyBorder="1" applyAlignment="1" applyProtection="1">
      <alignment horizontal="center" vertical="center" wrapText="1"/>
    </xf>
    <xf numFmtId="0" fontId="14" fillId="0" borderId="1" xfId="0" applyNumberFormat="1" applyFont="1" applyFill="1" applyBorder="1" applyAlignment="1" applyProtection="1">
      <alignment horizontal="center" vertical="center" wrapText="1"/>
    </xf>
    <xf numFmtId="0" fontId="24" fillId="3" borderId="1" xfId="0" applyNumberFormat="1" applyFont="1" applyFill="1" applyBorder="1" applyAlignment="1" applyProtection="1">
      <alignment horizontal="center" vertical="center" wrapText="1"/>
    </xf>
    <xf numFmtId="0" fontId="17" fillId="6" borderId="1" xfId="0" applyNumberFormat="1" applyFont="1" applyFill="1" applyBorder="1" applyAlignment="1" applyProtection="1">
      <alignment horizontal="left" vertical="center" wrapText="1"/>
    </xf>
    <xf numFmtId="0" fontId="0" fillId="0" borderId="1" xfId="0" applyNumberFormat="1" applyFont="1" applyFill="1" applyBorder="1" applyAlignment="1" applyProtection="1">
      <alignment vertical="bottom"/>
    </xf>
    <xf numFmtId="0" fontId="24" fillId="0" borderId="38" xfId="0" applyNumberFormat="1" applyFont="1" applyFill="1" applyBorder="1" applyAlignment="1" applyProtection="1">
      <alignment horizontal="center" vertical="center" wrapText="1"/>
    </xf>
    <xf numFmtId="0" fontId="0" fillId="0" borderId="1" xfId="0" applyNumberFormat="1" applyFont="1" applyFill="1" applyBorder="1" applyAlignment="1" applyProtection="1">
      <alignment vertical="bottom"/>
    </xf>
    <xf numFmtId="0" fontId="0" fillId="0" borderId="0" xfId="0" applyNumberFormat="1" applyFont="1" applyFill="1" applyBorder="1" applyAlignment="1" applyProtection="1">
      <alignment horizontal="left" vertical="center" wrapText="1"/>
    </xf>
    <xf numFmtId="0" fontId="0" fillId="0" borderId="0" xfId="0" applyNumberFormat="1" applyFont="1" applyFill="1" applyBorder="1" applyAlignment="1" applyProtection="1">
      <alignment vertical="bottom" wrapText="1"/>
    </xf>
    <xf numFmtId="0" fontId="0" fillId="0" borderId="0" xfId="0" applyNumberFormat="1" applyFont="1" applyFill="1" applyBorder="1" applyAlignment="1" applyProtection="1">
      <alignment horizontal="center" vertical="bottom" wrapText="1"/>
    </xf>
    <xf numFmtId="0" fontId="0" fillId="0" borderId="0" xfId="0" applyNumberFormat="1" applyFont="1" applyFill="1" applyBorder="1" applyAlignment="1" applyProtection="1">
      <alignment horizontal="center" vertical="center" wrapText="1"/>
    </xf>
    <xf numFmtId="49" fontId="0" fillId="0" borderId="0" xfId="0" applyNumberFormat="1" applyFont="1" applyFill="1" applyBorder="1" applyAlignment="1" applyProtection="1">
      <alignment vertical="bottom" wrapText="1"/>
    </xf>
    <xf numFmtId="0" fontId="0" fillId="6" borderId="1" xfId="0" applyNumberFormat="1" applyFont="1" applyFill="1" applyBorder="1" applyAlignment="1" applyProtection="1">
      <alignment vertical="bottom"/>
    </xf>
    <xf numFmtId="0" fontId="24" fillId="0" borderId="38" xfId="0" applyNumberFormat="1" applyFont="1" applyFill="1" applyBorder="1" applyAlignment="1" applyProtection="1">
      <alignment horizontal="center" vertical="center" wrapText="1"/>
    </xf>
    <xf numFmtId="0" fontId="19" fillId="0" borderId="0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ont="1" applyFill="1" applyBorder="1" applyAlignment="1" applyProtection="1">
      <alignment vertical="bottom" wrapText="1"/>
    </xf>
    <xf numFmtId="320" fontId="0" fillId="0" borderId="1" xfId="0" applyNumberFormat="1" applyFont="1" applyFill="1" applyBorder="1" applyAlignment="1" applyProtection="1">
      <alignment horizontal="center" vertical="center" wrapText="1"/>
    </xf>
    <xf numFmtId="0" fontId="0" fillId="0" borderId="1" xfId="0" applyNumberFormat="1" applyFont="1" applyFill="1" applyBorder="1" applyAlignment="1" applyProtection="1">
      <alignment horizontal="center" vertical="center" wrapText="1"/>
    </xf>
    <xf numFmtId="0" fontId="24" fillId="0" borderId="21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ont="1" applyFill="1" applyBorder="1" applyAlignment="1" applyProtection="1">
      <alignment vertical="bottom" wrapText="1"/>
    </xf>
    <xf numFmtId="49" fontId="16" fillId="0" borderId="1" xfId="0" applyNumberFormat="1" applyFont="1" applyFill="1" applyBorder="1" applyAlignment="1" applyProtection="1">
      <alignment horizontal="center" vertical="center" wrapText="1"/>
    </xf>
    <xf numFmtId="0" fontId="0" fillId="6" borderId="1" xfId="0" applyNumberFormat="1" applyFont="1" applyFill="1" applyBorder="1" applyAlignment="1" applyProtection="1">
      <alignment vertical="bottom"/>
    </xf>
    <xf numFmtId="0" fontId="24" fillId="0" borderId="1" xfId="0" applyNumberFormat="1" applyFont="1" applyFill="1" applyBorder="1" applyAlignment="1" applyProtection="1">
      <alignment horizontal="center" vertical="center" wrapText="1"/>
    </xf>
    <xf numFmtId="0" fontId="13" fillId="0" borderId="0" xfId="0" applyNumberFormat="1" applyFont="1" applyFill="1" applyBorder="1" applyAlignment="1" applyProtection="1">
      <alignment vertical="bottom" wrapText="1"/>
    </xf>
    <xf numFmtId="0" fontId="0" fillId="0" borderId="7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ont="1" applyFill="1" applyBorder="1" applyAlignment="1" applyProtection="1">
      <alignment horizontal="center" vertical="center" wrapText="1"/>
    </xf>
    <xf numFmtId="0" fontId="10" fillId="0" borderId="0" xfId="0" applyNumberFormat="1" applyFont="1" applyFill="1" applyBorder="1" applyAlignment="1" applyProtection="1">
      <alignment vertical="center"/>
    </xf>
    <xf numFmtId="292" fontId="22" fillId="0" borderId="0" xfId="0" applyNumberFormat="1" applyFont="1" applyFill="1" applyBorder="1" applyAlignment="1" applyProtection="1">
      <alignment vertical="center"/>
    </xf>
    <xf numFmtId="0" fontId="16" fillId="0" borderId="1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ont="1" applyFill="1" applyBorder="1" applyAlignment="1" applyProtection="1">
      <alignment horizontal="center" vertical="center" wrapText="1"/>
    </xf>
    <xf numFmtId="0" fontId="22" fillId="0" borderId="0" xfId="0" applyNumberFormat="1" applyFont="1" applyFill="1" applyBorder="1" applyAlignment="1" applyProtection="1">
      <alignment vertical="bottom"/>
    </xf>
    <xf numFmtId="0" fontId="12" fillId="0" borderId="1" xfId="0" applyNumberFormat="1" applyFont="1" applyFill="1" applyBorder="1" applyAlignment="1" applyProtection="1">
      <alignment horizontal="center" vertical="center" wrapText="1"/>
    </xf>
    <xf numFmtId="0" fontId="12" fillId="6" borderId="1" xfId="0" applyNumberFormat="1" applyFont="1" applyFill="1" applyBorder="1" applyAlignment="1" applyProtection="1">
      <alignment horizontal="center" vertical="center" wrapText="1"/>
    </xf>
    <xf numFmtId="0" fontId="12" fillId="0" borderId="1" xfId="0" applyNumberFormat="1" applyFont="1" applyFill="1" applyBorder="1" applyAlignment="1" applyProtection="1">
      <alignment horizontal="center" vertical="center" wrapText="1"/>
    </xf>
    <xf numFmtId="0" fontId="0" fillId="0" borderId="0" xfId="0"/>
    <xf numFmtId="0" fontId="11" fillId="0" borderId="11" xfId="0" applyNumberFormat="1" applyFont="1" applyFill="1" applyBorder="1" applyAlignment="1" applyProtection="1">
      <alignment horizontal="left" vertical="top"/>
    </xf>
    <xf numFmtId="49" fontId="0" fillId="0" borderId="1" xfId="0" applyNumberFormat="1" applyFont="1" applyFill="1" applyBorder="1" applyAlignment="1" applyProtection="1">
      <alignment vertical="bottom" wrapText="1"/>
    </xf>
    <xf numFmtId="49" fontId="0" fillId="0" borderId="1" xfId="0" applyNumberFormat="1" applyFont="1" applyFill="1" applyBorder="1" applyAlignment="1" applyProtection="1">
      <alignment vertical="bottom" wrapText="1"/>
    </xf>
    <xf numFmtId="49" fontId="0" fillId="0" borderId="0" xfId="0" applyNumberFormat="1" applyFont="1" applyFill="1" applyBorder="1" applyAlignment="1" applyProtection="1">
      <alignment vertical="bottom" wrapText="1"/>
    </xf>
    <xf numFmtId="49" fontId="0" fillId="0" borderId="0" xfId="0" applyNumberFormat="1" applyFont="1" applyFill="1" applyBorder="1" applyAlignment="1" applyProtection="1">
      <alignment vertical="bottom" wrapText="1"/>
    </xf>
    <xf numFmtId="0" fontId="0" fillId="7" borderId="1" xfId="0" applyNumberFormat="1" applyFont="1" applyFill="1" applyBorder="1" applyAlignment="1" applyProtection="1">
      <alignment vertical="bottom"/>
    </xf>
    <xf numFmtId="0" fontId="0" fillId="0" borderId="1" xfId="0" applyNumberFormat="1" applyFont="1" applyFill="1" applyBorder="1" applyAlignment="1" applyProtection="1">
      <alignment vertical="bottom"/>
    </xf>
    <xf numFmtId="0" fontId="0" fillId="0" borderId="0" xfId="0" applyNumberFormat="1" applyFont="1" applyFill="1" applyBorder="1" applyAlignment="1" applyProtection="1">
      <alignment horizontal="center" vertical="center"/>
    </xf>
    <xf numFmtId="0" fontId="0" fillId="0" borderId="0" xfId="0"/>
    <xf numFmtId="0" fontId="22" fillId="0" borderId="1" xfId="0" applyNumberFormat="1" applyFont="1" applyFill="1" applyBorder="1" applyAlignment="1" applyProtection="1">
      <alignment horizontal="center" vertical="bottom"/>
    </xf>
    <xf numFmtId="0" fontId="0" fillId="0" borderId="0" xfId="0" applyNumberFormat="1" applyFont="1" applyFill="1" applyBorder="1" applyAlignment="1" applyProtection="1">
      <alignment vertical="bottom" wrapText="1"/>
    </xf>
    <xf numFmtId="0" fontId="0" fillId="0" borderId="0" xfId="0" applyNumberFormat="1" applyFont="1" applyFill="1" applyBorder="1" applyAlignment="1" applyProtection="1">
      <alignment vertical="bottom"/>
    </xf>
    <xf numFmtId="350" fontId="0" fillId="0" borderId="0" xfId="0" applyNumberFormat="1" applyFont="1" applyFill="1" applyBorder="1" applyAlignment="1" applyProtection="1">
      <alignment vertical="bottom"/>
    </xf>
    <xf numFmtId="0" fontId="0" fillId="0" borderId="0" xfId="0" applyNumberFormat="1" applyFont="1" applyFill="1" applyBorder="1" applyAlignment="1" applyProtection="1">
      <alignment horizontal="center" vertical="bottom"/>
    </xf>
    <xf numFmtId="0" fontId="24" fillId="0" borderId="22" xfId="0" applyNumberFormat="1" applyFont="1" applyFill="1" applyBorder="1" applyAlignment="1" applyProtection="1">
      <alignment horizontal="center" vertical="center" wrapText="1"/>
    </xf>
    <xf numFmtId="0" fontId="0" fillId="6" borderId="0" xfId="0" applyNumberFormat="1" applyFont="1" applyFill="1" applyBorder="1" applyAlignment="1" applyProtection="1">
      <alignment horizontal="left" vertical="center"/>
    </xf>
    <xf numFmtId="0" fontId="0" fillId="0" borderId="1" xfId="0" applyNumberFormat="1" applyFont="1" applyFill="1" applyBorder="1" applyAlignment="1" applyProtection="1">
      <alignment horizontal="center" vertical="bottom"/>
    </xf>
    <xf numFmtId="49" fontId="0" fillId="9" borderId="1" xfId="0" applyNumberFormat="1" applyFont="1" applyFill="1" applyBorder="1" applyAlignment="1" applyProtection="1">
      <alignment horizontal="center" vertical="bottom"/>
    </xf>
    <xf numFmtId="357" fontId="0" fillId="9" borderId="1" xfId="0" applyNumberFormat="1" applyFont="1" applyFill="1" applyBorder="1" applyAlignment="1" applyProtection="1">
      <alignment horizontal="center" vertical="bottom"/>
    </xf>
    <xf numFmtId="0" fontId="0" fillId="9" borderId="1" xfId="0" applyNumberFormat="1" applyFont="1" applyFill="1" applyBorder="1" applyAlignment="1" applyProtection="1">
      <alignment horizontal="center" vertical="bottom"/>
    </xf>
    <xf numFmtId="0" fontId="0" fillId="0" borderId="0" xfId="0" applyNumberFormat="1" applyFont="1" applyFill="1" applyBorder="1" applyAlignment="1" applyProtection="1">
      <alignment horizontal="left" vertical="bottom"/>
    </xf>
    <xf numFmtId="0" fontId="64" fillId="9" borderId="1" xfId="0" applyNumberFormat="1" applyFont="1" applyFill="1" applyBorder="1" applyAlignment="1" applyProtection="1">
      <alignment horizontal="center" vertical="center" wrapText="1"/>
    </xf>
    <xf numFmtId="0" fontId="0" fillId="0" borderId="0" xfId="0"/>
    <xf numFmtId="0" fontId="21" fillId="9" borderId="1" xfId="0" applyNumberFormat="1" applyFont="1" applyFill="1" applyBorder="1" applyAlignment="1" applyProtection="1">
      <alignment horizontal="center" vertical="center" wrapText="1"/>
    </xf>
    <xf numFmtId="0" fontId="0" fillId="9" borderId="1" xfId="0" applyNumberFormat="1" applyFont="1" applyFill="1" applyBorder="1" applyAlignment="1" applyProtection="1">
      <alignment horizontal="center" vertical="center"/>
    </xf>
    <xf numFmtId="0" fontId="0" fillId="0" borderId="1" xfId="0" applyNumberFormat="1" applyFont="1" applyFill="1" applyBorder="1" applyAlignment="1" applyProtection="1">
      <alignment horizontal="center" vertical="center" wrapText="1"/>
    </xf>
    <xf numFmtId="0" fontId="17" fillId="9" borderId="1" xfId="0" applyNumberFormat="1" applyFont="1" applyFill="1" applyBorder="1" applyAlignment="1" applyProtection="1">
      <alignment horizontal="center" vertical="center" wrapText="1"/>
    </xf>
    <xf numFmtId="366" fontId="0" fillId="9" borderId="1" xfId="0" applyNumberFormat="1" applyFont="1" applyFill="1" applyBorder="1" applyAlignment="1" applyProtection="1">
      <alignment horizontal="center" vertical="bottom"/>
    </xf>
    <xf numFmtId="367" fontId="0" fillId="9" borderId="1" xfId="0" applyNumberFormat="1" applyFont="1" applyFill="1" applyBorder="1" applyAlignment="1" applyProtection="1">
      <alignment horizontal="center" vertical="bottom"/>
    </xf>
    <xf numFmtId="368" fontId="19" fillId="9" borderId="1" xfId="0" applyNumberFormat="1" applyFont="1" applyFill="1" applyBorder="1" applyAlignment="1" applyProtection="1">
      <alignment horizontal="center" vertical="center" wrapText="1"/>
    </xf>
    <xf numFmtId="370" fontId="19" fillId="9" borderId="1" xfId="0" applyNumberFormat="1" applyFont="1" applyFill="1" applyBorder="1" applyAlignment="1" applyProtection="1">
      <alignment horizontal="center" vertical="center" wrapText="1"/>
    </xf>
    <xf numFmtId="371" fontId="19" fillId="9" borderId="1" xfId="0" applyNumberFormat="1" applyFont="1" applyFill="1" applyBorder="1" applyAlignment="1" applyProtection="1">
      <alignment horizontal="center" vertical="center" wrapText="1"/>
    </xf>
    <xf numFmtId="374" fontId="0" fillId="9" borderId="1" xfId="0" applyNumberFormat="1" applyFont="1" applyFill="1" applyBorder="1" applyAlignment="1" applyProtection="1">
      <alignment horizontal="center" vertical="center"/>
    </xf>
    <xf numFmtId="372" fontId="19" fillId="9" borderId="1" xfId="0" applyNumberFormat="1" applyFont="1" applyFill="1" applyBorder="1" applyAlignment="1" applyProtection="1">
      <alignment horizontal="center" vertical="center" wrapText="1"/>
    </xf>
    <xf numFmtId="347" fontId="0" fillId="0" borderId="1" xfId="0" applyNumberFormat="1" applyFont="1" applyFill="1" applyBorder="1" applyAlignment="1" applyProtection="1">
      <alignment horizontal="center" vertical="center"/>
    </xf>
    <xf numFmtId="365" fontId="21" fillId="9" borderId="1" xfId="0" applyNumberFormat="1" applyFont="1" applyFill="1" applyBorder="1" applyAlignment="1" applyProtection="1">
      <alignment horizontal="center" vertical="center" wrapText="1"/>
    </xf>
    <xf numFmtId="0" fontId="22" fillId="9" borderId="52" xfId="0" applyNumberFormat="1" applyFont="1" applyFill="1" applyBorder="1" applyAlignment="1" applyProtection="1">
      <alignment horizontal="center" vertical="center"/>
    </xf>
    <xf numFmtId="350" fontId="0" fillId="0" borderId="0" xfId="0" applyNumberFormat="1" applyFont="1" applyFill="1" applyBorder="1" applyAlignment="1" applyProtection="1">
      <alignment vertical="bottom"/>
    </xf>
    <xf numFmtId="378" fontId="0" fillId="0" borderId="0" xfId="0" applyNumberFormat="1" applyFont="1" applyFill="1" applyBorder="1" applyAlignment="1" applyProtection="1">
      <alignment horizontal="left" vertical="bottom"/>
    </xf>
    <xf numFmtId="49" fontId="0" fillId="0" borderId="7" xfId="0" applyNumberFormat="1" applyFont="1" applyFill="1" applyBorder="1" applyAlignment="1" applyProtection="1">
      <alignment vertical="bottom" wrapText="1"/>
    </xf>
    <xf numFmtId="49" fontId="64" fillId="0" borderId="1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ont="1" applyFill="1" applyBorder="1" applyAlignment="1" applyProtection="1">
      <alignment horizontal="center" vertical="bottom"/>
    </xf>
    <xf numFmtId="0" fontId="0" fillId="0" borderId="0" xfId="0" applyNumberFormat="1" applyFont="1" applyFill="1" applyBorder="1" applyAlignment="1" applyProtection="1">
      <alignment horizontal="left" vertical="bottom"/>
    </xf>
    <xf numFmtId="49" fontId="64" fillId="9" borderId="1" xfId="0" applyNumberFormat="1" applyFont="1" applyFill="1" applyBorder="1" applyAlignment="1" applyProtection="1">
      <alignment horizontal="center" vertical="center" wrapText="1"/>
    </xf>
    <xf numFmtId="0" fontId="0" fillId="6" borderId="0" xfId="0" applyNumberFormat="1" applyFont="1" applyFill="1" applyBorder="1" applyAlignment="1" applyProtection="1">
      <alignment horizontal="left" vertical="bottom"/>
    </xf>
    <xf numFmtId="0" fontId="22" fillId="9" borderId="50" xfId="0" applyNumberFormat="1" applyFont="1" applyFill="1" applyBorder="1" applyAlignment="1" applyProtection="1">
      <alignment horizontal="center" vertical="center"/>
    </xf>
    <xf numFmtId="0" fontId="0" fillId="0" borderId="1" xfId="0" applyNumberFormat="1" applyFont="1" applyFill="1" applyBorder="1" applyAlignment="1" applyProtection="1">
      <alignment horizontal="center" vertical="bottom"/>
    </xf>
    <xf numFmtId="369" fontId="21" fillId="9" borderId="1" xfId="0" applyNumberFormat="1" applyFont="1" applyFill="1" applyBorder="1" applyAlignment="1" applyProtection="1">
      <alignment horizontal="center" vertical="center" wrapText="1"/>
    </xf>
    <xf numFmtId="0" fontId="0" fillId="0" borderId="1" xfId="0" applyNumberFormat="1" applyFont="1" applyFill="1" applyBorder="1" applyAlignment="1" applyProtection="1">
      <alignment horizontal="center" vertical="bottom"/>
    </xf>
    <xf numFmtId="388" fontId="0" fillId="0" borderId="1" xfId="0" applyNumberFormat="1" applyFont="1" applyFill="1" applyBorder="1" applyAlignment="1" applyProtection="1">
      <alignment horizontal="left" vertical="bottom"/>
    </xf>
    <xf numFmtId="0" fontId="0" fillId="9" borderId="1" xfId="0" applyNumberFormat="1" applyFont="1" applyFill="1" applyBorder="1" applyAlignment="1" applyProtection="1">
      <alignment horizontal="center" vertical="bottom"/>
    </xf>
    <xf numFmtId="0" fontId="22" fillId="0" borderId="1" xfId="0" applyNumberFormat="1" applyFont="1" applyFill="1" applyBorder="1" applyAlignment="1" applyProtection="1">
      <alignment vertical="bottom"/>
    </xf>
    <xf numFmtId="49" fontId="0" fillId="0" borderId="0" xfId="0" applyNumberFormat="1" applyFont="1" applyFill="1" applyBorder="1" applyAlignment="1" applyProtection="1">
      <alignment horizontal="center" vertical="center"/>
    </xf>
    <xf numFmtId="0" fontId="0" fillId="0" borderId="0" xfId="0" applyNumberFormat="1" applyFont="1" applyFill="1" applyBorder="1" applyAlignment="1" applyProtection="1">
      <alignment vertical="bottom"/>
    </xf>
    <xf numFmtId="0" fontId="0" fillId="0" borderId="1" xfId="0" applyNumberFormat="1" applyFont="1" applyFill="1" applyBorder="1" applyAlignment="1" applyProtection="1">
      <alignment horizontal="center" vertical="center"/>
    </xf>
    <xf numFmtId="0" fontId="18" fillId="0" borderId="1" xfId="0" applyNumberFormat="1" applyFont="1" applyFill="1" applyBorder="1" applyAlignment="1" applyProtection="1">
      <alignment horizontal="center" vertical="center" wrapText="1"/>
    </xf>
    <xf numFmtId="49" fontId="0" fillId="0" borderId="1" xfId="0" applyNumberFormat="1" applyFont="1" applyFill="1" applyBorder="1" applyAlignment="1" applyProtection="1">
      <alignment horizontal="center" vertical="center"/>
    </xf>
    <xf numFmtId="0" fontId="64" fillId="0" borderId="1" xfId="0" applyNumberFormat="1" applyFont="1" applyFill="1" applyBorder="1" applyAlignment="1" applyProtection="1">
      <alignment horizontal="center" vertical="center" wrapText="1"/>
    </xf>
    <xf numFmtId="0" fontId="22" fillId="5" borderId="1" xfId="0" applyNumberFormat="1" applyFont="1" applyFill="1" applyBorder="1" applyAlignment="1" applyProtection="1">
      <alignment horizontal="left" vertical="bottom"/>
    </xf>
    <xf numFmtId="0" fontId="0" fillId="6" borderId="0" xfId="0" applyNumberFormat="1" applyFont="1" applyFill="1" applyBorder="1" applyAlignment="1" applyProtection="1">
      <alignment vertical="bottom"/>
    </xf>
    <xf numFmtId="0" fontId="65" fillId="0" borderId="4" xfId="0" applyNumberFormat="1" applyFont="1" applyFill="1" applyBorder="1" applyAlignment="1" applyProtection="1">
      <alignment horizontal="center" vertical="center" wrapText="1"/>
    </xf>
    <xf numFmtId="0" fontId="67" fillId="0" borderId="43" xfId="0" applyNumberFormat="1" applyFont="1" applyFill="1" applyBorder="1" applyAlignment="1" applyProtection="1">
      <alignment horizontal="center" vertical="center" wrapText="1"/>
    </xf>
    <xf numFmtId="49" fontId="18" fillId="0" borderId="1" xfId="0" applyNumberFormat="1" applyFont="1" applyFill="1" applyBorder="1" applyAlignment="1" applyProtection="1">
      <alignment horizontal="center" vertical="center" wrapText="1"/>
    </xf>
    <xf numFmtId="0" fontId="65" fillId="0" borderId="20" xfId="0" applyNumberFormat="1" applyFont="1" applyFill="1" applyBorder="1" applyAlignment="1" applyProtection="1">
      <alignment horizontal="center" vertical="center" wrapText="1"/>
    </xf>
    <xf numFmtId="432" fontId="0" fillId="0" borderId="52" xfId="0" applyNumberFormat="1" applyFont="1" applyFill="1" applyBorder="1" applyAlignment="1" applyProtection="1">
      <alignment horizontal="center" vertical="center" wrapText="1"/>
    </xf>
    <xf numFmtId="0" fontId="20" fillId="0" borderId="50" xfId="0" applyNumberFormat="1" applyFont="1" applyFill="1" applyBorder="1" applyAlignment="1" applyProtection="1">
      <alignment horizontal="center" vertical="center"/>
    </xf>
    <xf numFmtId="0" fontId="24" fillId="0" borderId="41" xfId="0" applyNumberFormat="1" applyFont="1" applyFill="1" applyBorder="1" applyAlignment="1" applyProtection="1">
      <alignment horizontal="center" vertical="center"/>
    </xf>
    <xf numFmtId="0" fontId="12" fillId="0" borderId="21" xfId="0" applyNumberFormat="1" applyFont="1" applyFill="1" applyBorder="1" applyAlignment="1" applyProtection="1">
      <alignment horizontal="center" vertical="center" wrapText="1"/>
    </xf>
    <xf numFmtId="0" fontId="0" fillId="0" borderId="12" xfId="0" applyNumberFormat="1" applyFont="1" applyFill="1" applyBorder="1" applyAlignment="1" applyProtection="1">
      <alignment horizontal="center" vertical="center" wrapText="1"/>
    </xf>
    <xf numFmtId="0" fontId="0" fillId="0" borderId="40" xfId="0" applyNumberFormat="1" applyFont="1" applyFill="1" applyBorder="1" applyAlignment="1" applyProtection="1">
      <alignment horizontal="center" vertical="center" wrapText="1"/>
    </xf>
    <xf numFmtId="0" fontId="0" fillId="0" borderId="36" xfId="0" applyNumberFormat="1" applyFont="1" applyFill="1" applyBorder="1" applyAlignment="1" applyProtection="1">
      <alignment horizontal="center" vertical="bottom"/>
    </xf>
    <xf numFmtId="0" fontId="0" fillId="0" borderId="46" xfId="0" applyNumberFormat="1" applyFont="1" applyFill="1" applyBorder="1" applyAlignment="1" applyProtection="1">
      <alignment horizontal="center" vertical="bottom"/>
    </xf>
    <xf numFmtId="0" fontId="0" fillId="0" borderId="10" xfId="0" applyNumberFormat="1" applyFont="1" applyFill="1" applyBorder="1" applyAlignment="1" applyProtection="1">
      <alignment horizontal="left" vertical="center" wrapText="1"/>
    </xf>
    <xf numFmtId="0" fontId="12" fillId="0" borderId="38" xfId="0" applyNumberFormat="1" applyFont="1" applyFill="1" applyBorder="1" applyAlignment="1" applyProtection="1">
      <alignment horizontal="center" vertical="center" wrapText="1"/>
    </xf>
    <xf numFmtId="238" fontId="24" fillId="3" borderId="50" xfId="0" applyNumberFormat="1" applyFont="1" applyFill="1" applyBorder="1" applyAlignment="1" applyProtection="1">
      <alignment horizontal="center" vertical="center" wrapText="1"/>
    </xf>
    <xf numFmtId="432" fontId="0" fillId="0" borderId="43" xfId="0" applyNumberFormat="1" applyFont="1" applyFill="1" applyBorder="1" applyAlignment="1" applyProtection="1">
      <alignment horizontal="center" vertical="center" wrapText="1"/>
    </xf>
    <xf numFmtId="432" fontId="0" fillId="0" borderId="47" xfId="0" applyNumberFormat="1" applyFont="1" applyFill="1" applyBorder="1" applyAlignment="1" applyProtection="1">
      <alignment horizontal="center" vertical="center" wrapText="1"/>
    </xf>
    <xf numFmtId="0" fontId="65" fillId="0" borderId="1" xfId="0" applyNumberFormat="1" applyFont="1" applyFill="1" applyBorder="1" applyAlignment="1" applyProtection="1">
      <alignment horizontal="center" vertical="center" wrapText="1"/>
    </xf>
    <xf numFmtId="0" fontId="24" fillId="0" borderId="49" xfId="0" applyNumberFormat="1" applyFont="1" applyFill="1" applyBorder="1" applyAlignment="1" applyProtection="1">
      <alignment horizontal="center" vertical="center" wrapText="1"/>
    </xf>
    <xf numFmtId="0" fontId="22" fillId="5" borderId="1" xfId="0" applyNumberFormat="1" applyFont="1" applyFill="1" applyBorder="1" applyAlignment="1" applyProtection="1">
      <alignment horizontal="center" vertical="center"/>
    </xf>
    <xf numFmtId="0" fontId="0" fillId="0" borderId="40" xfId="0" applyNumberFormat="1" applyFont="1" applyFill="1" applyBorder="1" applyAlignment="1" applyProtection="1">
      <alignment horizontal="center" vertical="center" wrapText="1"/>
    </xf>
    <xf numFmtId="0" fontId="65" fillId="0" borderId="36" xfId="0" applyNumberFormat="1" applyFont="1" applyFill="1" applyBorder="1" applyAlignment="1" applyProtection="1">
      <alignment horizontal="center" vertical="center" wrapText="1"/>
    </xf>
    <xf numFmtId="0" fontId="65" fillId="0" borderId="47" xfId="0" applyNumberFormat="1" applyFont="1" applyFill="1" applyBorder="1" applyAlignment="1" applyProtection="1">
      <alignment horizontal="center" vertical="center" wrapText="1"/>
    </xf>
    <xf numFmtId="0" fontId="22" fillId="5" borderId="1" xfId="0" applyNumberFormat="1" applyFont="1" applyFill="1" applyBorder="1" applyAlignment="1" applyProtection="1">
      <alignment horizontal="left" vertical="center"/>
    </xf>
    <xf numFmtId="0" fontId="0" fillId="0" borderId="54" xfId="0" applyNumberFormat="1" applyFont="1" applyFill="1" applyBorder="1" applyAlignment="1" applyProtection="1">
      <alignment horizontal="center" vertical="bottom"/>
    </xf>
    <xf numFmtId="0" fontId="0" fillId="0" borderId="55" xfId="0" applyNumberFormat="1" applyFont="1" applyFill="1" applyBorder="1" applyAlignment="1" applyProtection="1">
      <alignment horizontal="center" vertical="bottom"/>
    </xf>
    <xf numFmtId="0" fontId="0" fillId="0" borderId="0" xfId="0" applyNumberFormat="1" applyFont="1" applyFill="1" applyBorder="1" applyAlignment="1" applyProtection="1">
      <alignment horizontal="left" vertical="bottom"/>
    </xf>
    <xf numFmtId="434" fontId="0" fillId="0" borderId="10" xfId="0" applyNumberFormat="1" applyFont="1" applyFill="1" applyBorder="1" applyAlignment="1" applyProtection="1">
      <alignment horizontal="center" vertical="center" wrapText="1"/>
    </xf>
    <xf numFmtId="0" fontId="0" fillId="0" borderId="18" xfId="0" applyNumberFormat="1" applyFont="1" applyFill="1" applyBorder="1" applyAlignment="1" applyProtection="1">
      <alignment horizontal="center" vertical="center" wrapText="1"/>
    </xf>
    <xf numFmtId="0" fontId="0" fillId="0" borderId="18" xfId="0" applyNumberFormat="1" applyFont="1" applyFill="1" applyBorder="1" applyAlignment="1" applyProtection="1">
      <alignment horizontal="center" vertical="center" wrapText="1"/>
    </xf>
    <xf numFmtId="0" fontId="0" fillId="0" borderId="45" xfId="0" applyNumberFormat="1" applyFont="1" applyFill="1" applyBorder="1" applyAlignment="1" applyProtection="1">
      <alignment horizontal="center" vertical="center" wrapText="1"/>
    </xf>
    <xf numFmtId="0" fontId="0" fillId="0" borderId="16" xfId="0" applyNumberFormat="1" applyFont="1" applyFill="1" applyBorder="1" applyAlignment="1" applyProtection="1">
      <alignment horizontal="center" vertical="center" wrapText="1"/>
    </xf>
    <xf numFmtId="0" fontId="0" fillId="0" borderId="56" xfId="0" applyNumberFormat="1" applyFont="1" applyFill="1" applyBorder="1" applyAlignment="1" applyProtection="1">
      <alignment horizontal="center" vertical="center" wrapText="1"/>
    </xf>
    <xf numFmtId="0" fontId="0" fillId="0" borderId="22" xfId="0" applyNumberFormat="1" applyFont="1" applyFill="1" applyBorder="1" applyAlignment="1" applyProtection="1">
      <alignment horizontal="center" vertical="center" wrapText="1"/>
    </xf>
    <xf numFmtId="0" fontId="0" fillId="0" borderId="0" xfId="0"/>
    <xf numFmtId="0" fontId="24" fillId="0" borderId="13" xfId="0" applyNumberFormat="1" applyFont="1" applyFill="1" applyBorder="1" applyAlignment="1" applyProtection="1">
      <alignment horizontal="center" vertical="center"/>
    </xf>
    <xf numFmtId="0" fontId="0" fillId="0" borderId="1" xfId="0" applyNumberFormat="1" applyFont="1" applyFill="1" applyBorder="1" applyAlignment="1" applyProtection="1">
      <alignment horizontal="center" vertical="center"/>
    </xf>
    <xf numFmtId="467" fontId="65" fillId="0" borderId="46" xfId="0" applyNumberFormat="1" applyFont="1" applyFill="1" applyBorder="1" applyAlignment="1" applyProtection="1">
      <alignment horizontal="center" vertical="center" wrapText="1"/>
    </xf>
    <xf numFmtId="0" fontId="22" fillId="9" borderId="1" xfId="0" applyNumberFormat="1" applyFont="1" applyFill="1" applyBorder="1" applyAlignment="1" applyProtection="1">
      <alignment horizontal="center" vertical="bottom"/>
    </xf>
    <xf numFmtId="0" fontId="22" fillId="9" borderId="1" xfId="0" applyNumberFormat="1" applyFont="1" applyFill="1" applyBorder="1" applyAlignment="1" applyProtection="1">
      <alignment horizontal="center" vertical="bottom"/>
    </xf>
    <xf numFmtId="0" fontId="66" fillId="0" borderId="50" xfId="0" applyNumberFormat="1" applyFont="1" applyFill="1" applyBorder="1" applyAlignment="1" applyProtection="1">
      <alignment horizontal="center" vertical="center" wrapText="1"/>
    </xf>
    <xf numFmtId="0" fontId="68" fillId="0" borderId="43" xfId="0" applyNumberFormat="1" applyFont="1" applyFill="1" applyBorder="1" applyAlignment="1" applyProtection="1">
      <alignment horizontal="left" vertical="center" wrapText="1"/>
    </xf>
    <xf numFmtId="0" fontId="23" fillId="0" borderId="50" xfId="0" applyNumberFormat="1" applyFont="1" applyFill="1" applyBorder="1" applyAlignment="1" applyProtection="1">
      <alignment horizontal="center" vertical="center" wrapText="1"/>
    </xf>
    <xf numFmtId="0" fontId="0" fillId="0" borderId="14" xfId="0" applyNumberFormat="1" applyFont="1" applyFill="1" applyBorder="1" applyAlignment="1" applyProtection="1">
      <alignment horizontal="center" vertical="center" wrapText="1"/>
    </xf>
    <xf numFmtId="0" fontId="69" fillId="0" borderId="1" xfId="0" applyNumberFormat="1" applyFont="1" applyFill="1" applyBorder="1" applyAlignment="1" applyProtection="1">
      <alignment horizontal="center" vertical="center"/>
    </xf>
    <xf numFmtId="434" fontId="0" fillId="0" borderId="4" xfId="0" applyNumberFormat="1" applyFont="1" applyFill="1" applyBorder="1" applyAlignment="1" applyProtection="1">
      <alignment horizontal="center" vertical="center" wrapText="1"/>
    </xf>
    <xf numFmtId="432" fontId="0" fillId="0" borderId="50" xfId="0" applyNumberFormat="1" applyFont="1" applyFill="1" applyBorder="1" applyAlignment="1" applyProtection="1">
      <alignment horizontal="center" vertical="center" wrapText="1"/>
    </xf>
    <xf numFmtId="432" fontId="0" fillId="0" borderId="46" xfId="0" applyNumberFormat="1" applyFont="1" applyFill="1" applyBorder="1" applyAlignment="1" applyProtection="1">
      <alignment horizontal="center" vertical="center" wrapText="1"/>
    </xf>
    <xf numFmtId="424" fontId="0" fillId="0" borderId="51" xfId="0" applyNumberFormat="1" applyFont="1" applyFill="1" applyBorder="1" applyAlignment="1" applyProtection="1">
      <alignment horizontal="center" vertical="center" wrapText="1"/>
    </xf>
    <xf numFmtId="424" fontId="0" fillId="0" borderId="52" xfId="0" applyNumberFormat="1" applyFont="1" applyFill="1" applyBorder="1" applyAlignment="1" applyProtection="1">
      <alignment horizontal="center" vertical="center" wrapText="1"/>
    </xf>
    <xf numFmtId="0" fontId="19" fillId="0" borderId="50" xfId="0" applyNumberFormat="1" applyFont="1" applyFill="1" applyBorder="1" applyAlignment="1" applyProtection="1">
      <alignment horizontal="center" vertical="center" wrapText="1"/>
    </xf>
    <xf numFmtId="0" fontId="65" fillId="0" borderId="10" xfId="0" applyNumberFormat="1" applyFont="1" applyFill="1" applyBorder="1" applyAlignment="1" applyProtection="1">
      <alignment horizontal="center" vertical="center" wrapText="1"/>
    </xf>
    <xf numFmtId="0" fontId="65" fillId="0" borderId="1" xfId="0" applyNumberFormat="1" applyFont="1" applyFill="1" applyBorder="1" applyAlignment="1" applyProtection="1">
      <alignment horizontal="center" vertical="center" wrapText="1"/>
    </xf>
    <xf numFmtId="0" fontId="0" fillId="0" borderId="20" xfId="0" applyNumberFormat="1" applyFont="1" applyFill="1" applyBorder="1" applyAlignment="1" applyProtection="1">
      <alignment horizontal="center" vertical="center" wrapText="1"/>
    </xf>
    <xf numFmtId="0" fontId="0" fillId="0" borderId="57" xfId="0" applyNumberFormat="1" applyFont="1" applyFill="1" applyBorder="1" applyAlignment="1" applyProtection="1">
      <alignment horizontal="center" vertical="center" wrapText="1"/>
    </xf>
    <xf numFmtId="0" fontId="0" fillId="0" borderId="20" xfId="0" applyNumberFormat="1" applyFont="1" applyFill="1" applyBorder="1" applyAlignment="1" applyProtection="1">
      <alignment horizontal="center" vertical="center" wrapText="1"/>
    </xf>
    <xf numFmtId="0" fontId="0" fillId="0" borderId="10" xfId="0" applyNumberFormat="1" applyFont="1" applyFill="1" applyBorder="1" applyAlignment="1" applyProtection="1">
      <alignment horizontal="center" vertical="center" wrapText="1"/>
    </xf>
    <xf numFmtId="0" fontId="64" fillId="0" borderId="43" xfId="0" applyNumberFormat="1" applyFont="1" applyFill="1" applyBorder="1" applyAlignment="1" applyProtection="1">
      <alignment vertical="center" wrapText="1"/>
    </xf>
    <xf numFmtId="0" fontId="64" fillId="0" borderId="48" xfId="0" applyNumberFormat="1" applyFont="1" applyFill="1" applyBorder="1" applyAlignment="1" applyProtection="1">
      <alignment vertical="center" wrapText="1"/>
    </xf>
    <xf numFmtId="0" fontId="0" fillId="0" borderId="4" xfId="0" applyNumberFormat="1" applyFont="1" applyFill="1" applyBorder="1" applyAlignment="1" applyProtection="1">
      <alignment horizontal="center" vertical="bottom"/>
    </xf>
    <xf numFmtId="0" fontId="0" fillId="0" borderId="16" xfId="0" applyNumberFormat="1" applyFont="1" applyFill="1" applyBorder="1" applyAlignment="1" applyProtection="1">
      <alignment horizontal="center" vertical="center" wrapText="1"/>
    </xf>
    <xf numFmtId="0" fontId="65" fillId="0" borderId="37" xfId="0" applyNumberFormat="1" applyFont="1" applyFill="1" applyBorder="1" applyAlignment="1" applyProtection="1">
      <alignment horizontal="center" vertical="center" wrapText="1"/>
    </xf>
    <xf numFmtId="0" fontId="0" fillId="0" borderId="43" xfId="0" applyNumberFormat="1" applyFont="1" applyFill="1" applyBorder="1" applyAlignment="1" applyProtection="1">
      <alignment horizontal="center" vertical="center" wrapText="1"/>
    </xf>
    <xf numFmtId="0" fontId="0" fillId="0" borderId="36" xfId="0" applyNumberFormat="1" applyFont="1" applyFill="1" applyBorder="1" applyAlignment="1" applyProtection="1">
      <alignment horizontal="center" vertical="center" wrapText="1"/>
    </xf>
    <xf numFmtId="0" fontId="0" fillId="0" borderId="46" xfId="0" applyNumberFormat="1" applyFont="1" applyFill="1" applyBorder="1" applyAlignment="1" applyProtection="1">
      <alignment horizontal="center" vertical="center" wrapText="1"/>
    </xf>
    <xf numFmtId="0" fontId="24" fillId="0" borderId="13" xfId="0" applyNumberFormat="1" applyFont="1" applyFill="1" applyBorder="1" applyAlignment="1" applyProtection="1">
      <alignment horizontal="center" vertical="center" wrapText="1"/>
    </xf>
    <xf numFmtId="0" fontId="0" fillId="0" borderId="1" xfId="0" applyNumberFormat="1" applyFont="1" applyFill="1" applyBorder="1" applyAlignment="1" applyProtection="1">
      <alignment horizontal="center" vertical="center" wrapText="1"/>
    </xf>
    <xf numFmtId="0" fontId="24" fillId="0" borderId="13" xfId="0" applyNumberFormat="1" applyFont="1" applyFill="1" applyBorder="1" applyAlignment="1" applyProtection="1">
      <alignment horizontal="center" vertical="center" wrapText="1"/>
    </xf>
    <xf numFmtId="0" fontId="0" fillId="0" borderId="0" xfId="0"/>
    <xf numFmtId="0" fontId="0" fillId="0" borderId="20" xfId="0" applyNumberFormat="1" applyFont="1" applyFill="1" applyBorder="1" applyAlignment="1" applyProtection="1">
      <alignment horizontal="center" vertical="center" wrapText="1"/>
    </xf>
    <xf numFmtId="0" fontId="65" fillId="0" borderId="43" xfId="0" applyNumberFormat="1" applyFont="1" applyFill="1" applyBorder="1" applyAlignment="1" applyProtection="1">
      <alignment horizontal="center" vertical="center" wrapText="1"/>
    </xf>
    <xf numFmtId="0" fontId="65" fillId="0" borderId="49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ont="1" applyFill="1" applyBorder="1" applyAlignment="1" applyProtection="1">
      <alignment horizontal="center" vertical="center"/>
    </xf>
    <xf numFmtId="467" fontId="65" fillId="0" borderId="43" xfId="0" applyNumberFormat="1" applyFont="1" applyFill="1" applyBorder="1" applyAlignment="1" applyProtection="1">
      <alignment horizontal="center" vertical="center" wrapText="1"/>
    </xf>
    <xf numFmtId="0" fontId="44" fillId="0" borderId="0" applyNumberFormat="1" applyFont="1" applyFill="1" applyAlignment="1" applyProtection="1">
      <alignment vertical="top"/>
      <protection locked="0"/>
    </xf>
    <xf numFmtId="0" fontId="0" fillId="0" borderId="0" applyAlignment="1" applyProtection="1">
      <alignment vertical="top"/>
      <protection locked="0"/>
    </xf>
    <xf numFmtId="474" fontId="45" fillId="0" borderId="0" xfId="1" applyNumberFormat="1" applyFont="1" applyAlignment="1" applyProtection="1">
      <alignment vertical="center"/>
      <protection locked="1"/>
    </xf>
    <xf numFmtId="0" fontId="45" fillId="0" borderId="0" xfId="0" applyNumberFormat="1" applyFont="1" applyAlignment="1" applyProtection="1">
      <alignment vertical="bottom"/>
      <protection locked="1"/>
    </xf>
    <xf numFmtId="475" fontId="45" fillId="0" borderId="0" xfId="2" applyNumberFormat="1" applyFont="1" applyAlignment="1" applyProtection="1">
      <alignment vertical="center"/>
      <protection locked="1"/>
    </xf>
    <xf numFmtId="476" fontId="45" fillId="0" borderId="0" xfId="3" applyNumberFormat="1" applyFont="1" applyAlignment="1" applyProtection="1">
      <alignment vertical="center"/>
      <protection locked="1"/>
    </xf>
    <xf numFmtId="477" fontId="45" fillId="0" borderId="0" xfId="4" applyNumberFormat="1" applyFont="1" applyAlignment="1" applyProtection="1">
      <alignment vertical="center"/>
      <protection locked="1"/>
    </xf>
    <xf numFmtId="478" fontId="45" fillId="0" borderId="0" xfId="5" applyNumberFormat="1" applyFont="1" applyAlignment="1" applyProtection="1">
      <alignment vertical="center"/>
      <protection locked="1"/>
    </xf>
    <xf numFmtId="0" fontId="46" fillId="0" borderId="0" xfId="6" applyNumberFormat="1" applyFont="1" applyAlignment="1" applyProtection="1">
      <alignment vertical="center"/>
      <protection locked="1"/>
    </xf>
    <xf numFmtId="0" fontId="47" fillId="0" borderId="0" xfId="7" applyNumberFormat="1" applyFont="1" applyAlignment="1" applyProtection="1">
      <alignment vertical="center"/>
      <protection locked="1"/>
    </xf>
    <xf numFmtId="0" fontId="45" fillId="43" borderId="23" xfId="8" applyNumberFormat="1" applyFont="1" applyFill="1" applyBorder="1" applyAlignment="1" applyProtection="1">
      <alignment vertical="center"/>
      <protection locked="1"/>
    </xf>
    <xf numFmtId="0" fontId="48" fillId="0" borderId="0" xfId="9" applyNumberFormat="1" applyFont="1" applyAlignment="1" applyProtection="1">
      <alignment vertical="center"/>
      <protection locked="1"/>
    </xf>
    <xf numFmtId="0" fontId="49" fillId="0" borderId="0" xfId="10" applyNumberFormat="1" applyFont="1" applyAlignment="1" applyProtection="1">
      <alignment vertical="center"/>
      <protection locked="1"/>
    </xf>
    <xf numFmtId="0" fontId="50" fillId="0" borderId="0" xfId="11" applyNumberFormat="1" applyFont="1" applyAlignment="1" applyProtection="1">
      <alignment vertical="center"/>
      <protection locked="1"/>
    </xf>
    <xf numFmtId="0" fontId="51" fillId="0" borderId="31" xfId="12" applyNumberFormat="1" applyFont="1" applyBorder="1" applyAlignment="1" applyProtection="1">
      <alignment vertical="center"/>
      <protection locked="1"/>
    </xf>
    <xf numFmtId="0" fontId="52" fillId="0" borderId="31" xfId="13" applyNumberFormat="1" applyFont="1" applyBorder="1" applyAlignment="1" applyProtection="1">
      <alignment vertical="center"/>
      <protection locked="1"/>
    </xf>
    <xf numFmtId="0" fontId="53" fillId="0" borderId="32" xfId="14" applyNumberFormat="1" applyFont="1" applyBorder="1" applyAlignment="1" applyProtection="1">
      <alignment vertical="center"/>
      <protection locked="1"/>
    </xf>
    <xf numFmtId="0" fontId="53" fillId="0" borderId="0" xfId="15" applyNumberFormat="1" applyFont="1" applyAlignment="1" applyProtection="1">
      <alignment vertical="center"/>
      <protection locked="1"/>
    </xf>
    <xf numFmtId="0" fontId="54" fillId="44" borderId="26" xfId="16" applyNumberFormat="1" applyFont="1" applyFill="1" applyBorder="1" applyAlignment="1" applyProtection="1">
      <alignment vertical="center"/>
      <protection locked="1"/>
    </xf>
    <xf numFmtId="0" fontId="55" fillId="45" borderId="27" xfId="17" applyNumberFormat="1" applyFont="1" applyFill="1" applyBorder="1" applyAlignment="1" applyProtection="1">
      <alignment vertical="center"/>
      <protection locked="1"/>
    </xf>
    <xf numFmtId="0" fontId="56" fillId="45" borderId="26" xfId="18" applyNumberFormat="1" applyFont="1" applyFill="1" applyBorder="1" applyAlignment="1" applyProtection="1">
      <alignment vertical="center"/>
      <protection locked="1"/>
    </xf>
    <xf numFmtId="0" fontId="57" fillId="46" borderId="28" xfId="19" applyNumberFormat="1" applyFont="1" applyFill="1" applyBorder="1" applyAlignment="1" applyProtection="1">
      <alignment vertical="center"/>
      <protection locked="1"/>
    </xf>
    <xf numFmtId="0" fontId="58" fillId="0" borderId="29" xfId="20" applyNumberFormat="1" applyFont="1" applyBorder="1" applyAlignment="1" applyProtection="1">
      <alignment vertical="center"/>
      <protection locked="1"/>
    </xf>
    <xf numFmtId="0" fontId="59" fillId="0" borderId="33" xfId="21" applyNumberFormat="1" applyFont="1" applyBorder="1" applyAlignment="1" applyProtection="1">
      <alignment vertical="center"/>
      <protection locked="1"/>
    </xf>
    <xf numFmtId="0" fontId="60" fillId="47" borderId="0" xfId="22" applyNumberFormat="1" applyFont="1" applyFill="1" applyAlignment="1" applyProtection="1">
      <alignment vertical="center"/>
      <protection locked="1"/>
    </xf>
    <xf numFmtId="0" fontId="61" fillId="48" borderId="0" xfId="23" applyNumberFormat="1" applyFont="1" applyFill="1" applyAlignment="1" applyProtection="1">
      <alignment vertical="center"/>
      <protection locked="1"/>
    </xf>
    <xf numFmtId="0" fontId="62" fillId="49" borderId="0" xfId="24" applyNumberFormat="1" applyFont="1" applyFill="1" applyAlignment="1" applyProtection="1">
      <alignment vertical="center"/>
      <protection locked="1"/>
    </xf>
    <xf numFmtId="0" fontId="63" fillId="50" borderId="0" xfId="25" applyNumberFormat="1" applyFont="1" applyFill="1" applyAlignment="1" applyProtection="1">
      <alignment vertical="center"/>
      <protection locked="1"/>
    </xf>
    <xf numFmtId="0" fontId="45" fillId="51" borderId="0" xfId="26" applyNumberFormat="1" applyFont="1" applyFill="1" applyAlignment="1" applyProtection="1">
      <alignment vertical="center"/>
      <protection locked="1"/>
    </xf>
    <xf numFmtId="0" fontId="45" fillId="52" borderId="0" xfId="27" applyNumberFormat="1" applyFont="1" applyFill="1" applyAlignment="1" applyProtection="1">
      <alignment vertical="center"/>
      <protection locked="1"/>
    </xf>
    <xf numFmtId="0" fontId="63" fillId="53" borderId="0" xfId="28" applyNumberFormat="1" applyFont="1" applyFill="1" applyAlignment="1" applyProtection="1">
      <alignment vertical="center"/>
      <protection locked="1"/>
    </xf>
    <xf numFmtId="0" fontId="63" fillId="54" borderId="0" xfId="29" applyNumberFormat="1" applyFont="1" applyFill="1" applyAlignment="1" applyProtection="1">
      <alignment vertical="center"/>
      <protection locked="1"/>
    </xf>
    <xf numFmtId="0" fontId="45" fillId="55" borderId="0" xfId="30" applyNumberFormat="1" applyFont="1" applyFill="1" applyAlignment="1" applyProtection="1">
      <alignment vertical="center"/>
      <protection locked="1"/>
    </xf>
    <xf numFmtId="0" fontId="45" fillId="56" borderId="0" xfId="31" applyNumberFormat="1" applyFont="1" applyFill="1" applyAlignment="1" applyProtection="1">
      <alignment vertical="center"/>
      <protection locked="1"/>
    </xf>
    <xf numFmtId="0" fontId="63" fillId="57" borderId="0" xfId="32" applyNumberFormat="1" applyFont="1" applyFill="1" applyAlignment="1" applyProtection="1">
      <alignment vertical="center"/>
      <protection locked="1"/>
    </xf>
    <xf numFmtId="0" fontId="63" fillId="58" borderId="0" xfId="33" applyNumberFormat="1" applyFont="1" applyFill="1" applyAlignment="1" applyProtection="1">
      <alignment vertical="center"/>
      <protection locked="1"/>
    </xf>
    <xf numFmtId="0" fontId="45" fillId="59" borderId="0" xfId="34" applyNumberFormat="1" applyFont="1" applyFill="1" applyAlignment="1" applyProtection="1">
      <alignment vertical="center"/>
      <protection locked="1"/>
    </xf>
    <xf numFmtId="0" fontId="45" fillId="60" borderId="0" xfId="35" applyNumberFormat="1" applyFont="1" applyFill="1" applyAlignment="1" applyProtection="1">
      <alignment vertical="center"/>
      <protection locked="1"/>
    </xf>
    <xf numFmtId="0" fontId="63" fillId="61" borderId="0" xfId="36" applyNumberFormat="1" applyFont="1" applyFill="1" applyAlignment="1" applyProtection="1">
      <alignment vertical="center"/>
      <protection locked="1"/>
    </xf>
    <xf numFmtId="0" fontId="63" fillId="62" borderId="0" xfId="37" applyNumberFormat="1" applyFont="1" applyFill="1" applyAlignment="1" applyProtection="1">
      <alignment vertical="center"/>
      <protection locked="1"/>
    </xf>
    <xf numFmtId="0" fontId="45" fillId="63" borderId="0" xfId="38" applyNumberFormat="1" applyFont="1" applyFill="1" applyAlignment="1" applyProtection="1">
      <alignment vertical="center"/>
      <protection locked="1"/>
    </xf>
    <xf numFmtId="0" fontId="45" fillId="64" borderId="0" xfId="39" applyNumberFormat="1" applyFont="1" applyFill="1" applyAlignment="1" applyProtection="1">
      <alignment vertical="center"/>
      <protection locked="1"/>
    </xf>
    <xf numFmtId="0" fontId="63" fillId="65" borderId="0" xfId="40" applyNumberFormat="1" applyFont="1" applyFill="1" applyAlignment="1" applyProtection="1">
      <alignment vertical="center"/>
      <protection locked="1"/>
    </xf>
    <xf numFmtId="0" fontId="63" fillId="66" borderId="0" xfId="41" applyNumberFormat="1" applyFont="1" applyFill="1" applyAlignment="1" applyProtection="1">
      <alignment vertical="center"/>
      <protection locked="1"/>
    </xf>
    <xf numFmtId="0" fontId="45" fillId="67" borderId="0" xfId="42" applyNumberFormat="1" applyFont="1" applyFill="1" applyAlignment="1" applyProtection="1">
      <alignment vertical="center"/>
      <protection locked="1"/>
    </xf>
    <xf numFmtId="0" fontId="45" fillId="68" borderId="0" xfId="43" applyNumberFormat="1" applyFont="1" applyFill="1" applyAlignment="1" applyProtection="1">
      <alignment vertical="center"/>
      <protection locked="1"/>
    </xf>
    <xf numFmtId="0" fontId="63" fillId="69" borderId="0" xfId="44" applyNumberFormat="1" applyFont="1" applyFill="1" applyAlignment="1" applyProtection="1">
      <alignment vertical="center"/>
      <protection locked="1"/>
    </xf>
    <xf numFmtId="0" fontId="63" fillId="70" borderId="0" xfId="45" applyNumberFormat="1" applyFont="1" applyFill="1" applyAlignment="1" applyProtection="1">
      <alignment vertical="center"/>
      <protection locked="1"/>
    </xf>
    <xf numFmtId="0" fontId="45" fillId="71" borderId="0" xfId="46" applyNumberFormat="1" applyFont="1" applyFill="1" applyAlignment="1" applyProtection="1">
      <alignment vertical="center"/>
      <protection locked="1"/>
    </xf>
    <xf numFmtId="0" fontId="45" fillId="72" borderId="0" xfId="47" applyNumberFormat="1" applyFont="1" applyFill="1" applyAlignment="1" applyProtection="1">
      <alignment vertical="center"/>
      <protection locked="1"/>
    </xf>
    <xf numFmtId="0" fontId="63" fillId="73" borderId="0" xfId="48" applyNumberFormat="1" applyFont="1" applyFill="1" applyAlignment="1" applyProtection="1">
      <alignment vertical="center"/>
      <protection locked="1"/>
    </xf>
    <xf numFmtId="0" fontId="45" fillId="0" borderId="0" xfId="49" applyNumberFormat="1" applyFont="1" applyAlignment="1" applyProtection="1">
      <alignment vertical="bottom"/>
      <protection locked="1"/>
    </xf>
    <xf numFmtId="0" fontId="45" fillId="0" borderId="0" xfId="50" applyNumberFormat="1" applyFont="1" applyAlignment="1" applyProtection="1">
      <alignment vertical="bottom"/>
      <protection locked="1"/>
    </xf>
    <xf numFmtId="244" fontId="22" fillId="0" borderId="1" xfId="0" applyNumberFormat="1" applyFont="1" applyFill="1" applyBorder="1" applyAlignment="1" applyProtection="1">
      <alignment vertical="center"/>
    </xf>
    <xf numFmtId="0" fontId="67" fillId="0" borderId="44" xfId="0" applyNumberFormat="1" applyFont="1" applyFill="1" applyBorder="1" applyAlignment="1" applyProtection="1">
      <alignment horizontal="center" vertical="center" wrapText="1"/>
    </xf>
    <xf numFmtId="432" fontId="0" fillId="0" borderId="45" xfId="0" applyNumberFormat="1" applyFont="1" applyFill="1" applyBorder="1" applyAlignment="1" applyProtection="1">
      <alignment horizontal="center" vertical="center" wrapText="1"/>
    </xf>
    <xf numFmtId="0" fontId="0" fillId="0" borderId="44" xfId="0" applyNumberFormat="1" applyFont="1" applyFill="1" applyBorder="1" applyAlignment="1" applyProtection="1">
      <alignment horizontal="center" vertical="center" wrapText="1"/>
    </xf>
    <xf numFmtId="0" fontId="0" fillId="0" borderId="56" xfId="0" applyNumberFormat="1" applyFont="1" applyFill="1" applyBorder="1" applyAlignment="1" applyProtection="1">
      <alignment horizontal="center" vertical="center" wrapText="1"/>
    </xf>
    <xf numFmtId="0" fontId="0" fillId="0" borderId="47" xfId="0" applyNumberFormat="1" applyFont="1" applyFill="1" applyBorder="1" applyAlignment="1" applyProtection="1">
      <alignment horizontal="center" vertical="bottom"/>
    </xf>
    <xf numFmtId="0" fontId="0" fillId="0" borderId="37" xfId="0" applyNumberFormat="1" applyFont="1" applyFill="1" applyBorder="1" applyAlignment="1" applyProtection="1">
      <alignment horizontal="center" vertical="center" wrapText="1"/>
    </xf>
    <xf numFmtId="0" fontId="0" fillId="0" borderId="54" xfId="0" applyNumberFormat="1" applyFont="1" applyFill="1" applyBorder="1" applyAlignment="1" applyProtection="1">
      <alignment horizontal="center" vertical="center" wrapText="1"/>
    </xf>
    <xf numFmtId="0" fontId="0" fillId="0" borderId="4" xfId="0" applyNumberFormat="1" applyFont="1" applyFill="1" applyBorder="1" applyAlignment="1" applyProtection="1">
      <alignment horizontal="center" vertical="bottom"/>
    </xf>
    <xf numFmtId="0" fontId="0" fillId="0" borderId="21" xfId="0" applyNumberFormat="1" applyFont="1" applyFill="1" applyBorder="1" applyAlignment="1" applyProtection="1">
      <alignment horizontal="center" vertical="center" wrapText="1"/>
    </xf>
    <xf numFmtId="465" fontId="69" fillId="0" borderId="21" xfId="0" applyNumberFormat="1" applyFont="1" applyFill="1" applyBorder="1" applyAlignment="1" applyProtection="1">
      <alignment horizontal="center" vertical="center" wrapText="1"/>
    </xf>
    <xf numFmtId="0" fontId="0" fillId="0" borderId="52" xfId="0" applyNumberFormat="1" applyFont="1" applyFill="1" applyBorder="1" applyAlignment="1" applyProtection="1">
      <alignment horizontal="center" vertical="center" wrapText="1"/>
    </xf>
    <xf numFmtId="0" fontId="65" fillId="0" borderId="46" xfId="0" applyNumberFormat="1" applyFont="1" applyFill="1" applyBorder="1" applyAlignment="1" applyProtection="1">
      <alignment horizontal="center" vertical="center" wrapText="1"/>
    </xf>
    <xf numFmtId="0" fontId="0" fillId="0" borderId="1" xfId="0" applyNumberFormat="1" applyFont="1" applyFill="1" applyBorder="1" applyAlignment="1" applyProtection="1">
      <alignment horizontal="left" vertical="bottom"/>
    </xf>
    <xf numFmtId="0" fontId="0" fillId="0" borderId="45" xfId="0" applyNumberFormat="1" applyFont="1" applyFill="1" applyBorder="1" applyAlignment="1" applyProtection="1">
      <alignment horizontal="center" vertical="center" wrapText="1"/>
    </xf>
    <xf numFmtId="0" fontId="0" fillId="0" borderId="41" xfId="0" applyNumberFormat="1" applyFont="1" applyFill="1" applyBorder="1" applyAlignment="1" applyProtection="1">
      <alignment horizontal="center" vertical="center" wrapText="1"/>
    </xf>
    <xf numFmtId="0" fontId="0" fillId="0" borderId="20" xfId="0" applyNumberFormat="1" applyFont="1" applyFill="1" applyBorder="1" applyAlignment="1" applyProtection="1">
      <alignment horizontal="left" vertical="center" wrapText="1"/>
    </xf>
    <xf numFmtId="0" fontId="0" fillId="0" borderId="38" xfId="0" applyNumberFormat="1" applyFont="1" applyFill="1" applyBorder="1" applyAlignment="1" applyProtection="1">
      <alignment horizontal="center" vertical="center" wrapText="1"/>
    </xf>
    <xf numFmtId="0" fontId="65" fillId="0" borderId="21" xfId="0" applyNumberFormat="1" applyFont="1" applyFill="1" applyBorder="1" applyAlignment="1" applyProtection="1">
      <alignment horizontal="center" vertical="center" wrapText="1"/>
    </xf>
    <xf numFmtId="0" fontId="67" fillId="0" borderId="36" xfId="0" applyNumberFormat="1" applyFont="1" applyFill="1" applyBorder="1" applyAlignment="1" applyProtection="1">
      <alignment horizontal="center" vertical="center" wrapText="1"/>
    </xf>
    <xf numFmtId="432" fontId="0" fillId="0" borderId="22" xfId="0" applyNumberFormat="1" applyFont="1" applyFill="1" applyBorder="1" applyAlignment="1" applyProtection="1">
      <alignment horizontal="center" vertical="center" wrapText="1"/>
    </xf>
    <xf numFmtId="0" fontId="24" fillId="0" borderId="47" xfId="0" applyNumberFormat="1" applyFont="1" applyFill="1" applyBorder="1" applyAlignment="1" applyProtection="1">
      <alignment horizontal="center" vertical="center" wrapText="1"/>
    </xf>
    <xf numFmtId="393" fontId="0" fillId="0" borderId="1" xfId="0" applyNumberFormat="1" applyFont="1" applyFill="1" applyBorder="1" applyAlignment="1" applyProtection="1">
      <alignment horizontal="center" vertical="center"/>
    </xf>
    <xf numFmtId="0" fontId="0" fillId="0" borderId="20" xfId="0" applyNumberFormat="1" applyFont="1" applyFill="1" applyBorder="1" applyAlignment="1" applyProtection="1">
      <alignment horizontal="center" vertical="bottom"/>
    </xf>
    <xf numFmtId="0" fontId="0" fillId="0" borderId="10" xfId="0" applyNumberFormat="1" applyFont="1" applyFill="1" applyBorder="1" applyAlignment="1" applyProtection="1">
      <alignment horizontal="center" vertical="center" wrapText="1"/>
    </xf>
    <xf numFmtId="0" fontId="0" fillId="0" borderId="4" xfId="0" applyNumberFormat="1" applyFont="1" applyFill="1" applyBorder="1" applyAlignment="1" applyProtection="1">
      <alignment horizontal="center" vertical="center" wrapText="1"/>
    </xf>
    <xf numFmtId="0" fontId="0" fillId="0" borderId="10" xfId="0" applyNumberFormat="1" applyFont="1" applyFill="1" applyBorder="1" applyAlignment="1" applyProtection="1">
      <alignment horizontal="center" vertical="center" wrapText="1"/>
    </xf>
    <xf numFmtId="0" fontId="0" fillId="0" borderId="4" xfId="0" applyNumberFormat="1" applyFont="1" applyFill="1" applyBorder="1" applyAlignment="1" applyProtection="1">
      <alignment horizontal="center" vertical="center" wrapText="1"/>
    </xf>
    <xf numFmtId="0" fontId="0" fillId="0" borderId="43" xfId="0" applyNumberFormat="1" applyFont="1" applyFill="1" applyBorder="1" applyAlignment="1" applyProtection="1">
      <alignment horizontal="center" vertical="center" wrapText="1"/>
    </xf>
    <xf numFmtId="0" fontId="0" fillId="0" borderId="45" xfId="0" applyNumberFormat="1" applyFont="1" applyFill="1" applyBorder="1" applyAlignment="1" applyProtection="1">
      <alignment horizontal="center" vertical="center" wrapText="1"/>
    </xf>
    <xf numFmtId="434" fontId="0" fillId="0" borderId="1" xfId="0" applyNumberFormat="1" applyFont="1" applyFill="1" applyBorder="1" applyAlignment="1" applyProtection="1">
      <alignment horizontal="center" vertical="center" wrapText="1"/>
    </xf>
    <xf numFmtId="467" fontId="65" fillId="0" borderId="47" xfId="0" applyNumberFormat="1" applyFont="1" applyFill="1" applyBorder="1" applyAlignment="1" applyProtection="1">
      <alignment horizontal="center" vertical="center" wrapText="1"/>
    </xf>
    <xf numFmtId="0" fontId="0" fillId="0" borderId="46" xfId="0" applyNumberFormat="1" applyFont="1" applyFill="1" applyBorder="1" applyAlignment="1" applyProtection="1">
      <alignment horizontal="center" vertical="center" wrapText="1"/>
    </xf>
    <xf numFmtId="0" fontId="0" fillId="0" borderId="47" xfId="0" applyNumberFormat="1" applyFont="1" applyFill="1" applyBorder="1" applyAlignment="1" applyProtection="1">
      <alignment horizontal="center" vertical="center" wrapText="1"/>
    </xf>
    <xf numFmtId="0" fontId="0" fillId="0" borderId="48" xfId="0" applyNumberFormat="1" applyFont="1" applyFill="1" applyBorder="1" applyAlignment="1" applyProtection="1">
      <alignment horizontal="center" vertical="center" wrapText="1"/>
    </xf>
    <xf numFmtId="0" fontId="0" fillId="0" borderId="49" xfId="0" applyNumberFormat="1" applyFont="1" applyFill="1" applyBorder="1" applyAlignment="1" applyProtection="1">
      <alignment horizontal="center" vertical="center" wrapText="1"/>
    </xf>
    <xf numFmtId="0" fontId="0" fillId="0" borderId="50" xfId="0" applyNumberFormat="1" applyFont="1" applyFill="1" applyBorder="1" applyAlignment="1" applyProtection="1">
      <alignment horizontal="center" vertical="center" wrapText="1"/>
    </xf>
    <xf numFmtId="0" fontId="0" fillId="0" borderId="51" xfId="0" applyNumberFormat="1" applyFont="1" applyFill="1" applyBorder="1" applyAlignment="1" applyProtection="1">
      <alignment horizontal="center" vertical="center" wrapText="1"/>
    </xf>
    <xf numFmtId="0" fontId="0" fillId="0" borderId="52" xfId="0" applyNumberFormat="1" applyFont="1" applyFill="1" applyBorder="1" applyAlignment="1" applyProtection="1">
      <alignment horizontal="center" vertical="center" wrapText="1"/>
    </xf>
    <xf numFmtId="0" fontId="0" fillId="0" borderId="53" xfId="0" applyNumberFormat="1" applyFont="1" applyFill="1" applyBorder="1" applyAlignment="1" applyProtection="1">
      <alignment horizontal="center" vertical="center" wrapText="1"/>
    </xf>
    <xf numFmtId="0" fontId="0" fillId="0" borderId="55" xfId="0" applyNumberFormat="1" applyFont="1" applyFill="1" applyBorder="1" applyAlignment="1" applyProtection="1">
      <alignment horizontal="center" vertical="center" wrapText="1"/>
    </xf>
    <xf numFmtId="0" fontId="0" fillId="0" borderId="4" xfId="0" applyNumberFormat="1" applyFont="1" applyFill="1" applyBorder="1" applyAlignment="1" applyProtection="1">
      <alignment horizontal="center" vertical="center" wrapText="1"/>
    </xf>
    <xf numFmtId="0" fontId="0" fillId="0" borderId="1" xfId="0" applyNumberFormat="1" applyFont="1" applyFill="1" applyBorder="1" applyAlignment="1" applyProtection="1">
      <alignment horizontal="center" vertical="center"/>
    </xf>
    <xf numFmtId="0" fontId="0" fillId="0" borderId="10" xfId="0" applyNumberFormat="1" applyFont="1" applyFill="1" applyBorder="1" applyAlignment="1" applyProtection="1">
      <alignment horizontal="center" vertical="bottom"/>
    </xf>
    <xf numFmtId="0" fontId="0" fillId="0" borderId="43" xfId="0" applyNumberFormat="1" applyFont="1" applyFill="1" applyBorder="1" applyAlignment="1" applyProtection="1">
      <alignment horizontal="center" vertical="center" wrapText="1"/>
    </xf>
    <xf numFmtId="0" fontId="0" fillId="0" borderId="44" xfId="0" applyNumberFormat="1" applyFont="1" applyFill="1" applyBorder="1" applyAlignment="1" applyProtection="1">
      <alignment horizontal="center" vertical="center" wrapText="1"/>
    </xf>
    <xf numFmtId="0" fontId="0" fillId="0" borderId="45" xfId="0" applyNumberFormat="1" applyFont="1" applyFill="1" applyBorder="1" applyAlignment="1" applyProtection="1">
      <alignment horizontal="center" vertical="center" wrapText="1"/>
    </xf>
    <xf numFmtId="467" fontId="65" fillId="0" borderId="36" xfId="0" applyNumberFormat="1" applyFont="1" applyFill="1" applyBorder="1" applyAlignment="1" applyProtection="1">
      <alignment horizontal="center" vertical="center" wrapText="1"/>
    </xf>
    <xf numFmtId="0" fontId="0" fillId="0" borderId="10" xfId="0" applyNumberFormat="1" applyFont="1" applyFill="1" applyBorder="1" applyAlignment="1" applyProtection="1">
      <alignment horizontal="center" vertical="bottom"/>
    </xf>
    <xf numFmtId="0" fontId="0" fillId="0" borderId="8" xfId="0" applyNumberFormat="1" applyFont="1" applyFill="1" applyBorder="1" applyAlignment="1" applyProtection="1">
      <alignment horizontal="center" vertical="center" wrapText="1"/>
    </xf>
    <xf numFmtId="0" fontId="64" fillId="0" borderId="49" xfId="0" applyNumberFormat="1" applyFont="1" applyFill="1" applyBorder="1" applyAlignment="1" applyProtection="1">
      <alignment vertical="center" wrapText="1"/>
    </xf>
    <xf numFmtId="0" fontId="64" fillId="0" borderId="45" xfId="0" applyNumberFormat="1" applyFont="1" applyFill="1" applyBorder="1" applyAlignment="1" applyProtection="1">
      <alignment vertical="center" wrapText="1"/>
    </xf>
    <xf numFmtId="0" fontId="65" fillId="0" borderId="10" xfId="0" applyNumberFormat="1" applyFont="1" applyFill="1" applyBorder="1" applyAlignment="1" applyProtection="1">
      <alignment horizontal="center" vertical="center" wrapText="1"/>
    </xf>
    <xf numFmtId="465" fontId="69" fillId="0" borderId="22" xfId="0" applyNumberFormat="1" applyFont="1" applyFill="1" applyBorder="1" applyAlignment="1" applyProtection="1">
      <alignment horizontal="center" vertical="center" wrapText="1"/>
    </xf>
    <xf numFmtId="435" fontId="0" fillId="0" borderId="1" xfId="0" applyNumberFormat="1" applyFont="1" applyFill="1" applyBorder="1" applyAlignment="1" applyProtection="1">
      <alignment horizontal="center" vertical="center" wrapText="1"/>
    </xf>
    <xf numFmtId="0" fontId="67" fillId="0" borderId="45" xfId="0" applyNumberFormat="1" applyFont="1" applyFill="1" applyBorder="1" applyAlignment="1" applyProtection="1">
      <alignment horizontal="center" vertical="center" wrapText="1"/>
    </xf>
    <xf numFmtId="0" fontId="20" fillId="0" borderId="50" xfId="0" applyNumberFormat="1" applyFont="1" applyFill="1" applyBorder="1" applyAlignment="1" applyProtection="1">
      <alignment horizontal="center" vertical="center" wrapText="1"/>
    </xf>
    <xf numFmtId="0" fontId="20" fillId="0" borderId="52" xfId="0" applyNumberFormat="1" applyFont="1" applyFill="1" applyBorder="1" applyAlignment="1" applyProtection="1">
      <alignment horizontal="center" vertical="center"/>
    </xf>
    <xf numFmtId="0" fontId="67" fillId="0" borderId="46" xfId="0" applyNumberFormat="1" applyFont="1" applyFill="1" applyBorder="1" applyAlignment="1" applyProtection="1">
      <alignment horizontal="center" vertical="center" wrapText="1"/>
    </xf>
    <xf numFmtId="0" fontId="67" fillId="0" borderId="47" xfId="0" applyNumberFormat="1" applyFont="1" applyFill="1" applyBorder="1" applyAlignment="1" applyProtection="1">
      <alignment horizontal="center" vertical="center" wrapText="1"/>
    </xf>
    <xf numFmtId="0" fontId="19" fillId="0" borderId="52" xfId="0" applyNumberFormat="1" applyFont="1" applyFill="1" applyBorder="1" applyAlignment="1" applyProtection="1">
      <alignment horizontal="center" vertical="center" wrapText="1"/>
    </xf>
    <xf numFmtId="432" fontId="0" fillId="0" borderId="51" xfId="0" applyNumberFormat="1" applyFont="1" applyFill="1" applyBorder="1" applyAlignment="1" applyProtection="1">
      <alignment horizontal="center" vertical="center" wrapText="1"/>
    </xf>
    <xf numFmtId="0" fontId="0" fillId="0" borderId="51" xfId="0" applyNumberFormat="1" applyFont="1" applyFill="1" applyBorder="1" applyAlignment="1" applyProtection="1">
      <alignment horizontal="center" vertical="center" wrapText="1"/>
    </xf>
    <xf numFmtId="0" fontId="0" fillId="0" borderId="53" xfId="0" applyNumberFormat="1" applyFont="1" applyFill="1" applyBorder="1" applyAlignment="1" applyProtection="1">
      <alignment horizontal="center" vertical="bottom"/>
    </xf>
    <xf numFmtId="0" fontId="0" fillId="0" borderId="49" xfId="0" applyNumberFormat="1" applyFont="1" applyFill="1" applyBorder="1" applyAlignment="1" applyProtection="1">
      <alignment horizontal="center" vertical="center" wrapText="1"/>
    </xf>
    <xf numFmtId="0" fontId="0" fillId="0" borderId="41" xfId="0" applyNumberFormat="1" applyFont="1" applyFill="1" applyBorder="1" applyAlignment="1" applyProtection="1">
      <alignment horizontal="center" vertical="center" wrapText="1"/>
    </xf>
    <xf numFmtId="0" fontId="0" fillId="0" borderId="18" xfId="0" applyNumberFormat="1" applyFont="1" applyFill="1" applyBorder="1" applyAlignment="1" applyProtection="1">
      <alignment horizontal="center" vertical="center" wrapText="1"/>
    </xf>
    <xf numFmtId="0" fontId="0" fillId="0" borderId="12" xfId="0" applyNumberFormat="1" applyFont="1" applyFill="1" applyBorder="1" applyAlignment="1" applyProtection="1">
      <alignment horizontal="center" vertical="center" wrapText="1"/>
    </xf>
    <xf numFmtId="0" fontId="0" fillId="0" borderId="13" xfId="0" applyNumberFormat="1" applyFont="1" applyFill="1" applyBorder="1" applyAlignment="1" applyProtection="1">
      <alignment horizontal="center" vertical="center" wrapText="1"/>
    </xf>
    <xf numFmtId="0" fontId="0" fillId="0" borderId="4" xfId="0" applyNumberFormat="1" applyFont="1" applyFill="1" applyBorder="1" applyAlignment="1" applyProtection="1">
      <alignment horizontal="left" vertical="center" wrapText="1"/>
    </xf>
    <xf numFmtId="0" fontId="0" fillId="0" borderId="40" xfId="0" applyNumberFormat="1" applyFont="1" applyFill="1" applyBorder="1" applyAlignment="1" applyProtection="1">
      <alignment horizontal="center" vertical="center" wrapText="1"/>
    </xf>
    <xf numFmtId="0" fontId="0" fillId="0" borderId="49" xfId="0" applyNumberFormat="1" applyFont="1" applyFill="1" applyBorder="1" applyAlignment="1" applyProtection="1">
      <alignment horizontal="center" vertical="center" wrapText="1"/>
    </xf>
    <xf numFmtId="0" fontId="0" fillId="0" borderId="21" xfId="0" applyNumberFormat="1" applyFont="1" applyFill="1" applyBorder="1" applyAlignment="1" applyProtection="1">
      <alignment horizontal="center" vertical="center" wrapText="1"/>
    </xf>
    <xf numFmtId="0" fontId="0" fillId="0" borderId="46" xfId="0" applyNumberFormat="1" applyFont="1" applyFill="1" applyBorder="1" applyAlignment="1" applyProtection="1">
      <alignment horizontal="center" vertical="center" wrapText="1"/>
    </xf>
    <xf numFmtId="0" fontId="0" fillId="0" borderId="48" xfId="0" applyNumberFormat="1" applyFont="1" applyFill="1" applyBorder="1" applyAlignment="1" applyProtection="1">
      <alignment horizontal="center" vertical="center" wrapText="1"/>
    </xf>
    <xf numFmtId="0" fontId="0" fillId="0" borderId="43" xfId="0" applyNumberFormat="1" applyFont="1" applyFill="1" applyBorder="1" applyAlignment="1" applyProtection="1">
      <alignment horizontal="center" vertical="center" wrapText="1"/>
    </xf>
    <xf numFmtId="0" fontId="0" fillId="0" borderId="47" xfId="0" applyNumberFormat="1" applyFont="1" applyFill="1" applyBorder="1" applyAlignment="1" applyProtection="1">
      <alignment horizontal="center" vertical="center" wrapText="1"/>
    </xf>
    <xf numFmtId="0" fontId="0" fillId="0" borderId="49" xfId="0" applyNumberFormat="1" applyFont="1" applyFill="1" applyBorder="1" applyAlignment="1" applyProtection="1">
      <alignment horizontal="center" vertical="center" wrapText="1"/>
    </xf>
    <xf numFmtId="0" fontId="0" fillId="0" borderId="45" xfId="0" applyNumberFormat="1" applyFont="1" applyFill="1" applyBorder="1" applyAlignment="1" applyProtection="1">
      <alignment horizontal="center" vertical="center" wrapText="1"/>
    </xf>
    <xf numFmtId="0" fontId="65" fillId="0" borderId="48" xfId="0" applyNumberFormat="1" applyFont="1" applyFill="1" applyBorder="1" applyAlignment="1" applyProtection="1">
      <alignment horizontal="center" vertical="center" wrapText="1"/>
    </xf>
    <xf numFmtId="0" fontId="65" fillId="0" borderId="52" xfId="0" applyNumberFormat="1" applyFont="1" applyFill="1" applyBorder="1" applyAlignment="1" applyProtection="1">
      <alignment horizontal="center" vertical="center" wrapText="1"/>
    </xf>
    <xf numFmtId="1" fontId="0" fillId="0" borderId="56" xfId="0" applyNumberFormat="1" applyFont="1" applyFill="1" applyBorder="1" applyAlignment="1" applyProtection="1">
      <alignment horizontal="center" vertical="center" wrapText="1"/>
    </xf>
    <xf numFmtId="0" fontId="65" fillId="0" borderId="50" xfId="0" applyNumberFormat="1" applyFont="1" applyFill="1" applyBorder="1" applyAlignment="1" applyProtection="1">
      <alignment horizontal="center" vertical="center" wrapText="1"/>
    </xf>
    <xf numFmtId="0" fontId="0" fillId="0" borderId="38" xfId="0" applyNumberFormat="1" applyFont="1" applyFill="1" applyBorder="1" applyAlignment="1" applyProtection="1">
      <alignment horizontal="center" vertical="center" wrapText="1"/>
    </xf>
    <xf numFmtId="0" fontId="68" fillId="0" borderId="46" xfId="0" applyNumberFormat="1" applyFont="1" applyFill="1" applyBorder="1" applyAlignment="1" applyProtection="1">
      <alignment horizontal="left" vertical="center" wrapText="1"/>
    </xf>
    <xf numFmtId="0" fontId="68" fillId="0" borderId="47" xfId="0" applyNumberFormat="1" applyFont="1" applyFill="1" applyBorder="1" applyAlignment="1" applyProtection="1">
      <alignment horizontal="left" vertical="center" wrapText="1"/>
    </xf>
    <xf numFmtId="433" fontId="0" fillId="0" borderId="50" xfId="0" applyNumberFormat="1" applyFont="1" applyFill="1" applyBorder="1" applyAlignment="1" applyProtection="1">
      <alignment horizontal="center" vertical="center" wrapText="1"/>
    </xf>
    <xf numFmtId="433" fontId="0" fillId="0" borderId="52" xfId="0" applyNumberFormat="1" applyFont="1" applyFill="1" applyBorder="1" applyAlignment="1" applyProtection="1">
      <alignment horizontal="center" vertical="center" wrapText="1"/>
    </xf>
    <xf numFmtId="0" fontId="0" fillId="0" borderId="20" xfId="0" applyNumberFormat="1" applyFont="1" applyFill="1" applyBorder="1" applyAlignment="1" applyProtection="1">
      <alignment horizontal="center" vertical="center" wrapText="1"/>
    </xf>
    <xf numFmtId="0" fontId="0" fillId="0" borderId="4" xfId="0" applyNumberFormat="1" applyFont="1" applyFill="1" applyBorder="1" applyAlignment="1" applyProtection="1">
      <alignment horizontal="center" vertical="center" wrapText="1"/>
    </xf>
    <xf numFmtId="432" fontId="0" fillId="0" borderId="21" xfId="0" applyNumberFormat="1" applyFont="1" applyFill="1" applyBorder="1" applyAlignment="1" applyProtection="1">
      <alignment horizontal="center" vertical="center" wrapText="1"/>
    </xf>
    <xf numFmtId="433" fontId="0" fillId="0" borderId="51" xfId="0" applyNumberFormat="1" applyFont="1" applyFill="1" applyBorder="1" applyAlignment="1" applyProtection="1">
      <alignment horizontal="center" vertical="center" wrapText="1"/>
    </xf>
    <xf numFmtId="0" fontId="0" fillId="0" borderId="36" xfId="0" applyNumberFormat="1" applyFont="1" applyFill="1" applyBorder="1" applyAlignment="1" applyProtection="1">
      <alignment horizontal="center" vertical="center" wrapText="1"/>
    </xf>
    <xf numFmtId="0" fontId="0" fillId="0" borderId="37" xfId="0" applyNumberFormat="1" applyFont="1" applyFill="1" applyBorder="1" applyAlignment="1" applyProtection="1">
      <alignment horizontal="center" vertical="center" wrapText="1"/>
    </xf>
    <xf numFmtId="0" fontId="0" fillId="0" borderId="44" xfId="0" applyNumberFormat="1" applyFont="1" applyFill="1" applyBorder="1" applyAlignment="1" applyProtection="1">
      <alignment horizontal="center" vertical="center" wrapText="1"/>
    </xf>
    <xf numFmtId="433" fontId="0" fillId="0" borderId="46" xfId="0" applyNumberFormat="1" applyFont="1" applyFill="1" applyBorder="1" applyAlignment="1" applyProtection="1">
      <alignment horizontal="center" vertical="center" wrapText="1"/>
    </xf>
    <xf numFmtId="433" fontId="0" fillId="0" borderId="43" xfId="0" applyNumberFormat="1" applyFont="1" applyFill="1" applyBorder="1" applyAlignment="1" applyProtection="1">
      <alignment horizontal="center" vertical="center" wrapText="1"/>
    </xf>
    <xf numFmtId="433" fontId="0" fillId="0" borderId="47" xfId="0" applyNumberFormat="1" applyFont="1" applyFill="1" applyBorder="1" applyAlignment="1" applyProtection="1">
      <alignment horizontal="center" vertical="center" wrapText="1"/>
    </xf>
    <xf numFmtId="433" fontId="0" fillId="0" borderId="45" xfId="0" applyNumberFormat="1" applyFont="1" applyFill="1" applyBorder="1" applyAlignment="1" applyProtection="1">
      <alignment horizontal="center" vertical="center" wrapText="1"/>
    </xf>
    <xf numFmtId="433" fontId="0" fillId="0" borderId="22" xfId="0" applyNumberFormat="1" applyFont="1" applyFill="1" applyBorder="1" applyAlignment="1" applyProtection="1">
      <alignment horizontal="center" vertical="center" wrapText="1"/>
    </xf>
    <xf numFmtId="433" fontId="0" fillId="0" borderId="21" xfId="0" applyNumberFormat="1" applyFont="1" applyFill="1" applyBorder="1" applyAlignment="1" applyProtection="1">
      <alignment horizontal="center" vertical="center" wrapText="1"/>
    </xf>
    <xf numFmtId="0" fontId="0" fillId="0" borderId="44" xfId="0" applyNumberFormat="1" applyFont="1" applyFill="1" applyBorder="1" applyAlignment="1" applyProtection="1">
      <alignment horizontal="center" vertical="center" wrapText="1"/>
    </xf>
    <xf numFmtId="0" fontId="0" fillId="0" borderId="47" xfId="0" applyNumberFormat="1" applyFont="1" applyFill="1" applyBorder="1" applyAlignment="1" applyProtection="1">
      <alignment horizontal="center" vertical="center" wrapText="1"/>
    </xf>
    <xf numFmtId="0" fontId="0" fillId="0" borderId="45" xfId="0" applyNumberFormat="1" applyFont="1" applyFill="1" applyBorder="1" applyAlignment="1" applyProtection="1">
      <alignment horizontal="center" vertical="center" wrapText="1"/>
    </xf>
    <xf numFmtId="435" fontId="0" fillId="0" borderId="10" xfId="0" applyNumberFormat="1" applyFont="1" applyFill="1" applyBorder="1" applyAlignment="1" applyProtection="1">
      <alignment horizontal="center" vertical="center" wrapText="1"/>
    </xf>
    <xf numFmtId="435" fontId="0" fillId="0" borderId="4" xfId="0" applyNumberFormat="1" applyFont="1" applyFill="1" applyBorder="1" applyAlignment="1" applyProtection="1">
      <alignment horizontal="center" vertical="center" wrapText="1"/>
    </xf>
    <xf numFmtId="0" fontId="0" fillId="0" borderId="1" xfId="0" applyNumberFormat="1" applyFont="1" applyFill="1" applyBorder="1" applyAlignment="1" applyProtection="1">
      <alignment horizontal="left" vertical="bottom"/>
    </xf>
    <xf numFmtId="0" fontId="65" fillId="0" borderId="4" xfId="0" applyNumberFormat="1" applyFont="1" applyFill="1" applyBorder="1" applyAlignment="1" applyProtection="1">
      <alignment horizontal="center" vertical="center" wrapText="1"/>
    </xf>
    <xf numFmtId="0" fontId="65" fillId="0" borderId="45" xfId="0" applyNumberFormat="1" applyFont="1" applyFill="1" applyBorder="1" applyAlignment="1" applyProtection="1">
      <alignment horizontal="center" vertical="center" wrapText="1"/>
    </xf>
    <xf numFmtId="0" fontId="65" fillId="0" borderId="10" xfId="0" applyNumberFormat="1" applyFont="1" applyFill="1" applyBorder="1" applyAlignment="1" applyProtection="1">
      <alignment horizontal="center" vertical="center" wrapText="1"/>
    </xf>
    <xf numFmtId="0" fontId="64" fillId="0" borderId="1" xfId="0" applyNumberFormat="1" applyFont="1" applyFill="1" applyBorder="1" applyAlignment="1" applyProtection="1">
      <alignment horizontal="center" vertical="center" wrapText="1"/>
    </xf>
    <xf numFmtId="0" fontId="66" fillId="0" borderId="52" xfId="0" applyNumberFormat="1" applyFont="1" applyFill="1" applyBorder="1" applyAlignment="1" applyProtection="1">
      <alignment horizontal="center" vertical="center" wrapText="1"/>
    </xf>
    <xf numFmtId="0" fontId="65" fillId="0" borderId="43" xfId="0" applyNumberFormat="1" applyFont="1" applyFill="1" applyBorder="1" applyAlignment="1" applyProtection="1">
      <alignment horizontal="left" vertical="center" wrapText="1"/>
    </xf>
    <xf numFmtId="0" fontId="65" fillId="0" borderId="45" xfId="0" applyNumberFormat="1" applyFont="1" applyFill="1" applyBorder="1" applyAlignment="1" applyProtection="1">
      <alignment horizontal="left" vertical="center" wrapText="1"/>
    </xf>
    <xf numFmtId="467" fontId="65" fillId="0" borderId="44" xfId="0" applyNumberFormat="1" applyFont="1" applyFill="1" applyBorder="1" applyAlignment="1" applyProtection="1">
      <alignment horizontal="center" vertical="center" wrapText="1"/>
    </xf>
    <xf numFmtId="0" fontId="65" fillId="0" borderId="48" xfId="0" applyNumberFormat="1" applyFont="1" applyFill="1" applyBorder="1" applyAlignment="1" applyProtection="1">
      <alignment horizontal="left" vertical="center" wrapText="1"/>
    </xf>
    <xf numFmtId="467" fontId="65" fillId="0" borderId="45" xfId="0" applyNumberFormat="1" applyFont="1" applyFill="1" applyBorder="1" applyAlignment="1" applyProtection="1">
      <alignment horizontal="center" vertical="center" wrapText="1"/>
    </xf>
    <xf numFmtId="0" fontId="65" fillId="0" borderId="49" xfId="0" applyNumberFormat="1" applyFont="1" applyFill="1" applyBorder="1" applyAlignment="1" applyProtection="1">
      <alignment horizontal="left" vertical="center" wrapText="1"/>
    </xf>
    <xf numFmtId="49" fontId="0" fillId="0" borderId="1" xfId="0" applyNumberFormat="1" applyFont="1" applyFill="1" applyBorder="1" applyAlignment="1" applyProtection="1">
      <alignment horizontal="center" vertical="center"/>
    </xf>
    <xf numFmtId="0" fontId="20" fillId="0" borderId="52" xfId="0" applyNumberFormat="1" applyFont="1" applyFill="1" applyBorder="1" applyAlignment="1" applyProtection="1">
      <alignment horizontal="center" vertical="center" wrapText="1"/>
    </xf>
    <xf numFmtId="0" fontId="65" fillId="0" borderId="45" xfId="0" applyNumberFormat="1" applyFont="1" applyFill="1" applyBorder="1" applyAlignment="1" applyProtection="1">
      <alignment horizontal="center" vertical="center" wrapText="1"/>
    </xf>
    <xf numFmtId="0" fontId="68" fillId="0" borderId="48" xfId="0" applyNumberFormat="1" applyFont="1" applyFill="1" applyBorder="1" applyAlignment="1" applyProtection="1">
      <alignment horizontal="left" vertical="center" wrapText="1"/>
    </xf>
    <xf numFmtId="0" fontId="66" fillId="0" borderId="51" xfId="0" applyNumberFormat="1" applyFont="1" applyFill="1" applyBorder="1" applyAlignment="1" applyProtection="1">
      <alignment horizontal="center" vertical="center" wrapText="1"/>
    </xf>
    <xf numFmtId="0" fontId="0" fillId="0" borderId="1" xfId="0" applyNumberFormat="1" applyFont="1" applyFill="1" applyBorder="1" applyAlignment="1" applyProtection="1">
      <alignment horizontal="center" vertical="center"/>
    </xf>
    <xf numFmtId="0" fontId="22" fillId="0" borderId="1" xfId="0" applyNumberFormat="1" applyFont="1" applyFill="1" applyBorder="1" applyAlignment="1" applyProtection="1">
      <alignment horizontal="center" vertical="center" wrapText="1"/>
    </xf>
    <xf numFmtId="0" fontId="23" fillId="0" borderId="52" xfId="0" applyNumberFormat="1" applyFont="1" applyFill="1" applyBorder="1" applyAlignment="1" applyProtection="1">
      <alignment horizontal="center" vertical="center" wrapText="1"/>
    </xf>
    <xf numFmtId="0" fontId="68" fillId="0" borderId="49" xfId="0" applyNumberFormat="1" applyFont="1" applyFill="1" applyBorder="1" applyAlignment="1" applyProtection="1">
      <alignment horizontal="left" vertical="center" wrapText="1"/>
    </xf>
    <xf numFmtId="0" fontId="68" fillId="0" borderId="45" xfId="0" applyNumberFormat="1" applyFont="1" applyFill="1" applyBorder="1" applyAlignment="1" applyProtection="1">
      <alignment horizontal="left" vertical="center" wrapText="1"/>
    </xf>
    <xf numFmtId="0" fontId="0" fillId="0" borderId="1" xfId="0" applyNumberFormat="1" applyFont="1" applyFill="1" applyBorder="1" applyAlignment="1" applyProtection="1">
      <alignment horizontal="center" vertical="bottom"/>
    </xf>
    <xf numFmtId="0" fontId="24" fillId="0" borderId="41" xfId="0" applyNumberFormat="1" applyFont="1" applyFill="1" applyBorder="1" applyAlignment="1" applyProtection="1">
      <alignment horizontal="center" vertical="center" wrapText="1"/>
    </xf>
    <xf numFmtId="283" fontId="24" fillId="0" borderId="1" xfId="0" applyNumberFormat="1" applyFont="1" applyFill="1" applyBorder="1" applyAlignment="1" applyProtection="1">
      <alignment horizontal="center" vertical="center" wrapText="1"/>
    </xf>
    <xf numFmtId="0" fontId="65" fillId="0" borderId="21" xfId="0" applyNumberFormat="1" applyFont="1" applyFill="1" applyBorder="1" applyAlignment="1" applyProtection="1">
      <alignment horizontal="center" vertical="center" wrapText="1"/>
    </xf>
    <xf numFmtId="0" fontId="64" fillId="0" borderId="46" xfId="0" applyNumberFormat="1" applyFont="1" applyFill="1" applyBorder="1" applyAlignment="1" applyProtection="1">
      <alignment vertical="center" wrapText="1"/>
    </xf>
    <xf numFmtId="0" fontId="64" fillId="0" borderId="47" xfId="0" applyNumberFormat="1" applyFont="1" applyFill="1" applyBorder="1" applyAlignment="1" applyProtection="1">
      <alignment vertical="center" wrapText="1"/>
    </xf>
    <xf numFmtId="0" fontId="65" fillId="0" borderId="22" xfId="0" applyNumberFormat="1" applyFont="1" applyFill="1" applyBorder="1" applyAlignment="1" applyProtection="1">
      <alignment horizontal="center" vertical="center" wrapText="1"/>
    </xf>
    <xf numFmtId="0" fontId="65" fillId="0" borderId="38" xfId="0" applyNumberFormat="1" applyFont="1" applyFill="1" applyBorder="1" applyAlignment="1" applyProtection="1">
      <alignment horizontal="center" vertical="center" wrapText="1"/>
    </xf>
    <xf numFmtId="0" fontId="65" fillId="0" borderId="22" xfId="0" applyNumberFormat="1" applyFont="1" applyFill="1" applyBorder="1" applyAlignment="1" applyProtection="1">
      <alignment horizontal="center" vertical="center"/>
    </xf>
    <xf numFmtId="0" fontId="65" fillId="0" borderId="21" xfId="0" applyNumberFormat="1" applyFont="1" applyFill="1" applyBorder="1" applyAlignment="1" applyProtection="1">
      <alignment horizontal="center" vertical="center"/>
    </xf>
    <xf numFmtId="0" fontId="65" fillId="0" borderId="56" xfId="0" applyNumberFormat="1" applyFont="1" applyFill="1" applyBorder="1" applyAlignment="1" applyProtection="1">
      <alignment horizontal="center" vertical="center" wrapText="1"/>
    </xf>
    <xf numFmtId="0" fontId="65" fillId="0" borderId="44" xfId="0" applyNumberFormat="1" applyFont="1" applyFill="1" applyBorder="1" applyAlignment="1" applyProtection="1">
      <alignment horizontal="center" vertical="center" wrapText="1"/>
    </xf>
    <xf numFmtId="0" fontId="65" fillId="0" borderId="51" xfId="0" applyNumberFormat="1" applyFont="1" applyFill="1" applyBorder="1" applyAlignment="1" applyProtection="1">
      <alignment horizontal="center" vertical="center" wrapText="1"/>
    </xf>
    <xf numFmtId="0" fontId="68" fillId="0" borderId="36" xfId="0" applyNumberFormat="1" applyFont="1" applyFill="1" applyBorder="1" applyAlignment="1" applyProtection="1">
      <alignment horizontal="left" vertical="center" wrapText="1"/>
    </xf>
    <xf numFmtId="0" fontId="68" fillId="0" borderId="37" xfId="0" applyNumberFormat="1" applyFont="1" applyFill="1" applyBorder="1" applyAlignment="1" applyProtection="1">
      <alignment horizontal="left" vertical="center" wrapText="1"/>
    </xf>
    <xf numFmtId="0" fontId="68" fillId="0" borderId="44" xfId="0" applyNumberFormat="1" applyFont="1" applyFill="1" applyBorder="1" applyAlignment="1" applyProtection="1">
      <alignment horizontal="left" vertical="center" wrapText="1"/>
    </xf>
    <xf numFmtId="0" fontId="65" fillId="0" borderId="14" xfId="0" applyNumberFormat="1" applyFont="1" applyFill="1" applyBorder="1" applyAlignment="1" applyProtection="1">
      <alignment horizontal="center" vertical="center" wrapText="1"/>
    </xf>
    <xf numFmtId="0" fontId="65" fillId="0" borderId="43" xfId="0" applyNumberFormat="1" applyFont="1" applyFill="1" applyBorder="1" applyAlignment="1" applyProtection="1">
      <alignment horizontal="center" vertical="center" wrapText="1"/>
    </xf>
    <xf numFmtId="0" fontId="65" fillId="0" borderId="16" xfId="0" applyNumberFormat="1" applyFont="1" applyFill="1" applyBorder="1" applyAlignment="1" applyProtection="1">
      <alignment horizontal="center" vertical="center" wrapText="1"/>
    </xf>
    <xf numFmtId="0" fontId="65" fillId="0" borderId="44" xfId="0" applyNumberFormat="1" applyFont="1" applyFill="1" applyBorder="1" applyAlignment="1" applyProtection="1">
      <alignment horizontal="center" vertical="center" wrapText="1"/>
    </xf>
    <xf numFmtId="0" fontId="65" fillId="0" borderId="20" xfId="0" applyNumberFormat="1" applyFont="1" applyFill="1" applyBorder="1" applyAlignment="1" applyProtection="1">
      <alignment horizontal="center" vertical="center" wrapText="1"/>
    </xf>
    <xf numFmtId="0" fontId="0" fillId="0" borderId="1" xfId="0" applyNumberFormat="1" applyFont="1" applyFill="1" applyBorder="1" applyAlignment="1" applyProtection="1">
      <alignment horizontal="left" vertical="bottom"/>
    </xf>
    <xf numFmtId="387" fontId="22" fillId="5" borderId="1" xfId="0" applyNumberFormat="1" applyFont="1" applyFill="1" applyBorder="1" applyAlignment="1" applyProtection="1">
      <alignment horizontal="left" vertical="bottom"/>
    </xf>
    <xf numFmtId="0" fontId="22" fillId="9" borderId="51" xfId="0" applyNumberFormat="1" applyFont="1" applyFill="1" applyBorder="1" applyAlignment="1" applyProtection="1">
      <alignment horizontal="center" vertical="center"/>
    </xf>
    <xf numFmtId="0" fontId="0" fillId="9" borderId="1" xfId="0" applyNumberFormat="1" applyFont="1" applyFill="1" applyBorder="1" applyAlignment="1" applyProtection="1">
      <alignment horizontal="center" vertical="bottom"/>
    </xf>
    <xf numFmtId="0" fontId="0" fillId="9" borderId="1" xfId="0" applyNumberFormat="1" applyFont="1" applyFill="1" applyBorder="1" applyAlignment="1" applyProtection="1">
      <alignment horizontal="center" vertical="center"/>
    </xf>
    <xf numFmtId="0" fontId="0" fillId="9" borderId="1" xfId="0" applyNumberFormat="1" applyFont="1" applyFill="1" applyBorder="1" applyAlignment="1" applyProtection="1">
      <alignment horizontal="center" vertical="center"/>
    </xf>
    <xf numFmtId="0" fontId="19" fillId="9" borderId="1" xfId="0" applyNumberFormat="1" applyFont="1" applyFill="1" applyBorder="1" applyAlignment="1" applyProtection="1">
      <alignment horizontal="center" vertical="center" wrapText="1"/>
    </xf>
    <xf numFmtId="0" fontId="17" fillId="9" borderId="1" xfId="0" applyNumberFormat="1" applyFont="1" applyFill="1" applyBorder="1" applyAlignment="1" applyProtection="1">
      <alignment horizontal="center" vertical="center" wrapText="1"/>
    </xf>
    <xf numFmtId="0" fontId="0" fillId="9" borderId="1" xfId="0" applyNumberFormat="1" applyFont="1" applyFill="1" applyBorder="1" applyAlignment="1" applyProtection="1">
      <alignment horizontal="center" vertical="bottom"/>
    </xf>
    <xf numFmtId="0" fontId="0" fillId="0" borderId="1" xfId="0" applyNumberFormat="1" applyFont="1" applyFill="1" applyBorder="1" applyAlignment="1" applyProtection="1">
      <alignment horizontal="center" vertical="center" wrapText="1"/>
    </xf>
    <xf numFmtId="0" fontId="0" fillId="0" borderId="7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ont="1" applyFill="1" applyBorder="1" applyAlignment="1" applyProtection="1">
      <alignment horizontal="center" vertical="bottom" wrapText="1"/>
    </xf>
    <xf numFmtId="0" fontId="24" fillId="0" borderId="7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ont="1" applyFill="1" applyBorder="1" applyAlignment="1" applyProtection="1">
      <alignment vertical="bottom" wrapText="1"/>
    </xf>
    <xf numFmtId="0" fontId="0" fillId="0" borderId="1" xfId="0" applyNumberFormat="1" applyFont="1" applyFill="1" applyBorder="1" applyAlignment="1" applyProtection="1">
      <alignment vertical="bottom" wrapText="1"/>
    </xf>
    <xf numFmtId="319" fontId="0" fillId="0" borderId="1" xfId="0" applyNumberFormat="1" applyFont="1" applyFill="1" applyBorder="1" applyAlignment="1" applyProtection="1">
      <alignment horizontal="center" vertical="center" wrapText="1"/>
    </xf>
    <xf numFmtId="0" fontId="16" fillId="8" borderId="1" xfId="0" applyNumberFormat="1" applyFont="1" applyFill="1" applyBorder="1" applyAlignment="1" applyProtection="1">
      <alignment horizontal="center" vertical="center" wrapText="1"/>
    </xf>
    <xf numFmtId="0" fontId="0" fillId="8" borderId="1" xfId="0" applyNumberFormat="1" applyFont="1" applyFill="1" applyBorder="1" applyAlignment="1" applyProtection="1">
      <alignment horizontal="center" vertical="center" wrapText="1"/>
    </xf>
    <xf numFmtId="0" fontId="0" fillId="8" borderId="1" xfId="0" applyNumberFormat="1" applyFont="1" applyFill="1" applyBorder="1" applyAlignment="1" applyProtection="1">
      <alignment horizontal="center" vertical="center" wrapText="1"/>
    </xf>
    <xf numFmtId="0" fontId="0" fillId="8" borderId="7" xfId="0" applyNumberFormat="1" applyFont="1" applyFill="1" applyBorder="1" applyAlignment="1" applyProtection="1">
      <alignment horizontal="center" vertical="center" wrapText="1"/>
    </xf>
    <xf numFmtId="0" fontId="0" fillId="8" borderId="1" xfId="0" applyNumberFormat="1" applyFont="1" applyFill="1" applyBorder="1" applyAlignment="1" applyProtection="1">
      <alignment horizontal="center" vertical="center" wrapText="1"/>
    </xf>
    <xf numFmtId="0" fontId="0" fillId="0" borderId="1" xfId="0" applyNumberFormat="1" applyFont="1" applyFill="1" applyBorder="1" applyAlignment="1" applyProtection="1">
      <alignment horizontal="center" vertical="center" wrapText="1"/>
    </xf>
    <xf numFmtId="0" fontId="0" fillId="8" borderId="7" xfId="0" applyNumberFormat="1" applyFont="1" applyFill="1" applyBorder="1" applyAlignment="1" applyProtection="1">
      <alignment horizontal="center" vertical="center" wrapText="1"/>
    </xf>
  </cellXfs>
  <cellStyles>
    <cellStyle xfId="0" builtinId="0" name="常规"/>
    <cellStyle xfId="1" builtinId="3" name="千位分隔"/>
    <cellStyle xfId="2" builtinId="4" name="货币"/>
    <cellStyle xfId="3" builtinId="5" name="百分比"/>
    <cellStyle xfId="4" builtinId="6" name="千位分隔[0]"/>
    <cellStyle xfId="5" builtinId="7" name="货币[0]"/>
    <cellStyle xfId="6" builtinId="8" name="超链接"/>
    <cellStyle xfId="7" builtinId="9" name="已访问的超链接"/>
    <cellStyle xfId="8" builtinId="10" name="注释"/>
    <cellStyle xfId="9" builtinId="11" name="警告文本"/>
    <cellStyle xfId="10" builtinId="15" name="标题"/>
    <cellStyle xfId="11" builtinId="53" name="解释性文本"/>
    <cellStyle xfId="12" builtinId="16" name="标题 1"/>
    <cellStyle xfId="13" builtinId="17" name="标题 2"/>
    <cellStyle xfId="14" builtinId="18" name="标题 3"/>
    <cellStyle xfId="15" builtinId="19" name="标题 4"/>
    <cellStyle xfId="16" builtinId="20" name="输入"/>
    <cellStyle xfId="17" builtinId="21" name="输出"/>
    <cellStyle xfId="18" builtinId="22" name="计算"/>
    <cellStyle xfId="19" builtinId="23" name="检查单元格"/>
    <cellStyle xfId="20" builtinId="24" name="链接单元格"/>
    <cellStyle xfId="21" builtinId="25" name="汇总"/>
    <cellStyle xfId="22" builtinId="26" name="好"/>
    <cellStyle xfId="23" builtinId="27" name="差"/>
    <cellStyle xfId="24" builtinId="28" name="适中"/>
    <cellStyle xfId="25" builtinId="29" name="着色 1"/>
    <cellStyle xfId="26" builtinId="30" name="20% - 着色 1"/>
    <cellStyle xfId="27" builtinId="31" name="40% - 着色 1"/>
    <cellStyle xfId="28" builtinId="32" name="60% - 着色 1"/>
    <cellStyle xfId="29" builtinId="33" name="着色 2"/>
    <cellStyle xfId="30" builtinId="34" name="20% - 着色 2"/>
    <cellStyle xfId="31" builtinId="35" name="40% - 着色 2"/>
    <cellStyle xfId="32" builtinId="36" name="60% - 着色 2"/>
    <cellStyle xfId="33" builtinId="37" name="着色 3"/>
    <cellStyle xfId="34" builtinId="38" name="20% - 着色 3"/>
    <cellStyle xfId="35" builtinId="39" name="40% - 着色 3"/>
    <cellStyle xfId="36" builtinId="40" name="60% - 着色 3"/>
    <cellStyle xfId="37" builtinId="41" name="着色 4"/>
    <cellStyle xfId="38" builtinId="42" name="20% - 着色 4"/>
    <cellStyle xfId="39" builtinId="43" name="40% - 着色 4"/>
    <cellStyle xfId="40" builtinId="44" name="60% - 着色 4"/>
    <cellStyle xfId="41" builtinId="45" name="着色 5"/>
    <cellStyle xfId="42" builtinId="46" name="20% - 着色 5"/>
    <cellStyle xfId="43" builtinId="47" name="40% - 着色 5"/>
    <cellStyle xfId="44" builtinId="48" name="60% - 着色 5"/>
    <cellStyle xfId="45" builtinId="49" name="着色 6"/>
    <cellStyle xfId="46" builtinId="50" name="20% - 着色 6"/>
    <cellStyle xfId="47" builtinId="51" name="40% - 着色 6"/>
    <cellStyle xfId="48" builtinId="52" name="60% - 着色 6"/>
    <cellStyle xfId="49" name="常规 2"/>
    <cellStyle xfId="50" name="常规 3"/>
  </cellStyles>
  <dxfs>
    <dxf/>
    <dxf>
      <fill>
        <patternFill patternType="solid">
          <fgColor rgb="FFFF0000"/>
          <bgColor rgb="FFFF0000"/>
        </patternFill>
      </fill>
      <protection locked="0"/>
    </dxf>
  </dxfs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worksheet" Target="worksheets/sheet1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worksheet" Target="worksheets/sheet6.xml" Id="rId7" /><Relationship Type="http://schemas.openxmlformats.org/officeDocument/2006/relationships/worksheet" Target="worksheets/sheet7.xml" Id="rId8" /><Relationship Type="http://schemas.openxmlformats.org/officeDocument/2006/relationships/worksheet" Target="worksheets/sheet8.xml" Id="rId9" /><Relationship Type="http://schemas.openxmlformats.org/officeDocument/2006/relationships/worksheet" Target="worksheets/sheet9.xml" Id="rId10" /><Relationship Type="http://schemas.openxmlformats.org/officeDocument/2006/relationships/worksheet" Target="worksheets/sheet10.xml" Id="rId11" /><Relationship Type="http://schemas.openxmlformats.org/officeDocument/2006/relationships/worksheet" Target="worksheets/sheet11.xml" Id="rId12" /><Relationship Type="http://schemas.openxmlformats.org/officeDocument/2006/relationships/worksheet" Target="worksheets/sheet12.xml" Id="rId13" /><Relationship Type="http://schemas.openxmlformats.org/officeDocument/2006/relationships/worksheet" Target="worksheets/sheet13.xml" Id="rId14" /><Relationship Type="http://schemas.openxmlformats.org/officeDocument/2006/relationships/worksheet" Target="worksheets/sheet14.xml" Id="rId15" /><Relationship Type="http://schemas.openxmlformats.org/officeDocument/2006/relationships/worksheet" Target="worksheets/sheet15.xml" Id="rId16" /><Relationship Type="http://schemas.openxmlformats.org/officeDocument/2006/relationships/worksheet" Target="worksheets/sheet16.xml" Id="rId17" /><Relationship Type="http://schemas.openxmlformats.org/officeDocument/2006/relationships/externalLink" Target="externalLinks/externalLink1.xml" Id="rId18" /><Relationship Type="http://schemas.openxmlformats.org/officeDocument/2006/relationships/sheetMetadata" Target="metadata.xml" Id="rId20" /><Relationship Type="http://schemas.openxmlformats.org/officeDocument/2006/relationships/sharedStrings" Target="sharedStrings.xml" Id="rId21" /><Relationship Type="http://schemas.openxmlformats.org/officeDocument/2006/relationships/styles" Target="styles.xml" Id="rId2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xsi="http://www.w3.org/2001/XMLSchema-instance" xmlns:xsd="http://www.w3.org/2001/XMLSchema" xmlns="http://schemas.openxmlformats.org/drawingml/2006/spreadsheetDrawing">
  <twoCellAnchor>
    <from>
      <col>0</col>
      <colOff>38100</colOff>
      <row>0</row>
      <rowOff>57150</rowOff>
    </from>
    <to>
      <col>1</col>
      <colOff>571500</colOff>
      <row>2</row>
      <rowOff>180975</rowOff>
    </to>
    <sp>
      <nvSpPr>
        <cNvPr id="2" name="图片 1"/>
        <cNvSpPr/>
      </nvSpPr>
      <spPr>
        <xfrm xmlns="http://schemas.openxmlformats.org/drawingml/2006/main">
          <off x="38100" y="57150"/>
          <ext cx="942975" cy="638175"/>
        </xfrm>
        <prstGeom xmlns="http://schemas.openxmlformats.org/drawingml/2006/main" prst="rect">
          <avLst/>
        </prstGeom>
        <blipFill xmlns="http://schemas.openxmlformats.org/drawingml/2006/main">
          <blip xmlns:d6p1="http://schemas.openxmlformats.org/officeDocument/2006/relationships" d6p1:embed="rId1"/>
          <stretch>
            <fillRect/>
          </stretch>
        </blipFill>
      </spPr>
      <txBody>
        <bodyPr xmlns="http://schemas.openxmlformats.org/drawingml/2006/main" vertOverflow="clip" horzOverflow="clip" vert="horz" wrap="square" rtlCol="0" anchor="ctr" upright="1"/>
        <lstStyle xmlns="http://schemas.openxmlformats.org/drawingml/2006/main"/>
        <p xmlns="http://schemas.openxmlformats.org/drawingml/2006/main">
          <pPr algn="ctr"/>
          <endParaRPr lang="en-US" sz="825">
            <solidFill>
              <srgbClr val="000000"/>
            </solidFill>
            <latin typeface="Microsoft Sans Serif"/>
          </endParaRPr>
        </p>
      </txBody>
    </sp>
    <clientData fLocksWithSheet="0"/>
  </twoCellAnchor>
</wsDr>
</file>

<file path=xl/externalLinks/_rels/externalLink1.xml.rels>&#65279;<?xml version="1.0" encoding="utf-8"?><Relationships xmlns="http://schemas.openxmlformats.org/package/2006/relationships"><Relationship Type="http://schemas.openxmlformats.org/officeDocument/2006/relationships/externalLinkPath" Target="\DSCode\PCTY\&#32043;&#22806;\&#39537;&#21160;\validation\ValidationWin\bin\Debug\Template\temp&#26816;&#39564;\T600T700-FixedSlit.xlsx" TargetMode="External" Id="rId1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eport"/>
      <sheetName val="基础信息"/>
      <sheetName val="测量结果表"/>
      <sheetName val="管理表"/>
      <sheetName val="对应信息"/>
      <sheetName val="检测项信息"/>
      <sheetName val="仪器状态"/>
      <sheetName val="样品池准确度与重复性校验"/>
      <sheetName val="标准值"/>
      <sheetName val="字段对应"/>
      <sheetName val="波长示值误差与重复性校验"/>
      <sheetName val="透射比示值误差与重复性校验"/>
      <sheetName val="杂散光校验"/>
      <sheetName val="基线平直度检验"/>
      <sheetName val="基线暗噪声检验"/>
      <sheetName val="光谱带宽与仪器最小光谱带宽"/>
      <sheetName val="噪声检验"/>
      <sheetName val="波长边缘噪声"/>
      <sheetName val="漂移检验"/>
    </sheetNames>
    <sheetDataSet>
      <sheetData sheetId="0"/>
      <sheetData sheetId="1">
        <row r="2">
          <cell r="F2" t="str">
            <v>钨灯</v>
          </cell>
          <cell r="G2">
            <v>0</v>
          </cell>
          <cell r="I2" t="str">
            <v>Abs</v>
          </cell>
          <cell r="J2">
            <v>0</v>
          </cell>
          <cell r="K2" t="str">
            <v>极慢</v>
          </cell>
          <cell r="L2">
            <v>0</v>
          </cell>
        </row>
        <row r="3">
          <cell r="F3" t="str">
            <v>氘灯</v>
          </cell>
          <cell r="G3">
            <v>1</v>
          </cell>
          <cell r="I3" t="str">
            <v>T%</v>
          </cell>
          <cell r="J3">
            <v>1</v>
          </cell>
          <cell r="K3" t="str">
            <v>慢速</v>
          </cell>
          <cell r="L3">
            <v>1</v>
          </cell>
        </row>
        <row r="4">
          <cell r="F4" t="str">
            <v>汞灯</v>
          </cell>
          <cell r="G4">
            <v>2</v>
          </cell>
          <cell r="I4" t="str">
            <v>Es</v>
          </cell>
          <cell r="J4">
            <v>2</v>
          </cell>
          <cell r="K4" t="str">
            <v>中速</v>
          </cell>
          <cell r="L4">
            <v>2</v>
          </cell>
        </row>
        <row r="5">
          <cell r="I5" t="str">
            <v>Er</v>
          </cell>
          <cell r="J5">
            <v>3</v>
          </cell>
          <cell r="K5" t="str">
            <v>快速</v>
          </cell>
          <cell r="L5">
            <v>3</v>
          </cell>
        </row>
        <row r="6">
          <cell r="I6" t="str">
            <v>R%</v>
          </cell>
          <cell r="J6">
            <v>4</v>
          </cell>
          <cell r="K6" t="str">
            <v>极快</v>
          </cell>
          <cell r="L6">
            <v>4</v>
          </cell>
        </row>
      </sheetData>
      <sheetData sheetId="2"/>
      <sheetData sheetId="3"/>
      <sheetData sheetId="4"/>
      <sheetData sheetId="5">
        <row r="12">
          <cell r="H12">
            <v>250</v>
          </cell>
          <cell r="W12" t="str">
            <v>黑挡块</v>
          </cell>
        </row>
      </sheetData>
      <sheetData sheetId="6"/>
      <sheetData sheetId="7"/>
      <sheetData sheetId="8"/>
      <sheetData sheetId="9">
        <row r="2">
          <cell r="C2" t="str">
            <v>WlRange</v>
          </cell>
        </row>
        <row r="10">
          <cell r="B10" t="str">
            <v>PhotoMode</v>
          </cell>
        </row>
        <row r="11">
          <cell r="B11" t="str">
            <v>ScanSpeed</v>
          </cell>
        </row>
        <row r="13">
          <cell r="B13" t="str">
            <v>Gain</v>
          </cell>
        </row>
        <row r="14">
          <cell r="B14" t="str">
            <v>Slit1</v>
          </cell>
        </row>
        <row r="15">
          <cell r="B15" t="str">
            <v>Wl</v>
          </cell>
        </row>
        <row r="16">
          <cell r="B16" t="str">
            <v>Dark</v>
          </cell>
        </row>
        <row r="17">
          <cell r="B17" t="str">
            <v>Zero</v>
          </cell>
          <cell r="C17" t="str">
            <v>BaseLine</v>
          </cell>
        </row>
        <row r="18">
          <cell r="B18" t="str">
            <v>Measure</v>
          </cell>
          <cell r="C18" t="str">
            <v>Scan</v>
          </cell>
        </row>
        <row r="19">
          <cell r="B19" t="str">
            <v>timeinterval</v>
          </cell>
        </row>
        <row r="20">
          <cell r="B20" t="str">
            <v>totalcount</v>
          </cell>
        </row>
        <row r="21">
          <cell r="B21" t="str">
            <v>LampPos</v>
          </cell>
        </row>
        <row r="22">
          <cell r="B22" t="str">
            <v>ResponseTime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xmlns:gc="http://schemas.grapecity.com/office/spreadsheet/2018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mc="http://schemas.openxmlformats.org/markup-compatibility/2006" xmlns:x14ac="http://schemas.microsoft.com/office/spreadsheetml/2009/9/ac" xmlns:x14="http://schemas.microsoft.com/office/spreadsheetml/2009/9/main" xmlns:r="http://schemas.openxmlformats.org/officeDocument/2006/relationships" xmlns="http://schemas.openxmlformats.org/spreadsheetml/2006/main" mc:Ignorable="x14ac">
  <sheetPr/>
  <dimension ref="A1:O54"/>
  <sheetViews>
    <sheetView topLeftCell="A1" workbookViewId="0" showGridLines="0" zoomScalePageLayoutView="80">
      <pane topLeftCell="A1"/>
      <selection activeCellId="0" activeCell="H17" sqref="H17:J17"/>
    </sheetView>
  </sheetViews>
  <sheetFormatPr defaultColWidth="9" defaultRowHeight="14.25" customHeight="1"/>
  <cols>
    <col min="1" max="1" width="5.38" customWidth="1" style="122"/>
    <col min="2" max="2" width="8.75" customWidth="1" style="122"/>
    <col min="3" max="3" width="8.13" customWidth="1" style="122"/>
    <col min="4" max="5" width="8.5" customWidth="1" style="122"/>
    <col min="6" max="6" width="3.38" customWidth="1" style="122"/>
    <col min="7" max="7" width="3.5" customWidth="1" style="122"/>
    <col min="8" max="8" width="7.13" customWidth="1" style="122"/>
    <col min="9" max="9" width="3.75" customWidth="1" style="122"/>
    <col min="10" max="10" width="6.75" customWidth="1" style="122"/>
    <col min="11" max="11" width="7.5" customWidth="1" style="122"/>
    <col min="12" max="12" width="6.88" customWidth="1" style="122"/>
    <col min="13" max="13" width="8.5" customWidth="1" style="122"/>
    <col min="14" max="14" width="4.75" customWidth="1" style="122"/>
    <col min="15" max="15" width="4.63" customWidth="1" style="170"/>
    <col min="16" max="16384" width="9" style="122"/>
  </cols>
  <sheetData>
    <row r="1" ht="20.25" customHeight="1">
      <c r="A1" s="430"/>
      <c s="431"/>
      <c s="211" t="s">
        <v>0</v>
      </c>
      <c s="420"/>
      <c s="420"/>
      <c s="420"/>
      <c s="420"/>
      <c s="420"/>
      <c s="420"/>
      <c s="420"/>
      <c s="409"/>
      <c s="354" t="s">
        <v>1</v>
      </c>
      <c s="417"/>
      <c s="213"/>
      <c s="423"/>
    </row>
    <row r="2" ht="20.25" customHeight="1">
      <c r="A2" s="229"/>
      <c s="348"/>
      <c s="356" t="s">
        <v>2</v>
      </c>
      <c s="317"/>
      <c s="317"/>
      <c s="317"/>
      <c s="317"/>
      <c s="317"/>
      <c s="317"/>
      <c s="317"/>
      <c s="357"/>
      <c s="354" t="s">
        <v>3</v>
      </c>
      <c s="417"/>
      <c s="213"/>
      <c s="423"/>
    </row>
    <row r="3" ht="20.25" customHeight="1">
      <c r="A3" s="228"/>
      <c s="349"/>
      <c s="172"/>
      <c s="299"/>
      <c s="299"/>
      <c s="299"/>
      <c s="299"/>
      <c s="299"/>
      <c s="299"/>
      <c s="299"/>
      <c s="353"/>
      <c s="176" t="s">
        <v>4</v>
      </c>
      <c s="355"/>
      <c s="221"/>
      <c s="358"/>
    </row>
    <row r="4" ht="18" customHeight="1">
      <c r="A4" s="334" t="s">
        <v>5</v>
      </c>
      <c s="335"/>
      <c s="336"/>
      <c s="322" t="s">
        <v>6</v>
      </c>
      <c s="224"/>
      <c s="224"/>
      <c s="323"/>
      <c s="337" t="s">
        <v>7</v>
      </c>
      <c s="305"/>
      <c s="305"/>
      <c s="338"/>
      <c s="334" t="s">
        <v>8</v>
      </c>
      <c s="336"/>
      <c s="334" t="s">
        <v>9</v>
      </c>
      <c s="336"/>
    </row>
    <row r="5" ht="18" customHeight="1">
      <c r="A5" s="334" t="str">
        <f>IFERROR(VLOOKUP(MID(D5,3,5),'对应信息'!A:B,2,0),"")</f>
        <v>T600A</v>
      </c>
      <c s="335"/>
      <c s="336"/>
      <c s="227" t="s">
        <v>310</v>
      </c>
      <c s="240"/>
      <c s="240"/>
      <c s="339"/>
      <c s="379">
        <v>3</v>
      </c>
      <c s="214"/>
      <c s="214"/>
      <c s="225"/>
      <c s="334"/>
      <c s="336"/>
      <c s="334"/>
      <c s="336"/>
    </row>
    <row r="6" ht="18" customHeight="1">
      <c r="A6" s="330" t="s">
        <v>10</v>
      </c>
      <c s="331"/>
      <c s="330"/>
      <c s="331"/>
      <c s="332" t="s">
        <v>11</v>
      </c>
      <c s="304"/>
      <c s="333"/>
      <c s="182"/>
      <c s="181"/>
      <c s="181"/>
      <c s="303"/>
      <c s="330" t="s">
        <v>12</v>
      </c>
      <c s="331"/>
      <c s="330"/>
      <c s="331"/>
    </row>
    <row r="7" ht="18" customHeight="1">
      <c r="A7" s="322" t="s">
        <v>13</v>
      </c>
      <c s="323"/>
      <c s="324"/>
      <c s="325"/>
      <c s="324" t="s">
        <v>14</v>
      </c>
      <c s="226"/>
      <c s="325"/>
      <c s="324"/>
      <c s="226"/>
      <c s="325"/>
      <c s="341" t="s">
        <v>15</v>
      </c>
      <c s="306"/>
      <c s="346" t="s">
        <v>311</v>
      </c>
      <c s="321"/>
      <c s="230"/>
    </row>
    <row r="8" ht="18.75" customHeight="1">
      <c r="A8" s="347" t="s">
        <v>16</v>
      </c>
      <c s="326" t="s">
        <v>17</v>
      </c>
      <c s="301"/>
      <c s="327"/>
      <c s="342" t="s">
        <v>18</v>
      </c>
      <c s="343"/>
      <c s="343"/>
      <c s="343"/>
      <c s="343"/>
      <c s="343"/>
      <c s="343"/>
      <c s="343"/>
      <c s="343"/>
      <c s="343"/>
      <c s="344"/>
    </row>
    <row r="9" ht="30" customHeight="1">
      <c r="A9" s="188">
        <v>1</v>
      </c>
      <c s="350" t="s">
        <v>19</v>
      </c>
      <c s="171"/>
      <c s="436" t="s">
        <v>20</v>
      </c>
      <c s="442"/>
      <c s="444"/>
      <c s="407" t="s">
        <v>21</v>
      </c>
      <c s="446"/>
      <c s="405"/>
      <c s="350">
        <f>'样品池重复性'!B2</f>
      </c>
      <c s="171"/>
      <c s="223" t="s">
        <v>22</v>
      </c>
      <c s="222">
        <f>'样品池重复性'!B8</f>
        <v>0</v>
      </c>
      <c s="174"/>
      <c s="171"/>
    </row>
    <row r="10" ht="18.75" customHeight="1">
      <c r="A10" s="33">
        <v>2</v>
      </c>
      <c s="179" t="s">
        <v>23</v>
      </c>
      <c s="322" t="s">
        <v>24</v>
      </c>
      <c s="323"/>
      <c s="360" t="s">
        <v>25</v>
      </c>
      <c s="360"/>
      <c s="309"/>
      <c s="361" t="s">
        <v>26</v>
      </c>
      <c s="195"/>
      <c s="196"/>
      <c s="217" t="s">
        <v>27</v>
      </c>
      <c s="175"/>
      <c s="334" t="s">
        <v>28</v>
      </c>
      <c s="335"/>
      <c s="336"/>
    </row>
    <row r="11" ht="18.75" customHeight="1">
      <c r="A11" s="180"/>
      <c s="179"/>
      <c s="203" t="s">
        <v>29</v>
      </c>
      <c s="202"/>
      <c s="219" t="str">
        <f>'波长拟合'!C2</f>
        <v>Es</v>
      </c>
      <c s="219"/>
      <c s="220"/>
      <c s="219">
        <f>'波长拟合'!D2</f>
        <v>4</v>
      </c>
      <c s="219"/>
      <c s="220"/>
      <c s="217">
        <f>'波长拟合'!B2</f>
        <v>486</v>
      </c>
      <c s="175"/>
      <c s="217">
        <f>'波长拟合'!F2</f>
      </c>
      <c s="359"/>
      <c s="175"/>
    </row>
    <row r="12" ht="18.75" customHeight="1">
      <c r="A12" s="180"/>
      <c s="179"/>
      <c s="199"/>
      <c s="312"/>
      <c s="219" t="str">
        <f>'波长拟合'!C3</f>
        <v>Es</v>
      </c>
      <c s="219"/>
      <c s="220"/>
      <c s="219">
        <f>'波长拟合'!D3</f>
        <v>4</v>
      </c>
      <c s="219"/>
      <c s="220"/>
      <c s="217">
        <f>'波长拟合'!B3</f>
        <v>656.1</v>
      </c>
      <c s="175"/>
      <c s="217">
        <f>'波长拟合'!F3</f>
      </c>
      <c s="359"/>
      <c s="175"/>
    </row>
    <row r="13" ht="18.75" customHeight="1">
      <c r="A13" s="180"/>
      <c s="179"/>
      <c s="322" t="s">
        <v>30</v>
      </c>
      <c s="323"/>
      <c s="219" t="str">
        <f>'波长拟合'!C4</f>
        <v>Abs</v>
      </c>
      <c s="219"/>
      <c s="220"/>
      <c s="219">
        <f>'波长拟合'!D4</f>
      </c>
      <c s="219"/>
      <c s="220"/>
      <c s="217">
        <f>'波长拟合'!B4</f>
        <v>807.4</v>
      </c>
      <c s="175"/>
      <c s="217">
        <f>'波长拟合'!F4</f>
      </c>
      <c s="359"/>
      <c s="175"/>
    </row>
    <row r="14" ht="18.75" customHeight="1">
      <c r="A14" s="180"/>
      <c s="179"/>
      <c s="302" t="s">
        <v>31</v>
      </c>
      <c s="231"/>
      <c s="219" t="str">
        <f>'波长拟合'!C5</f>
        <v>Abs</v>
      </c>
      <c s="219"/>
      <c s="220"/>
      <c s="219">
        <f>'波长拟合'!D5</f>
      </c>
      <c s="219"/>
      <c s="220"/>
      <c s="217">
        <f>'波长拟合'!B5</f>
        <v>241</v>
      </c>
      <c s="175"/>
      <c s="217">
        <f>'波长拟合'!F5</f>
      </c>
      <c s="359"/>
      <c s="175"/>
    </row>
    <row r="15" ht="18.75" customHeight="1">
      <c r="A15" s="180"/>
      <c s="179"/>
      <c s="191"/>
      <c s="362"/>
      <c s="219" t="str">
        <f>'波长拟合'!C6</f>
        <v>Abs</v>
      </c>
      <c s="219"/>
      <c s="220"/>
      <c s="219">
        <f>'波长拟合'!D6</f>
      </c>
      <c s="219"/>
      <c s="220"/>
      <c s="217">
        <f>'波长拟合'!B6</f>
        <v>361</v>
      </c>
      <c s="175"/>
      <c s="217">
        <f>'波长拟合'!F6</f>
      </c>
      <c s="359"/>
      <c s="175"/>
    </row>
    <row r="16" ht="18.75" customHeight="1">
      <c r="A16" s="180"/>
      <c s="179"/>
      <c s="200"/>
      <c s="201"/>
      <c s="219" t="str">
        <f>'波长拟合'!C7</f>
        <v>Abs</v>
      </c>
      <c s="219"/>
      <c s="220"/>
      <c s="219">
        <f>'波长拟合'!D7</f>
      </c>
      <c s="219"/>
      <c s="220"/>
      <c s="217">
        <f>'波长拟合'!B7</f>
        <v>640.7</v>
      </c>
      <c s="175"/>
      <c s="217">
        <f>'波长拟合'!F7</f>
      </c>
      <c s="359"/>
      <c s="175"/>
    </row>
    <row r="17" ht="18.75" customHeight="1">
      <c r="A17" s="180"/>
      <c s="179"/>
      <c s="302" t="s">
        <v>32</v>
      </c>
      <c s="231"/>
      <c s="219" t="str">
        <f>'波长拟合'!C8</f>
        <v>Es</v>
      </c>
      <c s="219"/>
      <c s="220"/>
      <c s="219">
        <f>'波长拟合'!D8</f>
        <v>3</v>
      </c>
      <c s="219"/>
      <c s="220"/>
      <c s="217">
        <f>'波长拟合'!B8</f>
        <v>296.7</v>
      </c>
      <c s="175"/>
      <c s="217">
        <f>'波长拟合'!F8</f>
      </c>
      <c s="359"/>
      <c s="175"/>
    </row>
    <row r="18" ht="18.75" customHeight="1">
      <c r="A18" s="180"/>
      <c s="179"/>
      <c s="191"/>
      <c s="362"/>
      <c s="219" t="str">
        <f>'波长拟合'!C9</f>
        <v>Es</v>
      </c>
      <c s="219"/>
      <c s="220"/>
      <c s="219">
        <f>'波长拟合'!D9</f>
        <v>3</v>
      </c>
      <c s="219"/>
      <c s="220"/>
      <c s="217">
        <f>'波长拟合'!B9</f>
        <v>404.7</v>
      </c>
      <c s="175"/>
      <c s="217">
        <f>'波长拟合'!F9</f>
      </c>
      <c s="359"/>
      <c s="175"/>
    </row>
    <row r="19" ht="18.75" customHeight="1">
      <c r="A19" s="180"/>
      <c s="179"/>
      <c s="191"/>
      <c s="362"/>
      <c s="219" t="str">
        <f>'波长拟合'!C10</f>
        <v>Es</v>
      </c>
      <c s="219"/>
      <c s="220"/>
      <c s="219">
        <f>'波长拟合'!D10</f>
        <v>3</v>
      </c>
      <c s="219"/>
      <c s="220"/>
      <c s="217">
        <f>'波长拟合'!B10</f>
        <v>435.8</v>
      </c>
      <c s="175"/>
      <c s="217">
        <f>'波长拟合'!F10</f>
      </c>
      <c s="359"/>
      <c s="175"/>
    </row>
    <row r="20" ht="18.75" customHeight="1">
      <c r="A20" s="364"/>
      <c s="179"/>
      <c s="191"/>
      <c s="362"/>
      <c s="219" t="str">
        <f>'波长拟合'!C11</f>
        <v>Es</v>
      </c>
      <c s="219"/>
      <c s="220"/>
      <c s="219">
        <f>'波长拟合'!D11</f>
        <v>3</v>
      </c>
      <c s="219"/>
      <c s="220"/>
      <c s="217">
        <f>'波长拟合'!B11</f>
        <v>546.1</v>
      </c>
      <c s="175"/>
      <c s="217">
        <f>'波长拟合'!F11</f>
      </c>
      <c s="359"/>
      <c s="175"/>
    </row>
    <row r="21" ht="18.75" customHeight="1">
      <c r="A21" s="363">
        <v>3</v>
      </c>
      <c s="313" t="s">
        <v>33</v>
      </c>
      <c s="322" t="s">
        <v>24</v>
      </c>
      <c s="323"/>
      <c s="322" t="s">
        <v>34</v>
      </c>
      <c s="224"/>
      <c s="224"/>
      <c s="323"/>
      <c s="386" t="s">
        <v>35</v>
      </c>
      <c s="387"/>
      <c s="324" t="s">
        <v>36</v>
      </c>
      <c s="325"/>
      <c s="324"/>
      <c s="226"/>
      <c s="325"/>
    </row>
    <row r="22" ht="18.75" customHeight="1">
      <c r="A22" s="365"/>
      <c s="365"/>
      <c s="203" t="s">
        <v>29</v>
      </c>
      <c s="202"/>
      <c s="183" t="s">
        <v>37</v>
      </c>
      <c s="314"/>
      <c s="314"/>
      <c s="367"/>
      <c s="386" t="str">
        <f>'能量扫描'!B2</f>
        <v>486</v>
      </c>
      <c s="387"/>
      <c s="386">
        <f>'能量扫描'!C2</f>
      </c>
      <c s="387"/>
      <c s="324"/>
      <c s="226"/>
      <c s="325"/>
    </row>
    <row r="23" ht="18.75" customHeight="1">
      <c r="A23" s="365"/>
      <c s="365"/>
      <c s="368"/>
      <c s="369"/>
      <c s="183" t="s">
        <v>38</v>
      </c>
      <c s="314"/>
      <c s="314"/>
      <c s="367"/>
      <c s="386" t="str">
        <f>'能量扫描'!B3</f>
        <v>656.1</v>
      </c>
      <c s="387"/>
      <c s="386">
        <f>'能量扫描'!C3</f>
      </c>
      <c s="387"/>
      <c s="324"/>
      <c s="226"/>
      <c s="325"/>
    </row>
    <row r="24" ht="18.75" customHeight="1">
      <c r="A24" s="365"/>
      <c s="365"/>
      <c s="199"/>
      <c s="312"/>
      <c s="183" t="s">
        <v>39</v>
      </c>
      <c s="314"/>
      <c s="314"/>
      <c s="367"/>
      <c s="386"/>
      <c s="387"/>
      <c s="324"/>
      <c s="325"/>
      <c s="324"/>
      <c s="226"/>
      <c s="325"/>
    </row>
    <row r="25" ht="18.75" customHeight="1">
      <c r="A25" s="366"/>
      <c s="366"/>
      <c s="322" t="s">
        <v>40</v>
      </c>
      <c s="323"/>
      <c s="183" t="s">
        <v>41</v>
      </c>
      <c s="314"/>
      <c s="314"/>
      <c s="367"/>
      <c s="386"/>
      <c s="387"/>
      <c s="324"/>
      <c s="325"/>
      <c s="324"/>
      <c s="226"/>
      <c s="325"/>
    </row>
    <row r="26" ht="18.75" customHeight="1">
      <c r="A26" s="75">
        <v>4</v>
      </c>
      <c s="204" t="s">
        <v>42</v>
      </c>
      <c s="371" t="s">
        <v>43</v>
      </c>
      <c s="374"/>
      <c s="334" t="s">
        <v>44</v>
      </c>
      <c s="335"/>
      <c s="336"/>
      <c s="334" t="s">
        <v>45</v>
      </c>
      <c s="335"/>
      <c s="335"/>
      <c s="335"/>
      <c s="335"/>
      <c s="335"/>
      <c s="335"/>
      <c s="336"/>
    </row>
    <row r="27" ht="18.75" customHeight="1">
      <c r="A27" s="315"/>
      <c s="315"/>
      <c s="372"/>
      <c s="375"/>
      <c s="334" t="s">
        <v>24</v>
      </c>
      <c s="335"/>
      <c s="336"/>
      <c s="334" t="s">
        <v>29</v>
      </c>
      <c s="335"/>
      <c s="336"/>
      <c s="217" t="s">
        <v>29</v>
      </c>
      <c s="175"/>
      <c s="334" t="s">
        <v>30</v>
      </c>
      <c s="335"/>
      <c s="336"/>
    </row>
    <row r="28" ht="18.75" customHeight="1">
      <c r="A28" s="315"/>
      <c s="315"/>
      <c s="372"/>
      <c s="375"/>
      <c s="334" t="s">
        <v>27</v>
      </c>
      <c s="335"/>
      <c s="336"/>
      <c s="217" t="str">
        <f>'波长示值误差校验'!B2</f>
        <v>656.1</v>
      </c>
      <c s="359"/>
      <c s="175"/>
      <c s="217" t="str">
        <f>'波长示值误差校验'!B3</f>
        <v>486</v>
      </c>
      <c s="175"/>
      <c s="217" t="str">
        <f>'波长示值误差校验'!B4</f>
        <v>807.4</v>
      </c>
      <c s="359"/>
      <c s="175"/>
    </row>
    <row r="29" ht="18.75" customHeight="1">
      <c r="A29" s="315"/>
      <c s="315"/>
      <c s="372"/>
      <c s="375"/>
      <c s="334" t="s">
        <v>28</v>
      </c>
      <c s="335"/>
      <c s="336"/>
      <c s="384">
        <f>'波长示值误差校验'!C2</f>
      </c>
      <c s="389"/>
      <c s="385"/>
      <c s="384">
        <f>'波长示值误差校验'!C3</f>
      </c>
      <c s="385"/>
      <c s="384">
        <f>'波长示值误差校验'!C4</f>
      </c>
      <c s="389"/>
      <c s="385"/>
    </row>
    <row r="30" ht="18.75" customHeight="1">
      <c r="A30" s="315"/>
      <c s="370"/>
      <c s="373"/>
      <c s="376"/>
      <c s="334" t="s">
        <v>46</v>
      </c>
      <c s="335"/>
      <c s="336"/>
      <c s="384" t="str">
        <f>'波长示值误差校验'!D2</f>
        <v/>
      </c>
      <c s="389"/>
      <c s="385"/>
      <c s="384" t="str">
        <f>'波长示值误差校验'!D3</f>
        <v/>
      </c>
      <c s="385"/>
      <c s="384" t="str">
        <f>'波长示值误差校验'!D4</f>
        <v/>
      </c>
      <c s="389"/>
      <c s="385"/>
    </row>
    <row r="31" ht="18.75" customHeight="1">
      <c r="A31" s="315"/>
      <c s="204" t="s">
        <v>47</v>
      </c>
      <c s="371" t="s">
        <v>48</v>
      </c>
      <c s="374"/>
      <c s="334" t="s">
        <v>24</v>
      </c>
      <c s="335"/>
      <c s="336"/>
      <c s="334" t="s">
        <v>31</v>
      </c>
      <c s="335"/>
      <c s="335"/>
      <c s="335"/>
      <c s="335"/>
      <c s="335"/>
      <c s="335"/>
      <c s="336"/>
    </row>
    <row r="32" ht="18.75" customHeight="1">
      <c r="A32" s="315"/>
      <c s="315"/>
      <c s="372"/>
      <c s="375"/>
      <c s="371" t="s">
        <v>27</v>
      </c>
      <c s="390"/>
      <c s="374"/>
      <c s="218" t="str">
        <f>'波长示值误差校验'!B5</f>
        <v>640.7</v>
      </c>
      <c s="187"/>
      <c s="318" t="str">
        <f>'波长示值误差校验'!B6</f>
        <v>536.8</v>
      </c>
      <c s="318" t="str">
        <f>'波长示值误差校验'!B7</f>
        <v>416.5</v>
      </c>
      <c s="318" t="str">
        <f>'波长示值误差校验'!B8</f>
        <v>361.0</v>
      </c>
      <c s="318" t="str">
        <f>'波长示值误差校验'!B9</f>
        <v>287.4</v>
      </c>
      <c s="218" t="str">
        <f>'波长示值误差校验'!B10</f>
        <v>241.0</v>
      </c>
      <c s="187"/>
    </row>
    <row r="33" ht="19.5" customHeight="1">
      <c r="A33" s="315"/>
      <c s="315"/>
      <c s="372"/>
      <c s="375"/>
      <c s="373"/>
      <c s="392"/>
      <c s="376"/>
      <c s="186"/>
      <c s="300"/>
      <c s="388"/>
      <c s="388"/>
      <c s="388"/>
      <c s="388"/>
      <c s="186"/>
      <c s="300"/>
    </row>
    <row r="34" ht="18.75" customHeight="1">
      <c r="A34" s="315"/>
      <c s="315"/>
      <c s="372"/>
      <c s="375"/>
      <c s="371" t="s">
        <v>28</v>
      </c>
      <c s="390"/>
      <c s="374"/>
      <c s="393">
        <f>'波长示值误差校验'!C5</f>
      </c>
      <c s="395"/>
      <c s="397">
        <f>'波长示值误差校验'!C6</f>
      </c>
      <c s="397">
        <f>'波长示值误差校验'!C7</f>
      </c>
      <c s="397">
        <f>'波长示值误差校验'!C8</f>
      </c>
      <c s="397">
        <f>'波长示值误差校验'!C9</f>
      </c>
      <c s="393">
        <f>'波长示值误差校验'!C10</f>
      </c>
      <c s="395"/>
    </row>
    <row r="35" ht="19.5" customHeight="1">
      <c r="A35" s="315"/>
      <c s="315"/>
      <c s="372"/>
      <c s="375"/>
      <c s="372"/>
      <c s="391"/>
      <c s="375"/>
      <c s="394"/>
      <c s="396"/>
      <c s="398"/>
      <c s="398"/>
      <c s="398"/>
      <c s="398"/>
      <c s="394"/>
      <c s="396"/>
    </row>
    <row r="36" hidden="1" ht="19.5" customHeight="1">
      <c r="A36" s="315"/>
      <c s="315"/>
      <c s="372"/>
      <c s="375"/>
      <c s="373"/>
      <c s="392"/>
      <c s="376"/>
      <c s="198"/>
      <c s="216"/>
      <c s="328"/>
      <c s="328"/>
      <c s="328"/>
      <c s="328"/>
      <c s="198"/>
      <c s="216"/>
    </row>
    <row r="37" hidden="1" ht="19.5" customHeight="1">
      <c r="A37" s="315"/>
      <c s="315"/>
      <c s="372"/>
      <c s="375"/>
      <c s="322"/>
      <c s="224"/>
      <c s="323"/>
      <c s="198"/>
      <c s="216"/>
      <c s="328"/>
      <c s="328"/>
      <c s="328"/>
      <c s="328"/>
      <c s="198"/>
      <c s="216"/>
    </row>
    <row r="38" ht="18.75" customHeight="1">
      <c r="A38" s="315"/>
      <c s="315"/>
      <c s="372"/>
      <c s="375"/>
      <c s="371" t="s">
        <v>46</v>
      </c>
      <c s="390"/>
      <c s="374"/>
      <c s="393" t="str">
        <f>'波长示值误差校验'!D5</f>
        <v/>
      </c>
      <c s="395"/>
      <c s="397" t="str">
        <f>'波长示值误差校验'!D6</f>
        <v/>
      </c>
      <c s="397" t="str">
        <f>'波长示值误差校验'!D7</f>
        <v/>
      </c>
      <c s="397" t="str">
        <f>'波长示值误差校验'!D8</f>
        <v/>
      </c>
      <c s="397" t="str">
        <f>'波长示值误差校验'!D9</f>
        <v/>
      </c>
      <c s="393" t="str">
        <f>'波长示值误差校验'!D10</f>
        <v/>
      </c>
      <c s="395"/>
    </row>
    <row r="39" hidden="1" ht="18" customHeight="1">
      <c r="A39" s="315"/>
      <c s="315"/>
      <c s="372"/>
      <c s="375"/>
      <c s="373"/>
      <c s="392"/>
      <c s="376"/>
      <c s="394"/>
      <c s="396"/>
      <c s="398"/>
      <c s="398"/>
      <c s="398"/>
      <c s="398"/>
      <c s="394"/>
      <c s="396"/>
    </row>
    <row r="40" hidden="1" ht="19.5" customHeight="1">
      <c r="A40" s="370"/>
      <c s="370"/>
      <c s="373"/>
      <c s="376"/>
      <c s="322"/>
      <c s="224"/>
      <c s="323"/>
      <c s="402"/>
      <c s="403"/>
      <c s="352"/>
      <c s="352"/>
      <c s="352"/>
      <c s="352"/>
      <c s="402"/>
      <c s="403"/>
    </row>
    <row r="41" ht="18.75" customHeight="1">
      <c r="A41" s="75">
        <v>5</v>
      </c>
      <c s="432" t="s">
        <v>49</v>
      </c>
      <c s="371"/>
      <c s="374"/>
      <c s="310" t="s">
        <v>50</v>
      </c>
      <c s="192"/>
      <c s="193"/>
      <c s="310"/>
      <c s="193"/>
      <c s="75">
        <v>1</v>
      </c>
      <c s="75">
        <v>2</v>
      </c>
      <c s="75">
        <v>3</v>
      </c>
      <c s="235" t="s">
        <v>18</v>
      </c>
      <c s="234"/>
      <c s="400"/>
    </row>
    <row r="42" hidden="1" ht="30" customHeight="1">
      <c r="A42" s="315"/>
      <c s="433"/>
      <c s="373"/>
      <c s="376"/>
      <c s="443"/>
      <c s="445"/>
      <c s="406"/>
      <c s="443"/>
      <c s="406"/>
      <c s="370"/>
      <c s="370"/>
      <c s="370"/>
      <c s="233"/>
      <c s="399"/>
      <c s="401"/>
    </row>
    <row r="43" ht="18.75" customHeight="1">
      <c r="A43" s="315"/>
      <c s="433"/>
      <c s="434" t="s">
        <v>51</v>
      </c>
      <c s="204" t="s">
        <v>52</v>
      </c>
      <c s="310" t="s">
        <v>53</v>
      </c>
      <c s="192"/>
      <c s="193"/>
      <c s="371" t="s">
        <v>54</v>
      </c>
      <c s="374"/>
      <c s="351">
        <f>'杂散光校验'!C2</f>
      </c>
      <c s="351">
        <f>'杂散光校验'!D2</f>
      </c>
      <c s="351">
        <f>'杂散光校验'!E2</f>
      </c>
      <c s="235" t="str">
        <f>'杂散光校验'!G2</f>
        <v>不合格</v>
      </c>
      <c s="234"/>
      <c s="400"/>
    </row>
    <row r="44" ht="30" customHeight="1">
      <c r="A44" s="315"/>
      <c s="433"/>
      <c s="435"/>
      <c s="370"/>
      <c s="443"/>
      <c s="445"/>
      <c s="406"/>
      <c s="372"/>
      <c s="375"/>
      <c s="308"/>
      <c s="308"/>
      <c s="308"/>
      <c s="233"/>
      <c s="399"/>
      <c s="401"/>
    </row>
    <row r="45" ht="30" customHeight="1">
      <c r="A45" s="315"/>
      <c s="433"/>
      <c s="434" t="s">
        <v>55</v>
      </c>
      <c s="204" t="s">
        <v>56</v>
      </c>
      <c s="310" t="s">
        <v>57</v>
      </c>
      <c s="192"/>
      <c s="193"/>
      <c s="372"/>
      <c s="375"/>
      <c s="351">
        <f>'杂散光校验'!C3</f>
      </c>
      <c s="351">
        <f>'杂散光校验'!D3</f>
      </c>
      <c s="351">
        <f>'杂散光校验'!E3</f>
      </c>
      <c s="235" t="str">
        <f>'杂散光校验'!G3</f>
        <v>不合格</v>
      </c>
      <c s="234"/>
      <c s="400"/>
    </row>
    <row r="46" ht="30" customHeight="1">
      <c r="A46" s="370"/>
      <c s="316"/>
      <c s="435"/>
      <c s="370"/>
      <c s="443"/>
      <c s="445"/>
      <c s="406"/>
      <c s="373"/>
      <c s="376"/>
      <c s="308"/>
      <c s="308"/>
      <c s="308"/>
      <c s="233"/>
      <c s="399"/>
      <c s="401"/>
    </row>
    <row r="47" ht="30" customHeight="1">
      <c r="A47" s="75">
        <v>6</v>
      </c>
      <c s="432" t="s">
        <v>58</v>
      </c>
      <c s="371" t="s">
        <v>59</v>
      </c>
      <c s="390"/>
      <c s="390"/>
      <c s="390"/>
      <c s="374"/>
      <c s="371" t="s">
        <v>60</v>
      </c>
      <c s="390"/>
      <c s="390"/>
      <c s="390"/>
      <c s="374"/>
      <c s="208">
        <f>'基线平直度检验'!B2</f>
      </c>
      <c s="345"/>
      <c s="329"/>
    </row>
    <row r="48" ht="30" customHeight="1">
      <c r="A48" s="370"/>
      <c s="316"/>
      <c s="373"/>
      <c s="392"/>
      <c s="392"/>
      <c s="392"/>
      <c s="376"/>
      <c s="373"/>
      <c s="392"/>
      <c s="392"/>
      <c s="392"/>
      <c s="376"/>
      <c s="244"/>
      <c s="412"/>
      <c s="414"/>
    </row>
    <row r="49" ht="77.25" customHeight="1">
      <c r="A49" s="12">
        <v>7</v>
      </c>
      <c s="381" t="s">
        <v>61</v>
      </c>
      <c s="377" t="s">
        <v>62</v>
      </c>
      <c s="232"/>
      <c s="232"/>
      <c s="232"/>
      <c s="232"/>
      <c s="232"/>
      <c s="232"/>
      <c s="232"/>
      <c s="232"/>
      <c s="232"/>
      <c s="242"/>
      <c s="413" t="s">
        <v>63</v>
      </c>
      <c s="415"/>
    </row>
    <row r="50" ht="30" customHeight="1">
      <c r="A50" s="429"/>
      <c s="307"/>
      <c s="241"/>
      <c s="437"/>
      <c s="437"/>
      <c s="437"/>
      <c s="437"/>
      <c s="437"/>
      <c s="437"/>
      <c s="437"/>
      <c s="437"/>
      <c s="437"/>
      <c s="418"/>
      <c s="410"/>
      <c s="411"/>
    </row>
    <row r="51" ht="27.75" customHeight="1">
      <c r="A51" s="380" t="s">
        <v>64</v>
      </c>
      <c s="378"/>
      <c s="380" t="s">
        <v>65</v>
      </c>
      <c s="438"/>
      <c s="438"/>
      <c s="438"/>
      <c s="438"/>
      <c s="438"/>
      <c s="438"/>
      <c s="438"/>
      <c s="438"/>
      <c s="438"/>
      <c s="438"/>
      <c s="438"/>
      <c s="378"/>
    </row>
    <row r="52" ht="14.25" customHeight="1">
      <c r="A52" s="371" t="s">
        <v>66</v>
      </c>
      <c s="374"/>
      <c s="382" t="s">
        <v>67</v>
      </c>
      <c s="439"/>
      <c s="439"/>
      <c s="439"/>
      <c s="439"/>
      <c s="439"/>
      <c s="439"/>
      <c s="439"/>
      <c s="439"/>
      <c s="439"/>
      <c s="439"/>
      <c s="439"/>
      <c s="383"/>
    </row>
    <row r="53" ht="14.25" customHeight="1">
      <c r="A53" s="372"/>
      <c s="375"/>
      <c s="419"/>
      <c s="440"/>
      <c s="440"/>
      <c s="440"/>
      <c s="440"/>
      <c s="440"/>
      <c s="440"/>
      <c s="440"/>
      <c s="440"/>
      <c s="440"/>
      <c s="440"/>
      <c s="440"/>
      <c s="424"/>
    </row>
    <row r="54" ht="27" customHeight="1">
      <c r="A54" s="373"/>
      <c s="376"/>
      <c s="212"/>
      <c s="441"/>
      <c s="441"/>
      <c s="441"/>
      <c s="441"/>
      <c s="441"/>
      <c s="441"/>
      <c s="441"/>
      <c s="441"/>
      <c s="441"/>
      <c s="441"/>
      <c s="441"/>
      <c s="425"/>
    </row>
  </sheetData>
  <mergeCells>
    <mergeCell ref="C10:D10"/>
    <mergeCell ref="C7:D7"/>
    <mergeCell ref="B8:D8"/>
    <mergeCell ref="B9:C9"/>
    <mergeCell ref="A6:B6"/>
    <mergeCell ref="C6:D6"/>
    <mergeCell ref="E6:G6"/>
    <mergeCell ref="A4:C4"/>
    <mergeCell ref="A5:C5"/>
    <mergeCell ref="A7:B7"/>
    <mergeCell ref="N4:O4"/>
    <mergeCell ref="L4:M4"/>
    <mergeCell ref="H4:K4"/>
    <mergeCell ref="D4:G4"/>
    <mergeCell ref="N6:O6"/>
    <mergeCell ref="L6:M6"/>
    <mergeCell ref="H6:K6"/>
    <mergeCell ref="L5:M5"/>
    <mergeCell ref="D5:G5"/>
    <mergeCell ref="N5:O5"/>
    <mergeCell ref="H5:K5"/>
    <mergeCell ref="E7:G7"/>
    <mergeCell ref="H7:J7"/>
    <mergeCell ref="K7:L7"/>
    <mergeCell ref="E8:O8"/>
    <mergeCell ref="M10:O10"/>
    <mergeCell ref="M9:O9"/>
    <mergeCell ref="M7:O7"/>
    <mergeCell ref="A1:B3"/>
    <mergeCell ref="C2:K3"/>
    <mergeCell ref="L1:M1"/>
    <mergeCell ref="C1:K1"/>
    <mergeCell ref="N3:O3"/>
    <mergeCell ref="L3:M3"/>
    <mergeCell ref="N2:O2"/>
    <mergeCell ref="L2:M2"/>
    <mergeCell ref="N1:O1"/>
    <mergeCell ref="H14:J14"/>
    <mergeCell ref="K14:L14"/>
    <mergeCell ref="M14:O14"/>
    <mergeCell ref="H13:J13"/>
    <mergeCell ref="K13:L13"/>
    <mergeCell ref="M13:O13"/>
    <mergeCell ref="M12:O12"/>
    <mergeCell ref="K12:L12"/>
    <mergeCell ref="H12:J12"/>
    <mergeCell ref="M11:O11"/>
    <mergeCell ref="K11:L11"/>
    <mergeCell ref="H11:J11"/>
    <mergeCell ref="E11:G11"/>
    <mergeCell ref="E10:G10"/>
    <mergeCell ref="H10:J10"/>
    <mergeCell ref="K10:L10"/>
    <mergeCell ref="D9:F9"/>
    <mergeCell ref="G9:I9"/>
    <mergeCell ref="J9:K9"/>
    <mergeCell ref="C17:D20"/>
    <mergeCell ref="E17:G17"/>
    <mergeCell ref="E18:G18"/>
    <mergeCell ref="E19:G19"/>
    <mergeCell ref="C14:D16"/>
    <mergeCell ref="E14:G14"/>
    <mergeCell ref="E15:G15"/>
    <mergeCell ref="E16:G16"/>
    <mergeCell ref="E13:G13"/>
    <mergeCell ref="E12:G12"/>
    <mergeCell ref="C13:D13"/>
    <mergeCell ref="C11:D12"/>
    <mergeCell ref="A10:A20"/>
    <mergeCell ref="B10:B20"/>
    <mergeCell ref="A21:A25"/>
    <mergeCell ref="B21:B25"/>
    <mergeCell ref="E22:H22"/>
    <mergeCell ref="E23:H23"/>
    <mergeCell ref="E24:H24"/>
    <mergeCell ref="C22:D24"/>
    <mergeCell ref="C21:D21"/>
    <mergeCell ref="E21:H21"/>
    <mergeCell ref="E20:G20"/>
    <mergeCell ref="C25:D25"/>
    <mergeCell ref="E25:H25"/>
    <mergeCell ref="E26:G26"/>
    <mergeCell ref="E27:G27"/>
    <mergeCell ref="E28:G28"/>
    <mergeCell ref="E29:G29"/>
    <mergeCell ref="E30:G30"/>
    <mergeCell ref="B26:B30"/>
    <mergeCell ref="C26:D30"/>
    <mergeCell ref="A26:A40"/>
    <mergeCell ref="B31:B40"/>
    <mergeCell ref="E31:G31"/>
    <mergeCell ref="E37:G37"/>
    <mergeCell ref="E40:G40"/>
    <mergeCell ref="D45:D46"/>
    <mergeCell ref="D43:D44"/>
    <mergeCell ref="C45:C46"/>
    <mergeCell ref="C43:C44"/>
    <mergeCell ref="A41:A46"/>
    <mergeCell ref="B41:B46"/>
    <mergeCell ref="B47:B48"/>
    <mergeCell ref="A47:A48"/>
    <mergeCell ref="A49:A50"/>
    <mergeCell ref="B49:B50"/>
    <mergeCell ref="A52:B54"/>
    <mergeCell ref="A51:B51"/>
    <mergeCell ref="K30:L30"/>
    <mergeCell ref="K27:L27"/>
    <mergeCell ref="K29:L29"/>
    <mergeCell ref="K28:L28"/>
    <mergeCell ref="H26:O26"/>
    <mergeCell ref="M27:O27"/>
    <mergeCell ref="M25:O25"/>
    <mergeCell ref="K25:L25"/>
    <mergeCell ref="I25:J25"/>
    <mergeCell ref="I24:J24"/>
    <mergeCell ref="K24:L24"/>
    <mergeCell ref="M24:O24"/>
    <mergeCell ref="I23:J23"/>
    <mergeCell ref="K23:L23"/>
    <mergeCell ref="M23:O23"/>
    <mergeCell ref="I22:J22"/>
    <mergeCell ref="K22:L22"/>
    <mergeCell ref="M22:O22"/>
    <mergeCell ref="I21:J21"/>
    <mergeCell ref="K21:L21"/>
    <mergeCell ref="M21:O21"/>
    <mergeCell ref="H20:J20"/>
    <mergeCell ref="K20:L20"/>
    <mergeCell ref="M20:O20"/>
    <mergeCell ref="H19:J19"/>
    <mergeCell ref="K19:L19"/>
    <mergeCell ref="M19:O19"/>
    <mergeCell ref="H18:J18"/>
    <mergeCell ref="K18:L18"/>
    <mergeCell ref="M18:O18"/>
    <mergeCell ref="H17:J17"/>
    <mergeCell ref="K17:L17"/>
    <mergeCell ref="M17:O17"/>
    <mergeCell ref="H16:J16"/>
    <mergeCell ref="K16:L16"/>
    <mergeCell ref="M16:O16"/>
    <mergeCell ref="H15:J15"/>
    <mergeCell ref="K15:L15"/>
    <mergeCell ref="M15:O15"/>
    <mergeCell ref="N32:O33"/>
    <mergeCell ref="M28:O28"/>
    <mergeCell ref="M32:M33"/>
    <mergeCell ref="H31:O31"/>
    <mergeCell ref="M30:O30"/>
    <mergeCell ref="M29:O29"/>
    <mergeCell ref="H27:J27"/>
    <mergeCell ref="H28:J28"/>
    <mergeCell ref="H29:J29"/>
    <mergeCell ref="H30:J30"/>
    <mergeCell ref="E34:G36"/>
    <mergeCell ref="E32:G33"/>
    <mergeCell ref="H34:I35"/>
    <mergeCell ref="H32:I33"/>
    <mergeCell ref="L34:L35"/>
    <mergeCell ref="L32:L33"/>
    <mergeCell ref="J32:J33"/>
    <mergeCell ref="K32:K33"/>
    <mergeCell ref="L38:L39"/>
    <mergeCell ref="K38:K39"/>
    <mergeCell ref="K34:K35"/>
    <mergeCell ref="J34:J35"/>
    <mergeCell ref="M34:M35"/>
    <mergeCell ref="M38:M39"/>
    <mergeCell ref="N34:O35"/>
    <mergeCell ref="N36:O36"/>
    <mergeCell ref="N37:O37"/>
    <mergeCell ref="N38:O39"/>
    <mergeCell ref="M41:O42"/>
    <mergeCell ref="M43:O44"/>
    <mergeCell ref="N40:O40"/>
    <mergeCell ref="M45:O46"/>
    <mergeCell ref="L45:L46"/>
    <mergeCell ref="K45:K46"/>
    <mergeCell ref="J45:J46"/>
    <mergeCell ref="E45:G46"/>
    <mergeCell ref="N49:O50"/>
    <mergeCell ref="M47:O48"/>
    <mergeCell ref="H47:L48"/>
    <mergeCell ref="C47:G48"/>
    <mergeCell ref="C49:M50"/>
    <mergeCell ref="C52:O54"/>
    <mergeCell ref="C51:O51"/>
    <mergeCell ref="E43:G44"/>
    <mergeCell ref="L43:L44"/>
    <mergeCell ref="K43:K44"/>
    <mergeCell ref="J43:J44"/>
    <mergeCell ref="C31:D40"/>
    <mergeCell ref="E38:G39"/>
    <mergeCell ref="J38:J39"/>
    <mergeCell ref="H43:I46"/>
    <mergeCell ref="H36:I36"/>
    <mergeCell ref="H37:I37"/>
    <mergeCell ref="H40:I40"/>
    <mergeCell ref="H38:I39"/>
    <mergeCell ref="L41:L42"/>
    <mergeCell ref="K41:K42"/>
    <mergeCell ref="J41:J42"/>
    <mergeCell ref="C41:D42"/>
    <mergeCell ref="E41:G42"/>
    <mergeCell ref="H41:I42"/>
  </mergeCells>
  <printOptions horizontalCentered="1"/>
  <pageMargins left="0.511811023622047" right="0.511811023622047" top="0.748031496062992" bottom="0.748031496062992" header="0.196850393700787" footer="0.196850393700787"/>
  <pageSetup paperSize="9" firstPageNumber="4294963191" copies="0" scale="95"/>
  <headerFooter/>
  <drawing r:id="rId1"/>
  <extLst/>
</worksheet>
</file>

<file path=xl/worksheets/sheet2.xml><?xml version="1.0" encoding="utf-8"?>
<worksheet xmlns:mc="http://schemas.openxmlformats.org/markup-compatibility/2006" xmlns:x14ac="http://schemas.microsoft.com/office/spreadsheetml/2009/9/ac" xmlns:x14="http://schemas.microsoft.com/office/spreadsheetml/2009/9/main" xmlns:r="http://schemas.openxmlformats.org/officeDocument/2006/relationships" xmlns="http://schemas.openxmlformats.org/spreadsheetml/2006/main" mc:Ignorable="x14ac">
  <sheetPr/>
  <dimension ref="A1:R11"/>
  <sheetViews>
    <sheetView topLeftCell="A1" workbookViewId="0" showGridLines="0">
      <pane topLeftCell="A1"/>
      <selection activeCellId="0" activeCell="B13" sqref="B13"/>
    </sheetView>
  </sheetViews>
  <sheetFormatPr defaultColWidth="8.88" defaultRowHeight="14.25" customHeight="1"/>
  <cols>
    <col min="1" max="1" width="18.38" customWidth="1" style="118"/>
    <col min="2" max="2" width="19.38" customWidth="1" style="118"/>
    <col min="3" max="3" width="21.5" customWidth="1" style="118"/>
    <col min="4" max="4" width="7.88" customWidth="1" style="118"/>
    <col min="5" max="7" width="14.13" customWidth="1" style="118"/>
    <col min="8" max="12" width="11" customWidth="1" style="118"/>
    <col min="13" max="13" width="16.38" customWidth="1" style="118"/>
    <col min="14" max="14" width="11" customWidth="1" style="118"/>
    <col min="15" max="15" width="20.13" customWidth="1" style="118"/>
    <col min="16" max="16" width="16.38" customWidth="1" style="163"/>
    <col min="17" max="16384" width="8.88" style="118"/>
  </cols>
  <sheetData>
    <row r="1" ht="32.25" customHeight="1" customFormat="1" s="86">
      <c r="A1" s="422" t="s">
        <v>68</v>
      </c>
      <c s="422" t="s">
        <v>69</v>
      </c>
      <c s="422" t="s">
        <v>35</v>
      </c>
      <c s="422"/>
      <c s="166" t="s">
        <v>70</v>
      </c>
      <c s="166" t="s">
        <v>71</v>
      </c>
      <c s="166" t="s">
        <v>71</v>
      </c>
      <c s="166" t="s">
        <v>72</v>
      </c>
      <c s="166" t="s">
        <v>73</v>
      </c>
      <c s="166" t="s">
        <v>73</v>
      </c>
      <c s="166" t="s">
        <v>74</v>
      </c>
      <c s="166" t="s">
        <v>74</v>
      </c>
      <c s="166" t="s">
        <v>75</v>
      </c>
      <c s="166" t="s">
        <v>76</v>
      </c>
      <c s="166" t="s">
        <v>77</v>
      </c>
      <c s="173" t="s">
        <v>78</v>
      </c>
      <c s="166" t="s">
        <v>26</v>
      </c>
      <c s="166" t="s">
        <v>79</v>
      </c>
    </row>
    <row r="2" customHeight="1">
      <c r="A2" s="421" t="s">
        <v>29</v>
      </c>
      <c s="165">
        <v>656.1</v>
      </c>
      <c s="165">
        <v>656.1</v>
      </c>
      <c s="421"/>
      <c s="421" t="s">
        <v>80</v>
      </c>
      <c s="207" t="s">
        <v>40</v>
      </c>
      <c s="340">
        <v>0</v>
      </c>
      <c s="421"/>
      <c s="421" t="s">
        <v>81</v>
      </c>
      <c s="165">
        <v>0</v>
      </c>
      <c s="421" t="s">
        <v>82</v>
      </c>
      <c s="165">
        <v>0</v>
      </c>
      <c s="421"/>
      <c s="165">
        <v>1</v>
      </c>
      <c r="P2" s="167">
        <v>0.2</v>
      </c>
      <c s="167"/>
      <c s="421"/>
    </row>
    <row r="3" customHeight="1">
      <c r="A3" s="421" t="s">
        <v>83</v>
      </c>
      <c s="165">
        <v>253.7</v>
      </c>
      <c s="165">
        <v>253.7</v>
      </c>
      <c s="421"/>
      <c s="421" t="s">
        <v>84</v>
      </c>
      <c s="207" t="s">
        <v>29</v>
      </c>
      <c s="340">
        <v>1</v>
      </c>
      <c s="421" t="s">
        <v>85</v>
      </c>
      <c s="421" t="s">
        <v>86</v>
      </c>
      <c s="165">
        <v>1</v>
      </c>
      <c s="421" t="s">
        <v>87</v>
      </c>
      <c s="165">
        <v>1</v>
      </c>
      <c s="243">
        <v>0.02</v>
      </c>
      <c s="165">
        <v>2</v>
      </c>
      <c s="165">
        <v>1</v>
      </c>
      <c s="167">
        <v>0.5</v>
      </c>
      <c s="165">
        <v>1</v>
      </c>
      <c s="165">
        <v>0.5</v>
      </c>
    </row>
    <row r="4" customHeight="1">
      <c r="A4" s="421" t="s">
        <v>88</v>
      </c>
      <c s="421" t="s">
        <v>89</v>
      </c>
      <c s="421" t="s">
        <v>89</v>
      </c>
      <c s="421"/>
      <c s="421"/>
      <c s="207" t="s">
        <v>32</v>
      </c>
      <c s="340">
        <v>2</v>
      </c>
      <c s="421"/>
      <c s="421" t="s">
        <v>90</v>
      </c>
      <c s="165">
        <v>2</v>
      </c>
      <c s="421" t="s">
        <v>91</v>
      </c>
      <c s="165">
        <v>2</v>
      </c>
      <c s="165">
        <v>0.1</v>
      </c>
      <c s="165">
        <v>3</v>
      </c>
      <c s="165">
        <v>2</v>
      </c>
      <c s="416" t="s">
        <v>92</v>
      </c>
      <c s="165">
        <v>2</v>
      </c>
      <c s="165">
        <v>1</v>
      </c>
    </row>
    <row r="5" customHeight="1">
      <c r="A5" s="421" t="s">
        <v>30</v>
      </c>
      <c s="421" t="s">
        <v>93</v>
      </c>
      <c s="421" t="s">
        <v>93</v>
      </c>
      <c s="421"/>
      <c s="421"/>
      <c s="421"/>
      <c s="421"/>
      <c s="421"/>
      <c s="421" t="s">
        <v>94</v>
      </c>
      <c s="165">
        <v>3</v>
      </c>
      <c s="421" t="s">
        <v>95</v>
      </c>
      <c s="165">
        <v>3</v>
      </c>
      <c s="165">
        <v>0.2</v>
      </c>
      <c s="165">
        <v>4</v>
      </c>
      <c s="421"/>
      <c s="416" t="s">
        <v>96</v>
      </c>
      <c s="165">
        <v>3</v>
      </c>
      <c s="165">
        <v>2</v>
      </c>
    </row>
    <row r="6" customHeight="1">
      <c r="A6" s="421" t="s">
        <v>97</v>
      </c>
      <c s="421" t="s">
        <v>98</v>
      </c>
      <c s="421"/>
      <c s="421"/>
      <c s="421"/>
      <c s="421"/>
      <c s="421"/>
      <c s="421"/>
      <c s="421" t="s">
        <v>99</v>
      </c>
      <c s="165">
        <v>4</v>
      </c>
      <c s="421" t="s">
        <v>100</v>
      </c>
      <c s="165">
        <v>4</v>
      </c>
      <c s="165">
        <v>0.5</v>
      </c>
      <c s="165">
        <v>5</v>
      </c>
      <c s="421"/>
      <c s="416" t="s">
        <v>101</v>
      </c>
      <c s="165">
        <v>4</v>
      </c>
      <c s="421"/>
    </row>
    <row r="7" customHeight="1">
      <c r="A7" s="421" t="s">
        <v>102</v>
      </c>
      <c s="421" t="s">
        <v>103</v>
      </c>
      <c s="421"/>
      <c s="421"/>
      <c s="421"/>
      <c s="421"/>
      <c s="421"/>
      <c s="421"/>
      <c s="421"/>
      <c s="421"/>
      <c s="421" t="s">
        <v>104</v>
      </c>
      <c s="421"/>
      <c s="165">
        <v>1</v>
      </c>
      <c s="421"/>
      <c s="421"/>
      <c s="167"/>
      <c s="165">
        <v>5</v>
      </c>
      <c s="421"/>
    </row>
    <row r="8" customHeight="1">
      <c r="A8" s="421" t="s">
        <v>105</v>
      </c>
      <c s="421" t="s">
        <v>106</v>
      </c>
      <c s="421"/>
      <c s="421"/>
      <c s="421"/>
      <c s="421"/>
      <c s="421"/>
      <c s="421"/>
      <c s="421"/>
      <c s="421"/>
      <c s="421"/>
      <c s="421"/>
      <c s="165">
        <v>2</v>
      </c>
      <c s="421"/>
      <c s="421"/>
      <c s="167"/>
      <c s="421"/>
      <c s="421"/>
    </row>
    <row r="9" customHeight="1">
      <c r="A9" s="215" t="s">
        <v>107</v>
      </c>
      <c s="320">
        <v>350313257235</v>
      </c>
      <c s="421" t="s">
        <v>108</v>
      </c>
      <c s="320"/>
      <c s="421"/>
      <c s="421"/>
      <c s="421"/>
      <c s="421"/>
      <c s="421"/>
      <c s="421"/>
      <c s="421"/>
      <c s="421"/>
      <c s="165">
        <v>5</v>
      </c>
      <c s="421"/>
      <c s="421"/>
      <c s="167"/>
      <c s="421"/>
      <c s="421"/>
    </row>
    <row r="10" customHeight="1">
      <c r="A10" s="421" t="s">
        <v>109</v>
      </c>
      <c s="165">
        <v>220</v>
      </c>
      <c s="421"/>
      <c s="421"/>
      <c s="421"/>
      <c s="421"/>
      <c s="421"/>
      <c s="421"/>
      <c s="421"/>
      <c s="421"/>
      <c s="421"/>
      <c s="421"/>
      <c s="421"/>
      <c s="421"/>
      <c s="421"/>
      <c s="167"/>
      <c s="421"/>
      <c s="421"/>
    </row>
    <row r="11" customHeight="1">
      <c r="A11" s="421" t="s">
        <v>110</v>
      </c>
      <c s="320">
        <v>340360</v>
      </c>
      <c s="421"/>
      <c s="421"/>
      <c s="421"/>
      <c s="421"/>
      <c s="421"/>
      <c s="421"/>
      <c s="421"/>
      <c s="421"/>
      <c s="421"/>
      <c s="421"/>
      <c s="421"/>
      <c s="421"/>
      <c s="421"/>
      <c s="167"/>
      <c s="421"/>
      <c s="421"/>
    </row>
  </sheetData>
  <printOptions/>
  <pageMargins left="0.7" right="0.7" top="0.75" bottom="0.75" header="0.3" footer="0.3"/>
  <pageSetup firstPageNumber="4294963191" copies="0"/>
  <headerFooter/>
  <extLst/>
</worksheet>
</file>

<file path=xl/worksheets/sheet3.xml><?xml version="1.0" encoding="utf-8"?>
<worksheet xmlns:mc="http://schemas.openxmlformats.org/markup-compatibility/2006" xmlns:x14ac="http://schemas.microsoft.com/office/spreadsheetml/2009/9/ac" xmlns:x14="http://schemas.microsoft.com/office/spreadsheetml/2009/9/main" xmlns:r="http://schemas.openxmlformats.org/officeDocument/2006/relationships" xmlns="http://schemas.openxmlformats.org/spreadsheetml/2006/main" mc:Ignorable="x14ac">
  <sheetPr/>
  <dimension ref="A1:Q38"/>
  <sheetViews>
    <sheetView workbookViewId="0" zoomScale="145" showGridLines="0" zoomScaleNormal="145">
      <pane topLeftCell="A2" activePane="bottomLeft" state="frozen" ySplit="1"/>
      <selection activeCellId="0" pane="bottomLeft" activeCell="E5" sqref="E5"/>
    </sheetView>
  </sheetViews>
  <sheetFormatPr defaultColWidth="9" defaultRowHeight="14.25" customHeight="1"/>
  <cols>
    <col min="1" max="1" width="10" customWidth="1" style="152"/>
    <col min="2" max="2" width="13.63" customWidth="1" style="152"/>
    <col min="3" max="3" width="7.88" customWidth="1" style="152"/>
    <col min="4" max="4" width="15.38" customWidth="1" style="153"/>
    <col min="5" max="8" width="9" style="11"/>
    <col min="9" max="9" width="17.25" customWidth="1" style="11"/>
    <col min="10" max="10" width="9" style="11"/>
    <col min="11" max="11" width="10" customWidth="1" style="11"/>
    <col min="12" max="13" width="9" style="11"/>
    <col min="14" max="14" width="10" customWidth="1" style="152"/>
    <col min="15" max="15" width="5.75" customWidth="1" style="11"/>
    <col min="16" max="16" width="36.63" customWidth="1" style="152"/>
    <col min="17" max="17" width="11.63" customWidth="1" style="11"/>
    <col min="18" max="16384" width="9" style="11"/>
  </cols>
  <sheetData>
    <row r="1" customHeight="1">
      <c r="A1" s="190" t="s">
        <v>111</v>
      </c>
      <c s="190" t="s">
        <v>112</v>
      </c>
      <c s="190" t="s">
        <v>35</v>
      </c>
      <c s="194" t="s">
        <v>28</v>
      </c>
      <c s="194" t="s">
        <v>113</v>
      </c>
      <c s="194" t="s">
        <v>114</v>
      </c>
      <c s="194" t="s">
        <v>115</v>
      </c>
      <c s="169" t="s">
        <v>7</v>
      </c>
      <c s="448" t="s">
        <v>8</v>
      </c>
      <c s="169" t="s">
        <v>9</v>
      </c>
      <c s="169" t="s">
        <v>116</v>
      </c>
      <c s="169" t="s">
        <v>117</v>
      </c>
      <c s="169" t="s">
        <v>118</v>
      </c>
      <c s="190" t="s">
        <v>119</v>
      </c>
      <c s="194" t="s">
        <v>120</v>
      </c>
      <c s="190" t="s">
        <v>121</v>
      </c>
      <c s="164"/>
    </row>
    <row r="2" ht="27.75">
      <c r="A2" s="408">
        <v>1001</v>
      </c>
      <c s="168" t="str" cm="1">
        <f aca="1" ca="1" ref="B2:B2" t="array">MID(_xlfn.SINGLE(CELL("filename")),FIND("[",_xlfn.SINGLE(CELL("filename")),1)+1,FIND(".",_xlfn.SINGLE(CELL("filename")),1)-FIND("[",_xlfn.SINGLE(CELL("filename")),1)-1)</f>
        <v>34U1602-01-0024_202508110505</v>
      </c>
      <c s="157"/>
      <c s="404">
        <f>'波长拟合'!$F2</f>
      </c>
      <c s="311" t="e">
        <f>'波长拟合'!#REF!</f>
        <v>#REF!</v>
      </c>
      <c s="311" t="e">
        <f>'波长拟合'!#REF!</f>
        <v>#REF!</v>
      </c>
      <c s="311" t="e">
        <f>'波长拟合'!#REF!</f>
        <v>#REF!</v>
      </c>
      <c s="404">
        <f>Report!$F$5</f>
      </c>
      <c s="160">
        <f ca="1" ref="I2:I37" t="shared" si="0">NOW()</f>
        <v>45880.712358819444</v>
      </c>
      <c s="404">
        <f>Report!$N$5</f>
      </c>
      <c s="404"/>
      <c s="404">
        <f>Report!$C$6</f>
      </c>
      <c s="404">
        <f>Report!$H$6</f>
      </c>
      <c s="426" t="e">
        <f>'波长拟合'!#REF!</f>
        <v>#REF!</v>
      </c>
      <c s="404"/>
      <c s="340">
        <v>1001</v>
      </c>
    </row>
    <row r="3" ht="27.75">
      <c r="A3" s="426">
        <v>1002</v>
      </c>
      <c s="168" t="str" cm="1">
        <f aca="1" ca="1" ref="B3:B3" t="array">MID(_xlfn.SINGLE(CELL("filename")),FIND("[",_xlfn.SINGLE(CELL("filename")),1)+1,FIND(".",_xlfn.SINGLE(CELL("filename")),1)-FIND("[",_xlfn.SINGLE(CELL("filename")),1)-1)</f>
        <v>34U1602-01-0024_202508110505</v>
      </c>
      <c s="157"/>
      <c s="404">
        <f>'波长拟合'!$F3</f>
      </c>
      <c s="311" t="e">
        <f>'波长拟合'!#REF!</f>
        <v>#REF!</v>
      </c>
      <c s="311" t="e">
        <f>'波长拟合'!#REF!</f>
        <v>#REF!</v>
      </c>
      <c s="311" t="e">
        <f>'波长拟合'!#REF!</f>
        <v>#REF!</v>
      </c>
      <c s="404">
        <f>Report!$F$5</f>
      </c>
      <c s="160">
        <f ca="1" t="shared" si="0"/>
        <v>45880.712358819444</v>
      </c>
      <c s="404">
        <f>Report!$N$5</f>
      </c>
      <c s="404"/>
      <c s="404">
        <f>Report!$C$6</f>
      </c>
      <c s="404">
        <f>Report!$H$6</f>
      </c>
      <c s="426" t="e">
        <f>'波长拟合'!#REF!</f>
        <v>#REF!</v>
      </c>
      <c s="404"/>
      <c s="340">
        <v>1002</v>
      </c>
    </row>
    <row r="4" ht="27.75">
      <c r="A4" s="426">
        <v>1003</v>
      </c>
      <c s="168" t="str" cm="1">
        <f aca="1" ca="1" ref="B4:B4" t="array">MID(_xlfn.SINGLE(CELL("filename")),FIND("[",_xlfn.SINGLE(CELL("filename")),1)+1,FIND(".",_xlfn.SINGLE(CELL("filename")),1)-FIND("[",_xlfn.SINGLE(CELL("filename")),1)-1)</f>
        <v>34U1602-01-0024_202508110505</v>
      </c>
      <c s="157"/>
      <c s="404">
        <f>'波长拟合'!$F8</f>
      </c>
      <c s="311" t="e">
        <f>'波长拟合'!#REF!</f>
        <v>#REF!</v>
      </c>
      <c s="311" t="e">
        <f>'波长拟合'!#REF!</f>
        <v>#REF!</v>
      </c>
      <c s="311" t="e">
        <f>'波长拟合'!#REF!</f>
        <v>#REF!</v>
      </c>
      <c s="404">
        <f>Report!$F$5</f>
      </c>
      <c s="160">
        <f ca="1" t="shared" si="0"/>
        <v>45880.712358819444</v>
      </c>
      <c s="404">
        <f>Report!$N$5</f>
      </c>
      <c s="404"/>
      <c s="404">
        <f>Report!$C$6</f>
      </c>
      <c s="404">
        <f>Report!$H$6</f>
      </c>
      <c s="426" t="e">
        <f>'波长拟合'!#REF!</f>
        <v>#REF!</v>
      </c>
      <c s="404"/>
      <c s="340">
        <v>1003</v>
      </c>
    </row>
    <row r="5" ht="27.75">
      <c r="A5" s="426">
        <v>1008</v>
      </c>
      <c s="168" t="str" cm="1">
        <f aca="1" ca="1" ref="B5:B5" t="array">MID(_xlfn.SINGLE(CELL("filename")),FIND("[",_xlfn.SINGLE(CELL("filename")),1)+1,FIND(".",_xlfn.SINGLE(CELL("filename")),1)-FIND("[",_xlfn.SINGLE(CELL("filename")),1)-1)</f>
        <v>34U1602-01-0024_202508110505</v>
      </c>
      <c s="157"/>
      <c s="404">
        <f>'波长拟合'!$F9</f>
      </c>
      <c s="311" t="e">
        <f>'波长拟合'!#REF!</f>
        <v>#REF!</v>
      </c>
      <c s="311" t="e">
        <f>'波长拟合'!#REF!</f>
        <v>#REF!</v>
      </c>
      <c s="311" t="e">
        <f>'波长拟合'!#REF!</f>
        <v>#REF!</v>
      </c>
      <c s="404">
        <f>Report!$F$5</f>
      </c>
      <c s="160">
        <f ca="1" t="shared" si="0"/>
        <v>45880.712358819444</v>
      </c>
      <c s="404">
        <f>Report!$N$5</f>
      </c>
      <c s="404"/>
      <c s="404">
        <f>Report!$C$6</f>
      </c>
      <c s="404">
        <f>Report!$H$6</f>
      </c>
      <c s="426" t="e">
        <f>'波长拟合'!#REF!</f>
        <v>#REF!</v>
      </c>
      <c s="404"/>
      <c s="340">
        <v>1004</v>
      </c>
    </row>
    <row r="6" ht="27.75">
      <c r="A6" s="426">
        <v>1009</v>
      </c>
      <c s="168" t="str" cm="1">
        <f aca="1" ca="1" ref="B6:B6" t="array">MID(_xlfn.SINGLE(CELL("filename")),FIND("[",_xlfn.SINGLE(CELL("filename")),1)+1,FIND(".",_xlfn.SINGLE(CELL("filename")),1)-FIND("[",_xlfn.SINGLE(CELL("filename")),1)-1)</f>
        <v>34U1602-01-0024_202508110505</v>
      </c>
      <c s="157"/>
      <c s="404">
        <f>'波长拟合'!$F10</f>
      </c>
      <c s="311" t="e">
        <f>'波长拟合'!#REF!</f>
        <v>#REF!</v>
      </c>
      <c s="311" t="e">
        <f>'波长拟合'!#REF!</f>
        <v>#REF!</v>
      </c>
      <c s="311" t="e">
        <f>'波长拟合'!#REF!</f>
        <v>#REF!</v>
      </c>
      <c s="404">
        <f>Report!$F$5</f>
      </c>
      <c s="160">
        <f ca="1" t="shared" si="0"/>
        <v>45880.712358819444</v>
      </c>
      <c s="404">
        <f>Report!$N$5</f>
      </c>
      <c s="404"/>
      <c s="404">
        <f>Report!$C$6</f>
      </c>
      <c s="404">
        <f>Report!$H$6</f>
      </c>
      <c s="426" t="e">
        <f>'波长拟合'!#REF!</f>
        <v>#REF!</v>
      </c>
      <c s="404"/>
      <c s="340">
        <v>1004</v>
      </c>
    </row>
    <row r="7" ht="27.75">
      <c r="A7" s="426">
        <v>1010</v>
      </c>
      <c s="168" t="str" cm="1">
        <f aca="1" ca="1" ref="B7:B7" t="array">MID(_xlfn.SINGLE(CELL("filename")),FIND("[",_xlfn.SINGLE(CELL("filename")),1)+1,FIND(".",_xlfn.SINGLE(CELL("filename")),1)-FIND("[",_xlfn.SINGLE(CELL("filename")),1)-1)</f>
        <v>34U1602-01-0024_202508110505</v>
      </c>
      <c s="157"/>
      <c s="404">
        <f>'波长拟合'!$F11</f>
      </c>
      <c s="311" t="e">
        <f>'波长拟合'!#REF!</f>
        <v>#REF!</v>
      </c>
      <c s="311" t="e">
        <f>'波长拟合'!#REF!</f>
        <v>#REF!</v>
      </c>
      <c s="311" t="e">
        <f>'波长拟合'!#REF!</f>
        <v>#REF!</v>
      </c>
      <c s="404">
        <f>Report!$F$5</f>
      </c>
      <c s="160">
        <f ca="1" t="shared" si="0"/>
        <v>45880.712358819444</v>
      </c>
      <c s="404">
        <f>Report!$N$5</f>
      </c>
      <c s="404"/>
      <c s="404">
        <f>Report!$C$6</f>
      </c>
      <c s="404">
        <f>Report!$H$6</f>
      </c>
      <c s="426" t="e">
        <f>'波长拟合'!#REF!</f>
        <v>#REF!</v>
      </c>
      <c s="404"/>
      <c s="340">
        <v>1004</v>
      </c>
    </row>
    <row r="8" ht="27.75">
      <c r="A8" s="426">
        <v>1011</v>
      </c>
      <c s="168" t="str" cm="1">
        <f aca="1" ca="1" ref="B8:B8" t="array">MID(_xlfn.SINGLE(CELL("filename")),FIND("[",_xlfn.SINGLE(CELL("filename")),1)+1,FIND(".",_xlfn.SINGLE(CELL("filename")),1)-FIND("[",_xlfn.SINGLE(CELL("filename")),1)-1)</f>
        <v>34U1602-01-0024_202508110505</v>
      </c>
      <c s="157"/>
      <c s="404">
        <f>'波长拟合'!$F4</f>
      </c>
      <c s="311" t="e">
        <f>'波长拟合'!#REF!</f>
        <v>#REF!</v>
      </c>
      <c s="311" t="e">
        <f>'波长拟合'!#REF!</f>
        <v>#REF!</v>
      </c>
      <c s="311" t="e">
        <f>'波长拟合'!#REF!</f>
        <v>#REF!</v>
      </c>
      <c s="404">
        <f>Report!$F$5</f>
      </c>
      <c s="160">
        <f ca="1" t="shared" si="0"/>
        <v>45880.712358819444</v>
      </c>
      <c s="404">
        <f>Report!$N$5</f>
      </c>
      <c s="404"/>
      <c s="404">
        <f>Report!$C$6</f>
      </c>
      <c s="404">
        <f>Report!$H$6</f>
      </c>
      <c s="426" t="e">
        <f>'波长拟合'!#REF!</f>
        <v>#REF!</v>
      </c>
      <c s="404"/>
      <c s="340">
        <v>1004</v>
      </c>
    </row>
    <row r="9" ht="27.75">
      <c r="A9" s="426">
        <v>1012</v>
      </c>
      <c s="168" t="str" cm="1">
        <f aca="1" ca="1" ref="B9:B9" t="array">MID(_xlfn.SINGLE(CELL("filename")),FIND("[",_xlfn.SINGLE(CELL("filename")),1)+1,FIND(".",_xlfn.SINGLE(CELL("filename")),1)-FIND("[",_xlfn.SINGLE(CELL("filename")),1)-1)</f>
        <v>34U1602-01-0024_202508110505</v>
      </c>
      <c s="157"/>
      <c s="404">
        <f>'波长拟合'!$F5</f>
      </c>
      <c s="311" t="e">
        <f>'波长拟合'!#REF!</f>
        <v>#REF!</v>
      </c>
      <c s="311" t="e">
        <f>'波长拟合'!#REF!</f>
        <v>#REF!</v>
      </c>
      <c s="311" t="e">
        <f>'波长拟合'!#REF!</f>
        <v>#REF!</v>
      </c>
      <c s="404">
        <f>Report!$F$5</f>
      </c>
      <c s="160">
        <f ca="1" t="shared" si="0"/>
        <v>45880.712358819444</v>
      </c>
      <c s="404">
        <f>Report!$N$5</f>
      </c>
      <c s="404"/>
      <c s="404">
        <f>Report!$C$6</f>
      </c>
      <c s="404">
        <f>Report!$H$6</f>
      </c>
      <c s="426" t="e">
        <f>'波长拟合'!#REF!</f>
        <v>#REF!</v>
      </c>
      <c s="404"/>
      <c s="340">
        <v>1004</v>
      </c>
    </row>
    <row r="10" ht="27.75">
      <c r="A10" s="426">
        <v>1013</v>
      </c>
      <c s="168" t="str" cm="1">
        <f aca="1" ca="1" ref="B10:B10" t="array">MID(_xlfn.SINGLE(CELL("filename")),FIND("[",_xlfn.SINGLE(CELL("filename")),1)+1,FIND(".",_xlfn.SINGLE(CELL("filename")),1)-FIND("[",_xlfn.SINGLE(CELL("filename")),1)-1)</f>
        <v>34U1602-01-0024_202508110505</v>
      </c>
      <c s="157"/>
      <c s="404">
        <f>'波长拟合'!$F6</f>
      </c>
      <c s="311" t="e">
        <f>'波长拟合'!#REF!</f>
        <v>#REF!</v>
      </c>
      <c s="311" t="e">
        <f>'波长拟合'!#REF!</f>
        <v>#REF!</v>
      </c>
      <c s="311" t="e">
        <f>'波长拟合'!#REF!</f>
        <v>#REF!</v>
      </c>
      <c s="404">
        <f>Report!$F$5</f>
      </c>
      <c s="160">
        <f ca="1" t="shared" si="0"/>
        <v>45880.712358819444</v>
      </c>
      <c s="404">
        <f>Report!$N$5</f>
      </c>
      <c s="404"/>
      <c s="404">
        <f>Report!$C$6</f>
      </c>
      <c s="404">
        <f>Report!$H$6</f>
      </c>
      <c s="426" t="e">
        <f>'波长拟合'!#REF!</f>
        <v>#REF!</v>
      </c>
      <c s="404"/>
      <c s="340">
        <v>1004</v>
      </c>
    </row>
    <row r="11" ht="27.75">
      <c r="A11" s="426">
        <v>2001</v>
      </c>
      <c s="168" t="str" cm="1">
        <f aca="1" ca="1" ref="B11:B11" t="array">MID(_xlfn.SINGLE(CELL("filename")),FIND("[",_xlfn.SINGLE(CELL("filename")),1)+1,FIND(".",_xlfn.SINGLE(CELL("filename")),1)-FIND("[",_xlfn.SINGLE(CELL("filename")),1)-1)</f>
        <v>34U1602-01-0024_202508110505</v>
      </c>
      <c s="426" t="e">
        <f ref="C11:C25" t="shared" si="1">#REF!</f>
        <v>#REF!</v>
      </c>
      <c s="311" t="e">
        <f ref="D11:D25" t="shared" si="2">#REF!&amp;";"&amp;#REF!&amp;";"&amp;#REF!</f>
        <v>#REF!</v>
      </c>
      <c s="311" t="e">
        <f ref="E11:E23" t="shared" si="3">#REF!</f>
        <v>#REF!</v>
      </c>
      <c s="311" t="e">
        <f ref="F11:F23" t="shared" si="4">#REF!</f>
        <v>#REF!</v>
      </c>
      <c s="311" t="e">
        <f ref="G11:G23" t="shared" si="5">#REF!</f>
        <v>#REF!</v>
      </c>
      <c s="404">
        <f>Report!$F$5</f>
      </c>
      <c s="160">
        <f ca="1" t="shared" si="0"/>
        <v>45880.712358819444</v>
      </c>
      <c s="404">
        <f>Report!$N$5</f>
      </c>
      <c s="404"/>
      <c s="404">
        <f>Report!$C$6</f>
      </c>
      <c s="404">
        <f>Report!$H$6</f>
      </c>
      <c s="426" t="e">
        <f ref="N11:N25" t="shared" si="6">#REF!</f>
        <v>#REF!</v>
      </c>
      <c s="404"/>
      <c s="426">
        <v>2001</v>
      </c>
    </row>
    <row r="12" ht="27.75">
      <c r="A12" s="426">
        <v>2002</v>
      </c>
      <c s="168" t="str" cm="1">
        <f aca="1" ca="1" ref="B12:B12" t="array">MID(_xlfn.SINGLE(CELL("filename")),FIND("[",_xlfn.SINGLE(CELL("filename")),1)+1,FIND(".",_xlfn.SINGLE(CELL("filename")),1)-FIND("[",_xlfn.SINGLE(CELL("filename")),1)-1)</f>
        <v>34U1602-01-0024_202508110505</v>
      </c>
      <c s="426" t="e">
        <f t="shared" si="1"/>
        <v>#REF!</v>
      </c>
      <c s="311" t="e">
        <f t="shared" si="2"/>
        <v>#REF!</v>
      </c>
      <c s="311" t="e">
        <f t="shared" si="3"/>
        <v>#REF!</v>
      </c>
      <c s="311" t="e">
        <f t="shared" si="4"/>
        <v>#REF!</v>
      </c>
      <c s="311" t="e">
        <f t="shared" si="5"/>
        <v>#REF!</v>
      </c>
      <c s="404">
        <f>Report!$F$5</f>
      </c>
      <c s="160">
        <f ca="1" t="shared" si="0"/>
        <v>45880.712358819444</v>
      </c>
      <c s="404">
        <f>Report!$N$5</f>
      </c>
      <c s="404"/>
      <c s="404">
        <f>Report!$C$6</f>
      </c>
      <c s="404">
        <f>Report!$H$6</f>
      </c>
      <c s="426" t="e">
        <f t="shared" si="6"/>
        <v>#REF!</v>
      </c>
      <c s="404"/>
      <c s="426">
        <v>2001</v>
      </c>
    </row>
    <row r="13" ht="27.75">
      <c r="A13" s="426">
        <v>2003</v>
      </c>
      <c s="168" t="str" cm="1">
        <f aca="1" ca="1" ref="B13:B13" t="array">MID(_xlfn.SINGLE(CELL("filename")),FIND("[",_xlfn.SINGLE(CELL("filename")),1)+1,FIND(".",_xlfn.SINGLE(CELL("filename")),1)-FIND("[",_xlfn.SINGLE(CELL("filename")),1)-1)</f>
        <v>34U1602-01-0024_202508110505</v>
      </c>
      <c s="426" t="e">
        <f t="shared" si="1"/>
        <v>#REF!</v>
      </c>
      <c s="311" t="e">
        <f t="shared" si="2"/>
        <v>#REF!</v>
      </c>
      <c s="311" t="e">
        <f t="shared" si="3"/>
        <v>#REF!</v>
      </c>
      <c s="311" t="e">
        <f t="shared" si="4"/>
        <v>#REF!</v>
      </c>
      <c s="311" t="e">
        <f t="shared" si="5"/>
        <v>#REF!</v>
      </c>
      <c s="404">
        <f>Report!$F$5</f>
      </c>
      <c s="160">
        <f ca="1" t="shared" si="0"/>
        <v>45880.712358819444</v>
      </c>
      <c s="404">
        <f>Report!$N$5</f>
      </c>
      <c s="404"/>
      <c s="404">
        <f>Report!$C$6</f>
      </c>
      <c s="404">
        <f>Report!$H$6</f>
      </c>
      <c s="426" t="e">
        <f t="shared" si="6"/>
        <v>#REF!</v>
      </c>
      <c s="404"/>
      <c s="426">
        <v>2001</v>
      </c>
    </row>
    <row r="14" ht="27.75">
      <c r="A14" s="426">
        <v>2004</v>
      </c>
      <c s="168" t="str" cm="1">
        <f aca="1" ca="1" ref="B14:B14" t="array">MID(_xlfn.SINGLE(CELL("filename")),FIND("[",_xlfn.SINGLE(CELL("filename")),1)+1,FIND(".",_xlfn.SINGLE(CELL("filename")),1)-FIND("[",_xlfn.SINGLE(CELL("filename")),1)-1)</f>
        <v>34U1602-01-0024_202508110505</v>
      </c>
      <c s="426" t="e">
        <f t="shared" si="1"/>
        <v>#REF!</v>
      </c>
      <c s="311" t="e">
        <f t="shared" si="2"/>
        <v>#REF!</v>
      </c>
      <c s="311" t="e">
        <f t="shared" si="3"/>
        <v>#REF!</v>
      </c>
      <c s="311" t="e">
        <f t="shared" si="4"/>
        <v>#REF!</v>
      </c>
      <c s="311" t="e">
        <f t="shared" si="5"/>
        <v>#REF!</v>
      </c>
      <c s="404">
        <f>Report!$F$5</f>
      </c>
      <c s="160">
        <f ca="1" t="shared" si="0"/>
        <v>45880.712358819444</v>
      </c>
      <c s="404">
        <f>Report!$N$5</f>
      </c>
      <c s="404"/>
      <c s="404">
        <f>Report!$C$6</f>
      </c>
      <c s="404">
        <f>Report!$H$6</f>
      </c>
      <c s="426" t="e">
        <f t="shared" si="6"/>
        <v>#REF!</v>
      </c>
      <c s="404"/>
      <c s="426">
        <v>2001</v>
      </c>
    </row>
    <row r="15" ht="27.75">
      <c r="A15" s="426">
        <v>2005</v>
      </c>
      <c s="168" t="str" cm="1">
        <f aca="1" ca="1" ref="B15:B15" t="array">MID(_xlfn.SINGLE(CELL("filename")),FIND("[",_xlfn.SINGLE(CELL("filename")),1)+1,FIND(".",_xlfn.SINGLE(CELL("filename")),1)-FIND("[",_xlfn.SINGLE(CELL("filename")),1)-1)</f>
        <v>34U1602-01-0024_202508110505</v>
      </c>
      <c s="426" t="e">
        <f t="shared" si="1"/>
        <v>#REF!</v>
      </c>
      <c s="311" t="e">
        <f t="shared" si="2"/>
        <v>#REF!</v>
      </c>
      <c s="311" t="e">
        <f t="shared" si="3"/>
        <v>#REF!</v>
      </c>
      <c s="311" t="e">
        <f t="shared" si="4"/>
        <v>#REF!</v>
      </c>
      <c s="311" t="e">
        <f t="shared" si="5"/>
        <v>#REF!</v>
      </c>
      <c s="404">
        <f>Report!$F$5</f>
      </c>
      <c s="160">
        <f ca="1" t="shared" si="0"/>
        <v>45880.712358819444</v>
      </c>
      <c s="404">
        <f>Report!$N$5</f>
      </c>
      <c s="404"/>
      <c s="404">
        <f>Report!$C$6</f>
      </c>
      <c s="404">
        <f>Report!$H$6</f>
      </c>
      <c s="426" t="e">
        <f t="shared" si="6"/>
        <v>#REF!</v>
      </c>
      <c s="404"/>
      <c s="426">
        <v>2002</v>
      </c>
    </row>
    <row r="16" ht="27.75">
      <c r="A16" s="426">
        <v>2006</v>
      </c>
      <c s="168" t="str" cm="1">
        <f aca="1" ca="1" ref="B16:B16" t="array">MID(_xlfn.SINGLE(CELL("filename")),FIND("[",_xlfn.SINGLE(CELL("filename")),1)+1,FIND(".",_xlfn.SINGLE(CELL("filename")),1)-FIND("[",_xlfn.SINGLE(CELL("filename")),1)-1)</f>
        <v>34U1602-01-0024_202508110505</v>
      </c>
      <c s="426" t="e">
        <f t="shared" si="1"/>
        <v>#REF!</v>
      </c>
      <c s="311" t="e">
        <f t="shared" si="2"/>
        <v>#REF!</v>
      </c>
      <c s="311" t="e">
        <f t="shared" si="3"/>
        <v>#REF!</v>
      </c>
      <c s="311" t="e">
        <f t="shared" si="4"/>
        <v>#REF!</v>
      </c>
      <c s="311" t="e">
        <f t="shared" si="5"/>
        <v>#REF!</v>
      </c>
      <c s="404">
        <f>Report!$F$5</f>
      </c>
      <c s="160">
        <f ca="1" t="shared" si="0"/>
        <v>45880.712358819444</v>
      </c>
      <c s="404">
        <f>Report!$N$5</f>
      </c>
      <c s="404"/>
      <c s="404">
        <f>Report!$C$6</f>
      </c>
      <c s="404">
        <f>Report!$H$6</f>
      </c>
      <c s="426" t="e">
        <f t="shared" si="6"/>
        <v>#REF!</v>
      </c>
      <c s="404"/>
      <c s="426">
        <v>2002</v>
      </c>
    </row>
    <row r="17" ht="27.75">
      <c r="A17" s="426">
        <v>2007</v>
      </c>
      <c s="168" t="str" cm="1">
        <f aca="1" ca="1" ref="B17:B17" t="array">MID(_xlfn.SINGLE(CELL("filename")),FIND("[",_xlfn.SINGLE(CELL("filename")),1)+1,FIND(".",_xlfn.SINGLE(CELL("filename")),1)-FIND("[",_xlfn.SINGLE(CELL("filename")),1)-1)</f>
        <v>34U1602-01-0024_202508110505</v>
      </c>
      <c s="426" t="e">
        <f t="shared" si="1"/>
        <v>#REF!</v>
      </c>
      <c s="311" t="e">
        <f t="shared" si="2"/>
        <v>#REF!</v>
      </c>
      <c s="311" t="e">
        <f t="shared" si="3"/>
        <v>#REF!</v>
      </c>
      <c s="311" t="e">
        <f t="shared" si="4"/>
        <v>#REF!</v>
      </c>
      <c s="311" t="e">
        <f t="shared" si="5"/>
        <v>#REF!</v>
      </c>
      <c s="404">
        <f>Report!$F$5</f>
      </c>
      <c s="160">
        <f ca="1" t="shared" si="0"/>
        <v>45880.712358819444</v>
      </c>
      <c s="404">
        <f>Report!$N$5</f>
      </c>
      <c s="404"/>
      <c s="404">
        <f>Report!$C$6</f>
      </c>
      <c s="404">
        <f>Report!$H$6</f>
      </c>
      <c s="426" t="e">
        <f t="shared" si="6"/>
        <v>#REF!</v>
      </c>
      <c s="404"/>
      <c s="426">
        <v>2002</v>
      </c>
    </row>
    <row r="18" ht="27.75">
      <c r="A18" s="426">
        <v>2008</v>
      </c>
      <c s="168" t="str" cm="1">
        <f aca="1" ca="1" ref="B18:B18" t="array">MID(_xlfn.SINGLE(CELL("filename")),FIND("[",_xlfn.SINGLE(CELL("filename")),1)+1,FIND(".",_xlfn.SINGLE(CELL("filename")),1)-FIND("[",_xlfn.SINGLE(CELL("filename")),1)-1)</f>
        <v>34U1602-01-0024_202508110505</v>
      </c>
      <c s="426" t="e">
        <f t="shared" si="1"/>
        <v>#REF!</v>
      </c>
      <c s="311" t="e">
        <f t="shared" si="2"/>
        <v>#REF!</v>
      </c>
      <c s="311" t="e">
        <f t="shared" si="3"/>
        <v>#REF!</v>
      </c>
      <c s="311" t="e">
        <f t="shared" si="4"/>
        <v>#REF!</v>
      </c>
      <c s="311" t="e">
        <f t="shared" si="5"/>
        <v>#REF!</v>
      </c>
      <c s="404">
        <f>Report!$F$5</f>
      </c>
      <c s="160">
        <f ca="1" t="shared" si="0"/>
        <v>45880.712358819444</v>
      </c>
      <c s="404">
        <f>Report!$N$5</f>
      </c>
      <c s="404"/>
      <c s="404">
        <f>Report!$C$6</f>
      </c>
      <c s="404">
        <f>Report!$H$6</f>
      </c>
      <c s="426" t="e">
        <f t="shared" si="6"/>
        <v>#REF!</v>
      </c>
      <c s="404"/>
      <c s="159">
        <v>2003</v>
      </c>
    </row>
    <row r="19" ht="27.75">
      <c r="A19" s="426">
        <v>2009</v>
      </c>
      <c s="168" t="str" cm="1">
        <f aca="1" ca="1" ref="B19:B19" t="array">MID(_xlfn.SINGLE(CELL("filename")),FIND("[",_xlfn.SINGLE(CELL("filename")),1)+1,FIND(".",_xlfn.SINGLE(CELL("filename")),1)-FIND("[",_xlfn.SINGLE(CELL("filename")),1)-1)</f>
        <v>34U1602-01-0024_202508110505</v>
      </c>
      <c s="426" t="e">
        <f t="shared" si="1"/>
        <v>#REF!</v>
      </c>
      <c s="311" t="e">
        <f t="shared" si="2"/>
        <v>#REF!</v>
      </c>
      <c s="311" t="e">
        <f t="shared" si="3"/>
        <v>#REF!</v>
      </c>
      <c s="311" t="e">
        <f t="shared" si="4"/>
        <v>#REF!</v>
      </c>
      <c s="311" t="e">
        <f t="shared" si="5"/>
        <v>#REF!</v>
      </c>
      <c s="404">
        <f>Report!$F$5</f>
      </c>
      <c s="160">
        <f ca="1" t="shared" si="0"/>
        <v>45880.712358819444</v>
      </c>
      <c s="404">
        <f>Report!$N$5</f>
      </c>
      <c s="404"/>
      <c s="404">
        <f>Report!$C$6</f>
      </c>
      <c s="404">
        <f>Report!$H$6</f>
      </c>
      <c s="426" t="e">
        <f t="shared" si="6"/>
        <v>#REF!</v>
      </c>
      <c s="404"/>
      <c s="159">
        <v>2003</v>
      </c>
    </row>
    <row r="20" ht="27.75">
      <c r="A20" s="426">
        <v>2010</v>
      </c>
      <c s="168" t="str" cm="1">
        <f aca="1" ca="1" ref="B20:B20" t="array">MID(_xlfn.SINGLE(CELL("filename")),FIND("[",_xlfn.SINGLE(CELL("filename")),1)+1,FIND(".",_xlfn.SINGLE(CELL("filename")),1)-FIND("[",_xlfn.SINGLE(CELL("filename")),1)-1)</f>
        <v>34U1602-01-0024_202508110505</v>
      </c>
      <c s="426" t="e">
        <f t="shared" si="1"/>
        <v>#REF!</v>
      </c>
      <c s="311" t="e">
        <f t="shared" si="2"/>
        <v>#REF!</v>
      </c>
      <c s="311" t="e">
        <f t="shared" si="3"/>
        <v>#REF!</v>
      </c>
      <c s="311" t="e">
        <f t="shared" si="4"/>
        <v>#REF!</v>
      </c>
      <c s="311" t="e">
        <f t="shared" si="5"/>
        <v>#REF!</v>
      </c>
      <c s="404">
        <f>Report!$F$5</f>
      </c>
      <c s="160">
        <f ca="1" t="shared" si="0"/>
        <v>45880.712358819444</v>
      </c>
      <c s="404">
        <f>Report!$N$5</f>
      </c>
      <c s="404"/>
      <c s="404">
        <f>Report!$C$6</f>
      </c>
      <c s="404">
        <f>Report!$H$6</f>
      </c>
      <c s="426" t="e">
        <f t="shared" si="6"/>
        <v>#REF!</v>
      </c>
      <c s="404"/>
      <c s="159">
        <v>2003</v>
      </c>
    </row>
    <row r="21" ht="27.75">
      <c r="A21" s="426">
        <v>2011</v>
      </c>
      <c s="168" t="str" cm="1">
        <f aca="1" ca="1" ref="B21:B21" t="array">MID(_xlfn.SINGLE(CELL("filename")),FIND("[",_xlfn.SINGLE(CELL("filename")),1)+1,FIND(".",_xlfn.SINGLE(CELL("filename")),1)-FIND("[",_xlfn.SINGLE(CELL("filename")),1)-1)</f>
        <v>34U1602-01-0024_202508110505</v>
      </c>
      <c s="426" t="e">
        <f t="shared" si="1"/>
        <v>#REF!</v>
      </c>
      <c s="311" t="e">
        <f t="shared" si="2"/>
        <v>#REF!</v>
      </c>
      <c s="311" t="e">
        <f t="shared" si="3"/>
        <v>#REF!</v>
      </c>
      <c s="311" t="e">
        <f t="shared" si="4"/>
        <v>#REF!</v>
      </c>
      <c s="311" t="e">
        <f t="shared" si="5"/>
        <v>#REF!</v>
      </c>
      <c s="404">
        <f>Report!$F$5</f>
      </c>
      <c s="160">
        <f ca="1" t="shared" si="0"/>
        <v>45880.712358819444</v>
      </c>
      <c s="404">
        <f>Report!$N$5</f>
      </c>
      <c s="404"/>
      <c s="404">
        <f>Report!$C$6</f>
      </c>
      <c s="404">
        <f>Report!$H$6</f>
      </c>
      <c s="426" t="e">
        <f t="shared" si="6"/>
        <v>#REF!</v>
      </c>
      <c s="404"/>
      <c s="426">
        <v>2004</v>
      </c>
    </row>
    <row r="22" ht="27.75">
      <c r="A22" s="426">
        <v>2012</v>
      </c>
      <c s="168" t="str" cm="1">
        <f aca="1" ca="1" ref="B22:B22" t="array">MID(_xlfn.SINGLE(CELL("filename")),FIND("[",_xlfn.SINGLE(CELL("filename")),1)+1,FIND(".",_xlfn.SINGLE(CELL("filename")),1)-FIND("[",_xlfn.SINGLE(CELL("filename")),1)-1)</f>
        <v>34U1602-01-0024_202508110505</v>
      </c>
      <c s="426" t="e">
        <f t="shared" si="1"/>
        <v>#REF!</v>
      </c>
      <c s="311" t="e">
        <f t="shared" si="2"/>
        <v>#REF!</v>
      </c>
      <c s="311" t="e">
        <f t="shared" si="3"/>
        <v>#REF!</v>
      </c>
      <c s="311" t="e">
        <f t="shared" si="4"/>
        <v>#REF!</v>
      </c>
      <c s="311" t="e">
        <f t="shared" si="5"/>
        <v>#REF!</v>
      </c>
      <c s="404">
        <f>Report!$F$5</f>
      </c>
      <c s="160">
        <f ca="1" t="shared" si="0"/>
        <v>45880.712358819444</v>
      </c>
      <c s="404">
        <f>Report!$N$5</f>
      </c>
      <c s="404"/>
      <c s="404">
        <f>Report!$C$6</f>
      </c>
      <c s="404">
        <f>Report!$H$6</f>
      </c>
      <c s="426" t="e">
        <f t="shared" si="6"/>
        <v>#REF!</v>
      </c>
      <c s="404"/>
      <c s="426">
        <v>2004</v>
      </c>
    </row>
    <row r="23" ht="27.75">
      <c r="A23" s="426">
        <v>2013</v>
      </c>
      <c s="168" t="str" cm="1">
        <f aca="1" ca="1" ref="B23:B23" t="array">MID(_xlfn.SINGLE(CELL("filename")),FIND("[",_xlfn.SINGLE(CELL("filename")),1)+1,FIND(".",_xlfn.SINGLE(CELL("filename")),1)-FIND("[",_xlfn.SINGLE(CELL("filename")),1)-1)</f>
        <v>34U1602-01-0024_202508110505</v>
      </c>
      <c s="426" t="e">
        <f t="shared" si="1"/>
        <v>#REF!</v>
      </c>
      <c s="311" t="e">
        <f t="shared" si="2"/>
        <v>#REF!</v>
      </c>
      <c s="311" t="e">
        <f t="shared" si="3"/>
        <v>#REF!</v>
      </c>
      <c s="311" t="e">
        <f t="shared" si="4"/>
        <v>#REF!</v>
      </c>
      <c s="311" t="e">
        <f t="shared" si="5"/>
        <v>#REF!</v>
      </c>
      <c s="404">
        <f>Report!$F$5</f>
      </c>
      <c s="160">
        <f ca="1" t="shared" si="0"/>
        <v>45880.712358819444</v>
      </c>
      <c s="404">
        <f>Report!$N$5</f>
      </c>
      <c s="404"/>
      <c s="404">
        <f>Report!$C$6</f>
      </c>
      <c s="404">
        <f>Report!$H$6</f>
      </c>
      <c s="426" t="e">
        <f t="shared" si="6"/>
        <v>#REF!</v>
      </c>
      <c s="404"/>
      <c s="426">
        <v>2004</v>
      </c>
    </row>
    <row r="24" ht="27.75">
      <c r="A24" s="426">
        <v>3001</v>
      </c>
      <c s="168" t="str" cm="1">
        <f aca="1" ca="1" ref="B24:B24" t="array">MID(_xlfn.SINGLE(CELL("filename")),FIND("[",_xlfn.SINGLE(CELL("filename")),1)+1,FIND(".",_xlfn.SINGLE(CELL("filename")),1)-FIND("[",_xlfn.SINGLE(CELL("filename")),1)-1)</f>
        <v>34U1602-01-0024_202508110505</v>
      </c>
      <c s="426" t="e">
        <f t="shared" si="1"/>
        <v>#REF!</v>
      </c>
      <c s="447" t="e">
        <f t="shared" si="2"/>
        <v>#REF!</v>
      </c>
      <c s="404"/>
      <c s="404"/>
      <c s="404"/>
      <c s="404">
        <f>Report!$F$5</f>
      </c>
      <c s="160">
        <f ca="1" t="shared" si="0"/>
        <v>45880.712358819444</v>
      </c>
      <c s="404">
        <f>Report!$N$5</f>
      </c>
      <c s="404"/>
      <c s="404">
        <f>Report!$C$6</f>
      </c>
      <c s="404">
        <f>Report!$H$6</f>
      </c>
      <c s="426" t="e">
        <f t="shared" si="6"/>
        <v>#REF!</v>
      </c>
      <c s="404"/>
      <c s="426">
        <v>3001</v>
      </c>
    </row>
    <row r="25" ht="27.75">
      <c r="A25" s="426">
        <v>3002</v>
      </c>
      <c s="168" t="str" cm="1">
        <f aca="1" ca="1" ref="B25:B25" t="array">MID(_xlfn.SINGLE(CELL("filename")),FIND("[",_xlfn.SINGLE(CELL("filename")),1)+1,FIND(".",_xlfn.SINGLE(CELL("filename")),1)-FIND("[",_xlfn.SINGLE(CELL("filename")),1)-1)</f>
        <v>34U1602-01-0024_202508110505</v>
      </c>
      <c s="426" t="e">
        <f t="shared" si="1"/>
        <v>#REF!</v>
      </c>
      <c s="447" t="e">
        <f t="shared" si="2"/>
        <v>#REF!</v>
      </c>
      <c s="404"/>
      <c s="404"/>
      <c s="404"/>
      <c s="404">
        <f>Report!$F$5</f>
      </c>
      <c s="160">
        <f ca="1" t="shared" si="0"/>
        <v>45880.712358819444</v>
      </c>
      <c s="404">
        <f>Report!$N$5</f>
      </c>
      <c s="404"/>
      <c s="404">
        <f>Report!$C$6</f>
      </c>
      <c s="404">
        <f>Report!$H$6</f>
      </c>
      <c s="426" t="e">
        <f t="shared" si="6"/>
        <v>#REF!</v>
      </c>
      <c s="404"/>
      <c s="426">
        <v>3002</v>
      </c>
    </row>
    <row r="26" ht="27.75">
      <c r="A26" s="426">
        <v>4001</v>
      </c>
      <c s="168" t="str" cm="1">
        <f aca="1" ca="1" ref="B26:B26" t="array">MID(_xlfn.SINGLE(CELL("filename")),FIND("[",_xlfn.SINGLE(CELL("filename")),1)+1,FIND(".",_xlfn.SINGLE(CELL("filename")),1)-FIND("[",_xlfn.SINGLE(CELL("filename")),1)-1)</f>
        <v>34U1602-01-0024_202508110505</v>
      </c>
      <c s="157"/>
      <c s="404">
        <f>'样品池重复性'!$B$2</f>
      </c>
      <c s="404"/>
      <c s="404"/>
      <c s="404"/>
      <c s="404">
        <f>Report!$F$5</f>
      </c>
      <c s="160">
        <f ca="1" t="shared" si="0"/>
        <v>45880.712358819444</v>
      </c>
      <c s="404">
        <f>Report!$N$5</f>
      </c>
      <c s="404"/>
      <c s="404">
        <f>Report!$C$6</f>
      </c>
      <c s="404">
        <f>Report!$H$6</f>
      </c>
      <c s="426" t="e">
        <f>'样品池重复性'!#REF!</f>
        <v>#REF!</v>
      </c>
      <c s="404"/>
      <c s="426">
        <v>4001</v>
      </c>
    </row>
    <row r="27" ht="27.75">
      <c r="A27" s="426">
        <v>5001</v>
      </c>
      <c s="168" t="str" cm="1">
        <f aca="1" ca="1" ref="B27:B27" t="array">MID(_xlfn.SINGLE(CELL("filename")),FIND("[",_xlfn.SINGLE(CELL("filename")),1)+1,FIND(".",_xlfn.SINGLE(CELL("filename")),1)-FIND("[",_xlfn.SINGLE(CELL("filename")),1)-1)</f>
        <v>34U1602-01-0024_202508110505</v>
      </c>
      <c s="157"/>
      <c s="404" t="str">
        <f>'能量扫描'!$B$3</f>
        <v>656.1</v>
      </c>
      <c s="404"/>
      <c s="404"/>
      <c s="404"/>
      <c s="404">
        <f>Report!$F$5</f>
      </c>
      <c s="160">
        <f ca="1" t="shared" si="0"/>
        <v>45880.712358819444</v>
      </c>
      <c s="404">
        <f>Report!$N$5</f>
      </c>
      <c s="404"/>
      <c s="404">
        <f>Report!$C$6</f>
      </c>
      <c s="404">
        <f>Report!$H$6</f>
      </c>
      <c s="426" t="e">
        <f>'能量扫描'!#REF!</f>
        <v>#REF!</v>
      </c>
      <c s="404"/>
      <c s="426">
        <v>5001</v>
      </c>
    </row>
    <row r="28" ht="27.75">
      <c r="A28" s="426">
        <v>6002</v>
      </c>
      <c s="168" t="str" cm="1">
        <f aca="1" ca="1" ref="B28:B28" t="array">MID(_xlfn.SINGLE(CELL("filename")),FIND("[",_xlfn.SINGLE(CELL("filename")),1)+1,FIND(".",_xlfn.SINGLE(CELL("filename")),1)-FIND("[",_xlfn.SINGLE(CELL("filename")),1)-1)</f>
        <v>34U1602-01-0024_202508110505</v>
      </c>
      <c s="426" t="e">
        <f ref="C28:C37" t="shared" si="7">#REF!</f>
        <v>#REF!</v>
      </c>
      <c s="311" t="e">
        <f ref="D28:D37" t="shared" si="8">#REF!</f>
        <v>#REF!</v>
      </c>
      <c s="404"/>
      <c s="404"/>
      <c s="404"/>
      <c s="404">
        <f>Report!$F$5</f>
      </c>
      <c s="160">
        <f ca="1" t="shared" si="0"/>
        <v>45880.712358819444</v>
      </c>
      <c s="404">
        <f>Report!$N$5</f>
      </c>
      <c s="404"/>
      <c s="404">
        <f>Report!$C$6</f>
      </c>
      <c s="404">
        <f>Report!$H$6</f>
      </c>
      <c s="426" t="e">
        <f ref="N28:N37" t="shared" si="9">#REF!</f>
        <v>#REF!</v>
      </c>
      <c s="404"/>
      <c s="426">
        <v>6001</v>
      </c>
    </row>
    <row r="29" ht="27.75">
      <c r="A29" s="426">
        <v>7001</v>
      </c>
      <c s="168" t="str" cm="1">
        <f aca="1" ca="1" ref="B29:B29" t="array">MID(_xlfn.SINGLE(CELL("filename")),FIND("[",_xlfn.SINGLE(CELL("filename")),1)+1,FIND(".",_xlfn.SINGLE(CELL("filename")),1)-FIND("[",_xlfn.SINGLE(CELL("filename")),1)-1)</f>
        <v>34U1602-01-0024_202508110505</v>
      </c>
      <c s="426" t="e">
        <f t="shared" si="7"/>
        <v>#REF!</v>
      </c>
      <c s="311" t="e">
        <f t="shared" si="8"/>
        <v>#REF!</v>
      </c>
      <c s="404"/>
      <c s="404"/>
      <c s="404"/>
      <c s="404">
        <f>Report!$F$5</f>
      </c>
      <c s="160">
        <f ca="1" t="shared" si="0"/>
        <v>45880.712358819444</v>
      </c>
      <c s="404">
        <f>Report!$N$5</f>
      </c>
      <c s="404"/>
      <c s="404">
        <f>Report!$C$6</f>
      </c>
      <c s="404">
        <f>Report!$H$6</f>
      </c>
      <c s="426" t="e">
        <f t="shared" si="9"/>
        <v>#REF!</v>
      </c>
      <c s="404"/>
      <c s="426">
        <v>7001</v>
      </c>
    </row>
    <row r="30" ht="27.75">
      <c r="A30" s="426">
        <v>7002</v>
      </c>
      <c s="168" t="str" cm="1">
        <f aca="1" ca="1" ref="B30:B30" t="array">MID(_xlfn.SINGLE(CELL("filename")),FIND("[",_xlfn.SINGLE(CELL("filename")),1)+1,FIND(".",_xlfn.SINGLE(CELL("filename")),1)-FIND("[",_xlfn.SINGLE(CELL("filename")),1)-1)</f>
        <v>34U1602-01-0024_202508110505</v>
      </c>
      <c s="426" t="e">
        <f t="shared" si="7"/>
        <v>#REF!</v>
      </c>
      <c s="311" t="e">
        <f t="shared" si="8"/>
        <v>#REF!</v>
      </c>
      <c s="404"/>
      <c s="404"/>
      <c s="404"/>
      <c s="404">
        <f>Report!$F$5</f>
      </c>
      <c s="160">
        <f ca="1" t="shared" si="0"/>
        <v>45880.712358819444</v>
      </c>
      <c s="404">
        <f>Report!$N$5</f>
      </c>
      <c s="404"/>
      <c s="404">
        <f>Report!$C$6</f>
      </c>
      <c s="404">
        <f>Report!$H$6</f>
      </c>
      <c s="426" t="e">
        <f t="shared" si="9"/>
        <v>#REF!</v>
      </c>
      <c s="404"/>
      <c s="426">
        <v>7002</v>
      </c>
    </row>
    <row r="31" ht="27.75">
      <c r="A31" s="426">
        <v>7003</v>
      </c>
      <c s="168" t="str" cm="1">
        <f aca="1" ca="1" ref="B31:B31" t="array">MID(_xlfn.SINGLE(CELL("filename")),FIND("[",_xlfn.SINGLE(CELL("filename")),1)+1,FIND(".",_xlfn.SINGLE(CELL("filename")),1)-FIND("[",_xlfn.SINGLE(CELL("filename")),1)-1)</f>
        <v>34U1602-01-0024_202508110505</v>
      </c>
      <c s="426" t="e">
        <f t="shared" si="7"/>
        <v>#REF!</v>
      </c>
      <c s="311" t="e">
        <f t="shared" si="8"/>
        <v>#REF!</v>
      </c>
      <c s="404"/>
      <c s="404"/>
      <c s="404"/>
      <c s="404">
        <f>Report!$F$5</f>
      </c>
      <c s="160">
        <f ca="1" t="shared" si="0"/>
        <v>45880.712358819444</v>
      </c>
      <c s="404">
        <f>Report!$N$5</f>
      </c>
      <c s="404"/>
      <c s="404">
        <f>Report!$C$6</f>
      </c>
      <c s="404">
        <f>Report!$H$6</f>
      </c>
      <c s="426" t="e">
        <f t="shared" si="9"/>
        <v>#REF!</v>
      </c>
      <c s="404"/>
      <c s="426">
        <v>7003</v>
      </c>
    </row>
    <row r="32" ht="27.75">
      <c r="A32" s="426">
        <v>7004</v>
      </c>
      <c s="168" t="str" cm="1">
        <f aca="1" ca="1" ref="B32:B32" t="array">MID(_xlfn.SINGLE(CELL("filename")),FIND("[",_xlfn.SINGLE(CELL("filename")),1)+1,FIND(".",_xlfn.SINGLE(CELL("filename")),1)-FIND("[",_xlfn.SINGLE(CELL("filename")),1)-1)</f>
        <v>34U1602-01-0024_202508110505</v>
      </c>
      <c s="426" t="e">
        <f t="shared" si="7"/>
        <v>#REF!</v>
      </c>
      <c s="311" t="e">
        <f t="shared" si="8"/>
        <v>#REF!</v>
      </c>
      <c s="404"/>
      <c s="404"/>
      <c s="404"/>
      <c s="404">
        <f>Report!$F$5</f>
      </c>
      <c s="160">
        <f ca="1" t="shared" si="0"/>
        <v>45880.712358819444</v>
      </c>
      <c s="404">
        <f>Report!$N$5</f>
      </c>
      <c s="404"/>
      <c s="404">
        <f>Report!$C$6</f>
      </c>
      <c s="404">
        <f>Report!$H$6</f>
      </c>
      <c s="426" t="e">
        <f t="shared" si="9"/>
        <v>#REF!</v>
      </c>
      <c s="404"/>
      <c s="426">
        <v>7004</v>
      </c>
    </row>
    <row r="33" ht="27.75">
      <c r="A33" s="426">
        <v>8001</v>
      </c>
      <c s="168" t="str" cm="1">
        <f aca="1" ca="1" ref="B33:B33" t="array">MID(_xlfn.SINGLE(CELL("filename")),FIND("[",_xlfn.SINGLE(CELL("filename")),1)+1,FIND(".",_xlfn.SINGLE(CELL("filename")),1)-FIND("[",_xlfn.SINGLE(CELL("filename")),1)-1)</f>
        <v>34U1602-01-0024_202508110505</v>
      </c>
      <c s="426" t="e">
        <f t="shared" si="7"/>
        <v>#REF!</v>
      </c>
      <c s="311" t="e">
        <f t="shared" si="8"/>
        <v>#REF!</v>
      </c>
      <c s="404"/>
      <c s="404"/>
      <c s="404"/>
      <c s="404">
        <f>Report!$F$5</f>
      </c>
      <c s="160">
        <f ca="1" t="shared" si="0"/>
        <v>45880.712358819444</v>
      </c>
      <c s="404">
        <f>Report!$N$5</f>
      </c>
      <c s="404"/>
      <c s="404">
        <f>Report!$C$6</f>
      </c>
      <c s="404">
        <f>Report!$H$6</f>
      </c>
      <c s="426" t="e">
        <f t="shared" si="9"/>
        <v>#REF!</v>
      </c>
      <c s="404"/>
      <c s="426">
        <v>8001</v>
      </c>
    </row>
    <row r="34" ht="27.75">
      <c r="A34" s="426">
        <v>8002</v>
      </c>
      <c s="168" t="str" cm="1">
        <f aca="1" ca="1" ref="B34:B34" t="array">MID(_xlfn.SINGLE(CELL("filename")),FIND("[",_xlfn.SINGLE(CELL("filename")),1)+1,FIND(".",_xlfn.SINGLE(CELL("filename")),1)-FIND("[",_xlfn.SINGLE(CELL("filename")),1)-1)</f>
        <v>34U1602-01-0024_202508110505</v>
      </c>
      <c s="426" t="e">
        <f t="shared" si="7"/>
        <v>#REF!</v>
      </c>
      <c s="311" t="e">
        <f t="shared" si="8"/>
        <v>#REF!</v>
      </c>
      <c s="404"/>
      <c s="404"/>
      <c s="404"/>
      <c s="404">
        <f>Report!$F$5</f>
      </c>
      <c s="160">
        <f ca="1" t="shared" si="0"/>
        <v>45880.712358819444</v>
      </c>
      <c s="404">
        <f>Report!$N$5</f>
      </c>
      <c s="404"/>
      <c s="404">
        <f>Report!$C$6</f>
      </c>
      <c s="404">
        <f>Report!$H$6</f>
      </c>
      <c s="426" t="e">
        <f t="shared" si="9"/>
        <v>#REF!</v>
      </c>
      <c s="404"/>
      <c s="426">
        <v>8002</v>
      </c>
    </row>
    <row r="35" ht="27.75">
      <c r="A35" s="426">
        <v>8003</v>
      </c>
      <c s="168" t="str" cm="1">
        <f aca="1" ca="1" ref="B35:B35" t="array">MID(_xlfn.SINGLE(CELL("filename")),FIND("[",_xlfn.SINGLE(CELL("filename")),1)+1,FIND(".",_xlfn.SINGLE(CELL("filename")),1)-FIND("[",_xlfn.SINGLE(CELL("filename")),1)-1)</f>
        <v>34U1602-01-0024_202508110505</v>
      </c>
      <c s="426" t="e">
        <f t="shared" si="7"/>
        <v>#REF!</v>
      </c>
      <c s="311" t="e">
        <f t="shared" si="8"/>
        <v>#REF!</v>
      </c>
      <c s="404"/>
      <c s="404"/>
      <c s="404"/>
      <c s="404">
        <f>Report!$F$5</f>
      </c>
      <c s="160">
        <f ca="1" t="shared" si="0"/>
        <v>45880.712358819444</v>
      </c>
      <c s="404">
        <f>Report!$N$5</f>
      </c>
      <c s="404"/>
      <c s="404">
        <f>Report!$C$6</f>
      </c>
      <c s="404">
        <f>Report!$H$6</f>
      </c>
      <c s="426" t="e">
        <f t="shared" si="9"/>
        <v>#REF!</v>
      </c>
      <c s="404"/>
      <c s="426">
        <v>8003</v>
      </c>
    </row>
    <row r="36" ht="27.75">
      <c r="A36" s="165">
        <v>8004</v>
      </c>
      <c s="168" t="str" cm="1">
        <f aca="1" ca="1" ref="B36:B36" t="array">MID(_xlfn.SINGLE(CELL("filename")),FIND("[",_xlfn.SINGLE(CELL("filename")),1)+1,FIND(".",_xlfn.SINGLE(CELL("filename")),1)-FIND("[",_xlfn.SINGLE(CELL("filename")),1)-1)</f>
        <v>34U1602-01-0024_202508110505</v>
      </c>
      <c s="426" t="e">
        <f t="shared" si="7"/>
        <v>#REF!</v>
      </c>
      <c s="311" t="e">
        <f t="shared" si="8"/>
        <v>#REF!</v>
      </c>
      <c s="404"/>
      <c s="404"/>
      <c s="404"/>
      <c s="404">
        <f>Report!$F$5</f>
      </c>
      <c s="160">
        <f ca="1" t="shared" si="0"/>
        <v>45880.712358819444</v>
      </c>
      <c s="404">
        <f>Report!$N$5</f>
      </c>
      <c s="404"/>
      <c s="404">
        <f>Report!$C$6</f>
      </c>
      <c s="404">
        <f>Report!$H$6</f>
      </c>
      <c s="426" t="e">
        <f t="shared" si="9"/>
        <v>#REF!</v>
      </c>
      <c s="404"/>
      <c s="426">
        <v>8004</v>
      </c>
    </row>
    <row r="37" ht="27.75">
      <c r="A37" s="165">
        <v>9001</v>
      </c>
      <c s="168" t="str" cm="1">
        <f aca="1" ca="1" ref="B37:B37" t="array">MID(_xlfn.SINGLE(CELL("filename")),FIND("[",_xlfn.SINGLE(CELL("filename")),1)+1,FIND(".",_xlfn.SINGLE(CELL("filename")),1)-FIND("[",_xlfn.SINGLE(CELL("filename")),1)-1)</f>
        <v>34U1602-01-0024_202508110505</v>
      </c>
      <c s="426" t="e">
        <f t="shared" si="7"/>
        <v>#REF!</v>
      </c>
      <c s="311" t="e">
        <f t="shared" si="8"/>
        <v>#REF!</v>
      </c>
      <c s="404"/>
      <c s="404"/>
      <c s="404"/>
      <c s="404">
        <f>Report!$F$5</f>
      </c>
      <c s="160">
        <f ca="1" t="shared" si="0"/>
        <v>45880.712358819444</v>
      </c>
      <c s="404">
        <f>Report!$N$5</f>
      </c>
      <c s="404"/>
      <c s="404">
        <f>Report!$C$6</f>
      </c>
      <c s="404">
        <f>Report!$H$6</f>
      </c>
      <c s="426" t="e">
        <f t="shared" si="9"/>
        <v>#REF!</v>
      </c>
      <c s="404"/>
      <c s="426">
        <v>9001</v>
      </c>
    </row>
    <row r="38" customHeight="1">
      <c r="H38" s="197"/>
    </row>
  </sheetData>
  <printOptions/>
  <pageMargins left="0.7" right="0.7" top="0.75" bottom="0.75" header="0.3" footer="0.3"/>
  <pageSetup paperSize="9" firstPageNumber="4294963191" copies="0"/>
  <headerFooter/>
  <extLst/>
</worksheet>
</file>

<file path=xl/worksheets/sheet4.xml><?xml version="1.0" encoding="utf-8"?>
<worksheet xmlns:mc="http://schemas.openxmlformats.org/markup-compatibility/2006" xmlns:x14ac="http://schemas.microsoft.com/office/spreadsheetml/2009/9/ac" xmlns:x14="http://schemas.microsoft.com/office/spreadsheetml/2009/9/main" xmlns:r="http://schemas.openxmlformats.org/officeDocument/2006/relationships" xmlns="http://schemas.openxmlformats.org/spreadsheetml/2006/main" mc:Ignorable="x14ac">
  <sheetPr/>
  <dimension ref="A1:S39"/>
  <sheetViews>
    <sheetView topLeftCell="A1" workbookViewId="0" showGridLines="0">
      <pane topLeftCell="A1"/>
      <selection activeCellId="0" activeCell="B5" sqref="B5"/>
    </sheetView>
  </sheetViews>
  <sheetFormatPr defaultColWidth="9" defaultRowHeight="14.25" customHeight="1"/>
  <cols>
    <col min="1" max="1" width="9" style="122"/>
    <col min="2" max="2" width="17.25" customWidth="1" style="122"/>
    <col min="3" max="3" width="29.25" customWidth="1" style="122"/>
    <col min="4" max="4" width="12.38" customWidth="1" style="122"/>
    <col min="5" max="5" width="22.63" customWidth="1" style="123"/>
    <col min="6" max="6" width="9" style="122"/>
    <col min="7" max="7" width="16.88" customWidth="1" style="122"/>
    <col min="8" max="8" width="29.25" customWidth="1" style="122"/>
    <col min="9" max="9" width="12.38" customWidth="1" style="122"/>
    <col min="10" max="10" width="3.75" customWidth="1" style="122"/>
    <col min="11" max="11" width="17.25" customWidth="1" style="122"/>
    <col min="12" max="12" width="16.88" customWidth="1" style="122"/>
    <col min="13" max="13" width="12.38" customWidth="1" style="124"/>
    <col min="14" max="14" width="5.75" customWidth="1" style="122"/>
    <col min="15" max="15" width="11.63" customWidth="1" style="122"/>
    <col min="16" max="16" width="5.75" customWidth="1" style="122"/>
    <col min="17" max="17" width="20.38" customWidth="1" style="122"/>
    <col min="18" max="18" width="14.88" customWidth="1" style="122"/>
    <col min="19" max="20" width="13.88" customWidth="1" style="122"/>
    <col min="21" max="21" width="19" customWidth="1" style="122"/>
    <col min="22" max="22" width="7.5" customWidth="1" style="122"/>
    <col min="23" max="23" width="19.38" customWidth="1" style="122"/>
    <col min="24" max="25" width="13.88" customWidth="1" style="122"/>
    <col min="26" max="26" width="14.88" customWidth="1" style="122"/>
    <col min="27" max="16384" width="9" style="122"/>
  </cols>
  <sheetData>
    <row r="1" customHeight="1">
      <c r="A1" s="156" t="s">
        <v>17</v>
      </c>
      <c s="449"/>
      <c s="449"/>
      <c s="449"/>
      <c s="449"/>
      <c s="449"/>
      <c s="449"/>
      <c s="147"/>
      <c r="M1" s="122"/>
      <c r="O1" s="148"/>
    </row>
    <row r="2" customHeight="1">
      <c r="A2" s="210" t="s">
        <v>5</v>
      </c>
      <c s="210" t="s">
        <v>122</v>
      </c>
      <c s="210" t="s">
        <v>123</v>
      </c>
      <c s="210" t="s">
        <v>124</v>
      </c>
      <c s="210" t="s">
        <v>125</v>
      </c>
      <c s="210" t="s">
        <v>69</v>
      </c>
      <c s="209" t="s">
        <v>126</v>
      </c>
      <c s="210" t="s">
        <v>127</v>
      </c>
      <c r="M2" s="122"/>
      <c r="O2" s="148"/>
    </row>
    <row r="3" customHeight="1">
      <c r="A3" s="161" t="s">
        <v>128</v>
      </c>
      <c s="450">
        <v>900</v>
      </c>
      <c s="161" t="s">
        <v>19</v>
      </c>
      <c s="450">
        <v>901</v>
      </c>
      <c s="237" t="s">
        <v>129</v>
      </c>
      <c s="136">
        <v>546</v>
      </c>
      <c s="129"/>
      <c s="128"/>
      <c r="M3" s="122"/>
      <c r="O3" s="148"/>
    </row>
    <row r="4" customHeight="1">
      <c r="A4" s="161" t="s">
        <v>128</v>
      </c>
      <c s="450">
        <v>1E+3</v>
      </c>
      <c s="161" t="s">
        <v>130</v>
      </c>
      <c s="450">
        <v>1001</v>
      </c>
      <c s="453" t="s">
        <v>29</v>
      </c>
      <c s="154" t="s">
        <v>131</v>
      </c>
      <c s="129">
        <v>0.1</v>
      </c>
      <c s="128">
        <v>0.1</v>
      </c>
      <c r="M4" s="122"/>
      <c r="O4" s="148"/>
    </row>
    <row r="5" customHeight="1">
      <c r="A5" s="161" t="s">
        <v>128</v>
      </c>
      <c s="450">
        <v>1E+3</v>
      </c>
      <c s="161" t="s">
        <v>130</v>
      </c>
      <c s="450">
        <v>1002</v>
      </c>
      <c s="453" t="s">
        <v>29</v>
      </c>
      <c s="450">
        <v>486</v>
      </c>
      <c s="129">
        <v>0.3</v>
      </c>
      <c s="128">
        <v>0.1</v>
      </c>
      <c r="M5" s="122"/>
      <c r="O5" s="148"/>
    </row>
    <row r="6" customHeight="1">
      <c r="A6" s="161" t="s">
        <v>128</v>
      </c>
      <c s="450">
        <v>1E+3</v>
      </c>
      <c s="161" t="s">
        <v>130</v>
      </c>
      <c s="450">
        <v>1003</v>
      </c>
      <c s="453" t="s">
        <v>30</v>
      </c>
      <c s="154" t="s">
        <v>132</v>
      </c>
      <c s="129">
        <v>0.3</v>
      </c>
      <c s="128">
        <v>0.1</v>
      </c>
      <c r="J6" s="131"/>
      <c s="131"/>
      <c s="131"/>
      <c s="131"/>
      <c r="S6" s="149"/>
    </row>
    <row r="7" customHeight="1">
      <c r="A7" s="161" t="s">
        <v>128</v>
      </c>
      <c s="450">
        <v>1E+3</v>
      </c>
      <c s="161" t="s">
        <v>130</v>
      </c>
      <c s="450">
        <v>1008</v>
      </c>
      <c s="453" t="s">
        <v>31</v>
      </c>
      <c s="154" t="s">
        <v>133</v>
      </c>
      <c s="129">
        <v>0.3</v>
      </c>
      <c s="128">
        <v>0.1</v>
      </c>
      <c s="155"/>
      <c s="126"/>
      <c s="126"/>
      <c r="M7" s="122"/>
    </row>
    <row r="8" customHeight="1">
      <c r="A8" s="161" t="s">
        <v>128</v>
      </c>
      <c s="450">
        <v>1E+3</v>
      </c>
      <c s="161" t="s">
        <v>130</v>
      </c>
      <c s="450">
        <v>1009</v>
      </c>
      <c s="453" t="s">
        <v>31</v>
      </c>
      <c s="154" t="s">
        <v>134</v>
      </c>
      <c s="129">
        <v>0.3</v>
      </c>
      <c s="128">
        <v>0.1</v>
      </c>
      <c r="J8" s="126"/>
      <c s="126"/>
      <c r="M8" s="122"/>
    </row>
    <row r="9" customHeight="1">
      <c r="A9" s="161" t="s">
        <v>128</v>
      </c>
      <c s="450">
        <v>1E+3</v>
      </c>
      <c s="161" t="s">
        <v>130</v>
      </c>
      <c s="450">
        <v>1010</v>
      </c>
      <c s="453" t="s">
        <v>31</v>
      </c>
      <c s="154" t="s">
        <v>135</v>
      </c>
      <c s="129">
        <v>0.3</v>
      </c>
      <c s="128">
        <v>0.1</v>
      </c>
      <c r="J9" s="126"/>
      <c s="126"/>
      <c r="M9" s="122"/>
    </row>
    <row r="10" customHeight="1">
      <c r="A10" s="161" t="s">
        <v>128</v>
      </c>
      <c s="450">
        <v>1E+3</v>
      </c>
      <c s="161" t="s">
        <v>130</v>
      </c>
      <c s="450">
        <v>1011</v>
      </c>
      <c s="453" t="s">
        <v>31</v>
      </c>
      <c s="154" t="s">
        <v>136</v>
      </c>
      <c s="129">
        <v>0.3</v>
      </c>
      <c s="128">
        <v>0.1</v>
      </c>
      <c r="J10" s="126"/>
      <c s="126"/>
      <c r="M10" s="122"/>
    </row>
    <row r="11" customHeight="1">
      <c r="A11" s="161" t="s">
        <v>128</v>
      </c>
      <c s="450">
        <v>1E+3</v>
      </c>
      <c s="161" t="s">
        <v>130</v>
      </c>
      <c s="450">
        <v>1012</v>
      </c>
      <c s="453" t="s">
        <v>31</v>
      </c>
      <c s="154" t="s">
        <v>137</v>
      </c>
      <c s="129">
        <v>0.3</v>
      </c>
      <c s="128">
        <v>0.1</v>
      </c>
      <c r="J11" s="126"/>
      <c s="126"/>
      <c r="M11" s="122"/>
    </row>
    <row r="12" customHeight="1">
      <c r="A12" s="161" t="s">
        <v>128</v>
      </c>
      <c s="450">
        <v>1E+3</v>
      </c>
      <c s="161" t="s">
        <v>130</v>
      </c>
      <c s="450">
        <v>1013</v>
      </c>
      <c s="453" t="s">
        <v>31</v>
      </c>
      <c s="154" t="s">
        <v>138</v>
      </c>
      <c s="129">
        <v>0.3</v>
      </c>
      <c s="128">
        <v>0.1</v>
      </c>
      <c r="J12" s="126"/>
      <c s="126"/>
      <c r="M12" s="122"/>
    </row>
    <row r="13" ht="14.25" customHeight="1">
      <c r="A13" s="161" t="s">
        <v>128</v>
      </c>
      <c s="450">
        <v>2E+3</v>
      </c>
      <c s="161" t="s">
        <v>139</v>
      </c>
      <c s="450">
        <v>2001</v>
      </c>
      <c s="453" t="s">
        <v>140</v>
      </c>
      <c s="132" t="s">
        <v>141</v>
      </c>
      <c s="130">
        <v>0.3</v>
      </c>
      <c s="130">
        <v>0.1</v>
      </c>
      <c r="J13" s="126"/>
      <c s="155"/>
      <c r="M13" s="122"/>
    </row>
    <row r="14" ht="28.5">
      <c r="A14" s="161" t="s">
        <v>128</v>
      </c>
      <c s="450">
        <v>2E+3</v>
      </c>
      <c s="161" t="s">
        <v>139</v>
      </c>
      <c s="450">
        <v>2002</v>
      </c>
      <c s="453" t="s">
        <v>140</v>
      </c>
      <c s="132" t="s">
        <v>142</v>
      </c>
      <c s="130">
        <v>0.3</v>
      </c>
      <c s="130">
        <v>0.1</v>
      </c>
      <c r="J14" s="126"/>
      <c s="155"/>
      <c r="M14" s="122"/>
    </row>
    <row r="15" ht="28.5">
      <c r="A15" s="161" t="s">
        <v>128</v>
      </c>
      <c s="450">
        <v>2E+3</v>
      </c>
      <c s="161" t="s">
        <v>139</v>
      </c>
      <c s="450">
        <v>2003</v>
      </c>
      <c s="453" t="s">
        <v>140</v>
      </c>
      <c s="132" t="s">
        <v>143</v>
      </c>
      <c s="130">
        <v>0.3</v>
      </c>
      <c s="130">
        <v>0.1</v>
      </c>
      <c r="J15" s="126"/>
      <c s="155"/>
      <c r="M15" s="122"/>
    </row>
    <row r="16" ht="28.5">
      <c r="A16" s="161" t="s">
        <v>128</v>
      </c>
      <c s="450">
        <v>2E+3</v>
      </c>
      <c s="161" t="s">
        <v>139</v>
      </c>
      <c s="450">
        <v>2004</v>
      </c>
      <c s="453" t="s">
        <v>140</v>
      </c>
      <c s="132" t="s">
        <v>144</v>
      </c>
      <c s="130">
        <v>0.3</v>
      </c>
      <c s="130">
        <v>0.1</v>
      </c>
      <c r="J16" s="126"/>
      <c s="155"/>
      <c r="M16" s="122"/>
    </row>
    <row r="17" customHeight="1">
      <c r="A17" s="161" t="s">
        <v>128</v>
      </c>
      <c s="450">
        <v>2E+3</v>
      </c>
      <c s="161" t="s">
        <v>139</v>
      </c>
      <c s="450">
        <v>2005</v>
      </c>
      <c s="132" t="s">
        <v>97</v>
      </c>
      <c s="132" t="s">
        <v>145</v>
      </c>
      <c s="130">
        <v>0.3</v>
      </c>
      <c s="130">
        <v>0.1</v>
      </c>
      <c r="M17" s="122"/>
    </row>
    <row r="18" customHeight="1">
      <c r="A18" s="161" t="s">
        <v>128</v>
      </c>
      <c s="450">
        <v>2E+3</v>
      </c>
      <c s="161" t="s">
        <v>139</v>
      </c>
      <c s="450">
        <v>2006</v>
      </c>
      <c s="132" t="s">
        <v>97</v>
      </c>
      <c s="132" t="s">
        <v>146</v>
      </c>
      <c s="130">
        <v>0.3</v>
      </c>
      <c s="130">
        <v>0.1</v>
      </c>
      <c r="M18" s="122"/>
    </row>
    <row r="19" customHeight="1">
      <c r="A19" s="161" t="s">
        <v>128</v>
      </c>
      <c s="450">
        <v>2E+3</v>
      </c>
      <c s="161" t="s">
        <v>139</v>
      </c>
      <c s="450">
        <v>2007</v>
      </c>
      <c s="132" t="s">
        <v>97</v>
      </c>
      <c s="132" t="s">
        <v>147</v>
      </c>
      <c s="130">
        <v>0.3</v>
      </c>
      <c s="130">
        <v>0.1</v>
      </c>
      <c r="M19" s="122"/>
    </row>
    <row r="20" customHeight="1">
      <c r="A20" s="161" t="s">
        <v>128</v>
      </c>
      <c s="450">
        <v>2E+3</v>
      </c>
      <c s="161" t="s">
        <v>139</v>
      </c>
      <c s="450">
        <v>2008</v>
      </c>
      <c s="132" t="s">
        <v>102</v>
      </c>
      <c s="132" t="s">
        <v>145</v>
      </c>
      <c s="130">
        <v>0.3</v>
      </c>
      <c s="130">
        <v>0.1</v>
      </c>
      <c r="M20" s="122"/>
    </row>
    <row r="21" customHeight="1">
      <c r="A21" s="161" t="s">
        <v>128</v>
      </c>
      <c s="450">
        <v>2E+3</v>
      </c>
      <c s="161" t="s">
        <v>139</v>
      </c>
      <c s="450">
        <v>2009</v>
      </c>
      <c s="132" t="s">
        <v>102</v>
      </c>
      <c s="132" t="s">
        <v>146</v>
      </c>
      <c s="130">
        <v>0.3</v>
      </c>
      <c s="130">
        <v>0.1</v>
      </c>
      <c r="M21" s="122"/>
    </row>
    <row r="22" customHeight="1">
      <c r="A22" s="161" t="s">
        <v>128</v>
      </c>
      <c s="450">
        <v>2E+3</v>
      </c>
      <c s="161" t="s">
        <v>139</v>
      </c>
      <c s="450">
        <v>2010</v>
      </c>
      <c s="132" t="s">
        <v>102</v>
      </c>
      <c s="132" t="s">
        <v>147</v>
      </c>
      <c s="130">
        <v>0.3</v>
      </c>
      <c s="130">
        <v>0.1</v>
      </c>
      <c r="M22" s="122"/>
    </row>
    <row r="23" customHeight="1">
      <c r="A23" s="161" t="s">
        <v>128</v>
      </c>
      <c s="450">
        <v>2E+3</v>
      </c>
      <c s="161" t="s">
        <v>139</v>
      </c>
      <c s="450">
        <v>2011</v>
      </c>
      <c s="132" t="s">
        <v>105</v>
      </c>
      <c s="132" t="s">
        <v>145</v>
      </c>
      <c s="130">
        <v>0.3</v>
      </c>
      <c s="130">
        <v>0.1</v>
      </c>
      <c r="M23" s="122"/>
    </row>
    <row r="24" customHeight="1">
      <c r="A24" s="161" t="s">
        <v>128</v>
      </c>
      <c s="450">
        <v>2E+3</v>
      </c>
      <c s="161" t="s">
        <v>139</v>
      </c>
      <c s="450">
        <v>2012</v>
      </c>
      <c s="132" t="s">
        <v>105</v>
      </c>
      <c s="132" t="s">
        <v>146</v>
      </c>
      <c s="130">
        <v>0.3</v>
      </c>
      <c s="130">
        <v>0.1</v>
      </c>
      <c r="M24" s="122"/>
    </row>
    <row r="25" customHeight="1">
      <c r="A25" s="161" t="s">
        <v>128</v>
      </c>
      <c s="450">
        <v>2E+3</v>
      </c>
      <c s="161" t="s">
        <v>139</v>
      </c>
      <c s="450">
        <v>2013</v>
      </c>
      <c s="132" t="s">
        <v>105</v>
      </c>
      <c s="132" t="s">
        <v>147</v>
      </c>
      <c s="130">
        <v>0.3</v>
      </c>
      <c s="130">
        <v>0.1</v>
      </c>
      <c r="M25" s="122"/>
    </row>
    <row r="26" customHeight="1">
      <c r="A26" s="161" t="s">
        <v>128</v>
      </c>
      <c s="450">
        <v>3E+3</v>
      </c>
      <c s="161" t="s">
        <v>148</v>
      </c>
      <c s="450">
        <v>3001</v>
      </c>
      <c s="454" t="s">
        <v>53</v>
      </c>
      <c s="134" t="s">
        <v>51</v>
      </c>
      <c s="146">
        <v>0.01</v>
      </c>
      <c s="161"/>
      <c r="M26" s="122"/>
    </row>
    <row r="27" customHeight="1">
      <c r="A27" s="161" t="s">
        <v>128</v>
      </c>
      <c s="450">
        <v>3E+3</v>
      </c>
      <c s="161" t="s">
        <v>148</v>
      </c>
      <c s="450">
        <v>3002</v>
      </c>
      <c s="454" t="s">
        <v>57</v>
      </c>
      <c s="134" t="s">
        <v>55</v>
      </c>
      <c s="146">
        <v>0.02</v>
      </c>
      <c s="161"/>
      <c r="M27" s="122"/>
    </row>
    <row r="28" customHeight="1">
      <c r="A28" s="161" t="s">
        <v>128</v>
      </c>
      <c s="450">
        <v>4E+3</v>
      </c>
      <c s="161" t="s">
        <v>149</v>
      </c>
      <c s="450">
        <v>4001</v>
      </c>
      <c s="454" t="s">
        <v>58</v>
      </c>
      <c s="161"/>
      <c s="138">
        <v>0.0005</v>
      </c>
      <c s="161"/>
      <c r="M28" s="122"/>
    </row>
    <row r="29" customHeight="1">
      <c r="A29" s="161" t="s">
        <v>128</v>
      </c>
      <c s="450">
        <v>5E+3</v>
      </c>
      <c s="161" t="s">
        <v>150</v>
      </c>
      <c s="450">
        <v>5001</v>
      </c>
      <c s="454" t="s">
        <v>151</v>
      </c>
      <c s="161"/>
      <c s="139">
        <v>0.1</v>
      </c>
      <c s="161"/>
      <c r="M29" s="122"/>
    </row>
    <row r="30" customHeight="1">
      <c r="A30" s="161" t="s">
        <v>128</v>
      </c>
      <c s="450">
        <v>6E+3</v>
      </c>
      <c s="161" t="s">
        <v>152</v>
      </c>
      <c s="450">
        <v>6002</v>
      </c>
      <c s="454" t="s">
        <v>153</v>
      </c>
      <c s="137">
        <v>656.1</v>
      </c>
      <c s="140">
        <v>20</v>
      </c>
      <c s="161"/>
      <c r="M30" s="122"/>
    </row>
    <row r="31" customHeight="1">
      <c r="A31" s="161" t="s">
        <v>128</v>
      </c>
      <c s="450">
        <v>7E+3</v>
      </c>
      <c s="161" t="s">
        <v>154</v>
      </c>
      <c s="450">
        <v>7001</v>
      </c>
      <c s="455" t="s">
        <v>155</v>
      </c>
      <c s="158">
        <v>500</v>
      </c>
      <c s="141">
        <v>0.05</v>
      </c>
      <c s="161"/>
      <c r="M31" s="122"/>
    </row>
    <row r="32" customHeight="1">
      <c r="A32" s="161" t="s">
        <v>128</v>
      </c>
      <c s="450">
        <v>7E+3</v>
      </c>
      <c s="161" t="s">
        <v>154</v>
      </c>
      <c s="450">
        <v>7002</v>
      </c>
      <c s="455" t="s">
        <v>156</v>
      </c>
      <c s="158">
        <v>500</v>
      </c>
      <c s="142">
        <v>0.005</v>
      </c>
      <c s="161"/>
      <c r="M32" s="122"/>
    </row>
    <row r="33" customHeight="1">
      <c r="A33" s="161" t="s">
        <v>128</v>
      </c>
      <c s="450">
        <v>7E+3</v>
      </c>
      <c s="161" t="s">
        <v>154</v>
      </c>
      <c s="450">
        <v>7003</v>
      </c>
      <c s="455" t="s">
        <v>157</v>
      </c>
      <c s="158">
        <v>250</v>
      </c>
      <c s="141">
        <v>0.05</v>
      </c>
      <c s="161"/>
      <c r="M33" s="122"/>
    </row>
    <row r="34" customHeight="1">
      <c r="A34" s="161" t="s">
        <v>128</v>
      </c>
      <c s="450">
        <v>7E+3</v>
      </c>
      <c s="161" t="s">
        <v>154</v>
      </c>
      <c s="450">
        <v>7004</v>
      </c>
      <c s="455" t="s">
        <v>158</v>
      </c>
      <c s="158">
        <v>250</v>
      </c>
      <c s="142">
        <v>0.005</v>
      </c>
      <c s="161"/>
      <c r="M34" s="122"/>
    </row>
    <row r="35" customHeight="1">
      <c r="A35" s="161" t="s">
        <v>128</v>
      </c>
      <c s="450">
        <v>8E+3</v>
      </c>
      <c s="161" t="s">
        <v>159</v>
      </c>
      <c s="450">
        <v>8001</v>
      </c>
      <c s="455" t="s">
        <v>160</v>
      </c>
      <c s="158">
        <v>1090</v>
      </c>
      <c s="144">
        <v>0.1</v>
      </c>
      <c s="161"/>
      <c r="M35" s="122"/>
    </row>
    <row r="36" customHeight="1">
      <c r="A36" s="161" t="s">
        <v>128</v>
      </c>
      <c s="450">
        <v>8E+3</v>
      </c>
      <c s="161" t="s">
        <v>159</v>
      </c>
      <c s="450">
        <v>8002</v>
      </c>
      <c s="455" t="s">
        <v>161</v>
      </c>
      <c s="158">
        <v>1090</v>
      </c>
      <c s="141">
        <v>0.02</v>
      </c>
      <c s="161"/>
      <c r="M36" s="122"/>
    </row>
    <row r="37" customHeight="1">
      <c r="A37" s="161" t="s">
        <v>128</v>
      </c>
      <c s="450">
        <v>8E+3</v>
      </c>
      <c s="161" t="s">
        <v>159</v>
      </c>
      <c s="450">
        <v>8003</v>
      </c>
      <c s="455" t="s">
        <v>162</v>
      </c>
      <c s="158">
        <v>200</v>
      </c>
      <c s="144">
        <v>0.1</v>
      </c>
      <c s="161"/>
      <c r="M37" s="122"/>
    </row>
    <row r="38" customHeight="1">
      <c r="A38" s="161" t="s">
        <v>128</v>
      </c>
      <c s="451">
        <v>8E+3</v>
      </c>
      <c s="452" t="s">
        <v>159</v>
      </c>
      <c s="451">
        <v>8004</v>
      </c>
      <c s="135" t="s">
        <v>163</v>
      </c>
      <c s="158">
        <v>200</v>
      </c>
      <c s="141">
        <v>0.02</v>
      </c>
      <c s="452"/>
      <c r="M38" s="122"/>
    </row>
    <row r="39" customHeight="1">
      <c r="A39" s="161" t="s">
        <v>128</v>
      </c>
      <c s="451">
        <v>9E+3</v>
      </c>
      <c s="452" t="s">
        <v>164</v>
      </c>
      <c s="451">
        <v>9001</v>
      </c>
      <c s="454" t="s">
        <v>164</v>
      </c>
      <c s="135" t="s">
        <v>165</v>
      </c>
      <c s="143">
        <v>0.1</v>
      </c>
      <c s="452"/>
      <c r="M39" s="122"/>
    </row>
  </sheetData>
  <mergeCells>
    <mergeCell ref="A1:H1"/>
  </mergeCells>
  <printOptions/>
  <pageMargins left="0.7" right="0.7" top="0.75" bottom="0.75" header="0.3" footer="0.3"/>
  <pageSetup paperSize="9" firstPageNumber="4294963191" copies="0"/>
  <headerFooter/>
  <extLst/>
</worksheet>
</file>

<file path=xl/worksheets/sheet5.xml><?xml version="1.0" encoding="utf-8"?>
<worksheet xmlns:mc="http://schemas.openxmlformats.org/markup-compatibility/2006" xmlns:x14ac="http://schemas.microsoft.com/office/spreadsheetml/2009/9/ac" xmlns:x14="http://schemas.microsoft.com/office/spreadsheetml/2009/9/main" xmlns:r="http://schemas.openxmlformats.org/officeDocument/2006/relationships" xmlns="http://schemas.openxmlformats.org/spreadsheetml/2006/main" mc:Ignorable="x14ac">
  <sheetPr/>
  <dimension ref="A1:E11"/>
  <sheetViews>
    <sheetView topLeftCell="A1" workbookViewId="0">
      <pane topLeftCell="A1"/>
      <selection activeCellId="0" activeCell="A6" sqref="A6"/>
    </sheetView>
  </sheetViews>
  <sheetFormatPr defaultColWidth="9" defaultRowHeight="14.25" customHeight="1"/>
  <cols>
    <col min="1" max="1" width="10.13" customWidth="1" style="118"/>
    <col min="2" max="2" width="12.5" customWidth="1" style="118"/>
    <col min="3" max="3" width="9" style="11"/>
    <col min="4" max="4" width="29.25" customWidth="1" style="11"/>
    <col min="5" max="5" width="12.38" customWidth="1" style="11"/>
    <col min="6" max="6" width="9" customWidth="1" style="11"/>
    <col min="7" max="16384" width="9" style="11"/>
  </cols>
  <sheetData>
    <row r="1" customHeight="1">
      <c r="A1" s="422" t="s">
        <v>6</v>
      </c>
      <c s="422" t="s">
        <v>5</v>
      </c>
      <c r="D1" s="120" t="s">
        <v>123</v>
      </c>
      <c s="120" t="s">
        <v>122</v>
      </c>
    </row>
    <row r="2" customHeight="1">
      <c r="A2" s="207" t="s">
        <v>166</v>
      </c>
      <c s="207" t="s">
        <v>167</v>
      </c>
      <c r="D2" s="161" t="s">
        <v>130</v>
      </c>
      <c s="450">
        <v>1E+3</v>
      </c>
    </row>
    <row r="3" customHeight="1">
      <c r="A3" s="207" t="s">
        <v>168</v>
      </c>
      <c s="207" t="s">
        <v>169</v>
      </c>
      <c r="D3" s="161" t="s">
        <v>139</v>
      </c>
      <c s="450">
        <v>2E+3</v>
      </c>
    </row>
    <row r="4" customHeight="1">
      <c r="A4" s="207" t="s">
        <v>170</v>
      </c>
      <c s="207" t="s">
        <v>171</v>
      </c>
      <c r="D4" s="161" t="s">
        <v>148</v>
      </c>
      <c s="450">
        <v>3E+3</v>
      </c>
    </row>
    <row r="5" customHeight="1">
      <c r="A5" s="207" t="s">
        <v>172</v>
      </c>
      <c s="207" t="s">
        <v>173</v>
      </c>
      <c r="D5" s="161" t="s">
        <v>149</v>
      </c>
      <c s="450">
        <v>4E+3</v>
      </c>
    </row>
    <row r="6" customHeight="1">
      <c r="A6" s="207" t="s">
        <v>174</v>
      </c>
      <c s="207" t="s">
        <v>175</v>
      </c>
      <c r="D6" s="161" t="s">
        <v>150</v>
      </c>
      <c s="450">
        <v>5E+3</v>
      </c>
    </row>
    <row r="7" customHeight="1">
      <c r="A7" s="207" t="s">
        <v>176</v>
      </c>
      <c s="207" t="s">
        <v>177</v>
      </c>
      <c r="D7" s="161" t="s">
        <v>152</v>
      </c>
      <c s="450">
        <v>6E+3</v>
      </c>
    </row>
    <row r="8" customHeight="1">
      <c r="A8" s="207" t="s">
        <v>178</v>
      </c>
      <c s="207" t="s">
        <v>128</v>
      </c>
      <c r="D8" s="161" t="s">
        <v>154</v>
      </c>
      <c s="450">
        <v>7E+3</v>
      </c>
    </row>
    <row r="9" customHeight="1">
      <c r="A9" s="145" t="s">
        <v>179</v>
      </c>
      <c s="145" t="s">
        <v>180</v>
      </c>
      <c r="D9" s="452" t="s">
        <v>159</v>
      </c>
      <c s="451">
        <v>8E+3</v>
      </c>
    </row>
    <row r="10" customHeight="1">
      <c r="A10" s="421"/>
      <c s="421"/>
      <c r="D10" s="452" t="s">
        <v>164</v>
      </c>
      <c s="451">
        <v>9E+3</v>
      </c>
    </row>
    <row r="11" customHeight="1">
      <c r="A11" s="421"/>
      <c s="421"/>
    </row>
  </sheetData>
  <printOptions/>
  <pageMargins left="0.7" right="0.7" top="0.75" bottom="0.75" header="0.3" footer="0.3"/>
  <pageSetup paperSize="9" firstPageNumber="4294963191" copies="0"/>
  <headerFooter/>
  <extLst/>
</worksheet>
</file>

<file path=xl/worksheets/sheet6.xml><?xml version="1.0" encoding="utf-8"?>
<worksheet xmlns:mc="http://schemas.openxmlformats.org/markup-compatibility/2006" xmlns:x14ac="http://schemas.microsoft.com/office/spreadsheetml/2009/9/ac" xmlns:x14="http://schemas.microsoft.com/office/spreadsheetml/2009/9/main" xmlns:r="http://schemas.openxmlformats.org/officeDocument/2006/relationships" xmlns="http://schemas.openxmlformats.org/spreadsheetml/2006/main" mc:Ignorable="x14ac">
  <sheetPr/>
  <dimension ref="A1:AD41"/>
  <sheetViews>
    <sheetView tabSelected="1" workbookViewId="0" zoomScale="85" showGridLines="0" zoomScaleNormal="85">
      <pane topLeftCell="B1" activePane="topRight" state="frozen" xSplit="1"/>
      <selection activeCellId="0" pane="topRight" activeCell="W5" sqref="W5"/>
    </sheetView>
  </sheetViews>
  <sheetFormatPr defaultColWidth="8.88" defaultRowHeight="14.25" customHeight="1"/>
  <cols>
    <col min="1" max="1" width="29.25" customWidth="1" style="85"/>
    <col min="2" max="2" width="18.38" customWidth="1" style="84"/>
    <col min="3" max="3" width="21.5" customWidth="1" style="84"/>
    <col min="4" max="4" width="40" customWidth="1" style="84"/>
    <col min="5" max="5" width="46.5" customWidth="1" style="84"/>
    <col min="6" max="6" width="8.88" style="84"/>
    <col min="7" max="7" width="10.5" customWidth="1" style="84"/>
    <col min="8" max="8" width="20.13" customWidth="1" style="84"/>
    <col min="9" max="9" width="79.5" customWidth="1" style="84"/>
    <col min="10" max="10" width="15.38" customWidth="1" style="84"/>
    <col min="11" max="11" width="11.5" customWidth="1" style="84"/>
    <col min="12" max="12" width="9.63" customWidth="1" style="84"/>
    <col min="13" max="13" width="8.5" customWidth="1" style="84"/>
    <col min="14" max="14" width="9.88" customWidth="1" style="84"/>
    <col min="15" max="15" width="10" customWidth="1" style="84"/>
    <col min="16" max="16" width="9.63" customWidth="1" style="84"/>
    <col min="17" max="17" width="8.5" customWidth="1" style="84"/>
    <col min="18" max="18" width="9.13" customWidth="1" style="84"/>
    <col min="19" max="19" width="9.5" customWidth="1" style="84"/>
    <col min="20" max="21" width="9.63" customWidth="1" style="84"/>
    <col min="22" max="22" width="18" customWidth="1" style="84"/>
    <col min="23" max="23" width="12.38" customWidth="1" style="84"/>
    <col min="24" max="24" width="18.5" customWidth="1" style="84"/>
    <col min="25" max="25" width="19.38" customWidth="1" style="84"/>
    <col min="26" max="26" width="15.13" customWidth="1" style="86"/>
    <col min="27" max="27" width="21.25" customWidth="1" style="86"/>
    <col min="28" max="28" width="17.25" customWidth="1" style="87"/>
    <col min="29" max="16384" width="8.88" style="84"/>
  </cols>
  <sheetData>
    <row r="1" ht="40.5" customFormat="1" s="99">
      <c r="A1" s="104" t="s">
        <v>181</v>
      </c>
      <c s="104" t="s">
        <v>182</v>
      </c>
      <c s="104" t="s">
        <v>34</v>
      </c>
      <c s="104" t="s">
        <v>183</v>
      </c>
      <c s="104" t="s">
        <v>184</v>
      </c>
      <c s="104" t="s">
        <v>76</v>
      </c>
      <c s="104" t="s">
        <v>185</v>
      </c>
      <c s="104" t="s">
        <v>69</v>
      </c>
      <c s="422" t="s">
        <v>186</v>
      </c>
      <c s="104" t="s">
        <v>186</v>
      </c>
      <c s="464" t="s">
        <v>71</v>
      </c>
      <c s="464" t="s">
        <v>187</v>
      </c>
      <c s="464" t="s">
        <v>74</v>
      </c>
      <c s="464" t="s">
        <v>188</v>
      </c>
      <c s="464" t="s">
        <v>189</v>
      </c>
      <c s="464" t="s">
        <v>190</v>
      </c>
      <c s="464" t="s">
        <v>26</v>
      </c>
      <c s="464" t="s">
        <v>191</v>
      </c>
      <c s="464" t="s">
        <v>192</v>
      </c>
      <c s="464" t="s">
        <v>193</v>
      </c>
      <c s="464" t="s">
        <v>79</v>
      </c>
      <c s="104" t="s">
        <v>70</v>
      </c>
      <c s="104" t="s">
        <v>194</v>
      </c>
      <c s="104" t="s">
        <v>195</v>
      </c>
      <c s="104" t="s">
        <v>196</v>
      </c>
      <c s="104" t="s">
        <v>122</v>
      </c>
      <c s="104" t="s">
        <v>124</v>
      </c>
      <c s="96" t="s">
        <v>35</v>
      </c>
    </row>
    <row r="2" ht="28.5">
      <c r="A2" s="456" t="s">
        <v>19</v>
      </c>
      <c s="237" t="s">
        <v>129</v>
      </c>
      <c s="456"/>
      <c s="456" t="str">
        <f>IF(L2="","",'字段对应'!$B$10&amp;"="&amp;VLOOKUP(L2,'基础信息'!$I$2:$J$6,2,0)&amp;";")&amp;IF(M2="","",'字段对应'!$B$11&amp;"="&amp;VLOOKUP(M2,'基础信息'!$K$2:$L$6,2,0)&amp;";")&amp;IF(N2="","",'字段对应'!$C$2&amp;"="&amp;N2&amp;","&amp;O2&amp;","&amp;P2&amp;";")&amp;IF(Q2="","",'字段对应'!$B$13&amp;"="&amp;Q2&amp;";")&amp;IF(R2="","",'字段对应'!$B$14&amp;"="&amp;R2&amp;";")&amp;IF(U2="","",'字段对应'!$B$22&amp;"="&amp;U2&amp;";")&amp;IF(K2="","",'字段对应'!$B$21&amp;"="&amp;VLOOKUP(K2,'基础信息'!$F$2:$G$4,2,0))</f>
        <v>PhotoMode=1;ScanSpeed=2;WlRange=660,650,0.1;Slit1=2.0;LampPos=1</v>
      </c>
      <c s="456" t="str" cm="1">
        <f ref="E2:E2" t="array">_xlfn.SINGLE(IF(W2="","",'检测项信息'!W2&amp;":"&amp;'字段对应'!$B$16&amp;"|"))&amp;IF(X2="","",X2&amp;":"&amp;IF(V2="是",'字段对应'!$C$17,'字段对应'!$B$17&amp;";"&amp;_xlfn.SINGLE(IF(H2="","",'字段对应'!$B$15&amp;"="&amp;'检测项信息'!H2)))&amp;"|")&amp;_xlfn.SINGLE(IF(Y2="",":",Y2&amp;":"))&amp;IF(V2="是",'字段对应'!$C$18,'字段对应'!$B$18&amp;";"&amp;_xlfn.SINGLE(IF(H2="","",'字段对应'!$B$15&amp;"="&amp;'检测项信息'!H2))&amp;_xlfn.SINGLE(IF(AND(T2="",S2=""),"",";"&amp;'字段对应'!$B$20&amp;"="&amp;T2&amp;";"&amp;'字段对应'!$B$19&amp;"="&amp;S2)))</f>
        <v>空气:Zero;Wl=546|空气:Measure;Wl=546</v>
      </c>
      <c s="136">
        <v>1</v>
      </c>
      <c s="456"/>
      <c s="136">
        <v>546</v>
      </c>
      <c s="456" t="str">
        <f>VLOOKUP(J2,'字段对应'!$D$2:$E$8,2,0)</f>
        <v>Validation.ViewModel.DataStructure.FindMaxOffsetUVTestTool</v>
      </c>
      <c s="456" t="s">
        <v>197</v>
      </c>
      <c s="465" t="s">
        <v>29</v>
      </c>
      <c s="465" t="s">
        <v>86</v>
      </c>
      <c s="465" t="s">
        <v>91</v>
      </c>
      <c s="468">
        <v>660</v>
      </c>
      <c s="468">
        <v>650</v>
      </c>
      <c s="468">
        <v>0.1</v>
      </c>
      <c s="465"/>
      <c s="465" t="s">
        <v>96</v>
      </c>
      <c s="465"/>
      <c s="465"/>
      <c s="465"/>
      <c s="456" t="s">
        <v>84</v>
      </c>
      <c s="456"/>
      <c s="456" t="s">
        <v>198</v>
      </c>
      <c s="456" t="s">
        <v>198</v>
      </c>
      <c s="136" t="e">
        <f>VLOOKUP(A2,'对应信息'!$D$2:$E$10,2,0)</f>
        <v>#N/A</v>
      </c>
      <c s="136" t="e">
        <f ref="AA2:AA4" t="shared" si="0">IF(Z1=Z2,AA1+1,Z2+1)</f>
        <v>#N/A</v>
      </c>
      <c s="112" t="s">
        <v>96</v>
      </c>
    </row>
    <row r="3" ht="44.25" customHeight="1">
      <c r="A3" s="456" t="s">
        <v>23</v>
      </c>
      <c s="237" t="s">
        <v>199</v>
      </c>
      <c s="462"/>
      <c s="456" t="str">
        <f>IF(L3="","",'字段对应'!$B$10&amp;"="&amp;VLOOKUP(L3,'基础信息'!$I$2:$J$6,2,0)&amp;";")&amp;IF(M3="","",'字段对应'!$B$11&amp;"="&amp;VLOOKUP(M3,'基础信息'!$K$2:$L$6,2,0)&amp;";")&amp;IF(N3="","",'字段对应'!$C$2&amp;"="&amp;N3&amp;","&amp;O3&amp;","&amp;P3&amp;";")&amp;IF(Q3="","",'字段对应'!$B$13&amp;"="&amp;Q3&amp;";")&amp;IF(R3="","",'字段对应'!$B$14&amp;"="&amp;R3&amp;";")&amp;IF(U3="","",'字段对应'!$B$22&amp;"="&amp;U3&amp;";")&amp;IF(K3="","",'字段对应'!$B$21&amp;"="&amp;VLOOKUP(K3,'基础信息'!$F$2:$G$4,2,0))</f>
        <v>PhotoMode=2;ScanSpeed=2;WlRange=490,480,0.1;Gain=4;Slit1=2.0;LampPos=1</v>
      </c>
      <c s="456" t="str" cm="1">
        <f ref="E3:E3" t="array">_xlfn.SINGLE(IF(W3="","",'检测项信息'!W3&amp;":"&amp;'字段对应'!$B$16&amp;"|"))&amp;IF(X3="","",X3&amp;":"&amp;IF(V3="是",'字段对应'!$C$17,'字段对应'!$B$17&amp;";"&amp;_xlfn.SINGLE(IF(H3="","",'字段对应'!$B$15&amp;"="&amp;'检测项信息'!H3)))&amp;"|")&amp;_xlfn.SINGLE(IF(Y3="",":",Y3&amp;":"))&amp;IF(V3="是",'字段对应'!$C$18,'字段对应'!$B$18&amp;";"&amp;_xlfn.SINGLE(IF(H3="","",'字段对应'!$B$15&amp;"="&amp;'检测项信息'!H3))&amp;_xlfn.SINGLE(IF(AND(T3="",S3=""),"",";"&amp;'字段对应'!$B$20&amp;"="&amp;T3&amp;";"&amp;'字段对应'!$B$19&amp;"="&amp;S3)))</f>
        <v>空气:Scan</v>
      </c>
      <c s="136">
        <v>1</v>
      </c>
      <c s="456"/>
      <c s="463">
        <v>486</v>
      </c>
      <c s="456" t="str">
        <f>VLOOKUP(J3,'字段对应'!$D$2:$E$8,2,0)</f>
        <v>Validation.ViewModel.DataStructure.FindPeakAndAverageUVTestTool</v>
      </c>
      <c s="456" t="s">
        <v>200</v>
      </c>
      <c s="465" t="s">
        <v>29</v>
      </c>
      <c s="465" t="s">
        <v>90</v>
      </c>
      <c s="465" t="s">
        <v>91</v>
      </c>
      <c s="469">
        <v>490</v>
      </c>
      <c s="469">
        <v>480</v>
      </c>
      <c s="468">
        <v>0.1</v>
      </c>
      <c s="468">
        <v>4</v>
      </c>
      <c s="465" t="s">
        <v>96</v>
      </c>
      <c s="465"/>
      <c s="465"/>
      <c s="465"/>
      <c s="456" t="s">
        <v>80</v>
      </c>
      <c s="456"/>
      <c s="456"/>
      <c s="456" t="s">
        <v>198</v>
      </c>
      <c s="136" t="e">
        <f>VLOOKUP(A3,'对应信息'!$D$2:$E$10,2,0)</f>
        <v>#N/A</v>
      </c>
      <c s="136" t="e">
        <f t="shared" si="0"/>
        <v>#N/A</v>
      </c>
      <c s="113"/>
    </row>
    <row r="4" ht="44.25" customHeight="1">
      <c r="A4" s="456" t="s">
        <v>23</v>
      </c>
      <c s="237" t="s">
        <v>201</v>
      </c>
      <c s="462"/>
      <c s="456" t="str">
        <f>IF(L4="","",'字段对应'!$B$10&amp;"="&amp;VLOOKUP(L4,'基础信息'!$I$2:$J$6,2,0)&amp;";")&amp;IF(M4="","",'字段对应'!$B$11&amp;"="&amp;VLOOKUP(M4,'基础信息'!$K$2:$L$6,2,0)&amp;";")&amp;IF(N4="","",'字段对应'!$C$2&amp;"="&amp;N4&amp;","&amp;O4&amp;","&amp;P4&amp;";")&amp;IF(Q4="","",'字段对应'!$B$13&amp;"="&amp;Q4&amp;";")&amp;IF(R4="","",'字段对应'!$B$14&amp;"="&amp;R4&amp;";")&amp;IF(U4="","",'字段对应'!$B$22&amp;"="&amp;U4&amp;";")&amp;IF(K4="","",'字段对应'!$B$21&amp;"="&amp;VLOOKUP(K4,'基础信息'!$F$2:$G$4,2,0))</f>
        <v>PhotoMode=2;ScanSpeed=2;WlRange=660,650,0.1;Gain=4;Slit1=2.0;LampPos=1</v>
      </c>
      <c s="456" t="str" cm="1">
        <f ref="E4:E4" t="array">_xlfn.SINGLE(IF(W4="","",'检测项信息'!W4&amp;":"&amp;'字段对应'!$B$16&amp;"|"))&amp;IF(X4="","",X4&amp;":"&amp;IF(V4="是",'字段对应'!$C$17,'字段对应'!$B$17&amp;";"&amp;_xlfn.SINGLE(IF(H4="","",'字段对应'!$B$15&amp;"="&amp;'检测项信息'!H4)))&amp;"|")&amp;_xlfn.SINGLE(IF(Y4="",":",Y4&amp;":"))&amp;IF(V4="是",'字段对应'!$C$18,'字段对应'!$B$18&amp;";"&amp;_xlfn.SINGLE(IF(H4="","",'字段对应'!$B$15&amp;"="&amp;'检测项信息'!H4))&amp;_xlfn.SINGLE(IF(AND(T4="",S4=""),"",";"&amp;'字段对应'!$B$20&amp;"="&amp;T4&amp;";"&amp;'字段对应'!$B$19&amp;"="&amp;S4)))</f>
        <v>空气:Scan</v>
      </c>
      <c s="136">
        <v>1</v>
      </c>
      <c s="456"/>
      <c s="463">
        <v>656.1</v>
      </c>
      <c s="456" t="str">
        <f>VLOOKUP(J4,'字段对应'!$D$2:$E$8,2,0)</f>
        <v>Validation.ViewModel.DataStructure.FindPeakAndAverageUVTestTool</v>
      </c>
      <c s="456" t="s">
        <v>200</v>
      </c>
      <c s="465" t="s">
        <v>29</v>
      </c>
      <c s="465" t="s">
        <v>90</v>
      </c>
      <c s="465" t="s">
        <v>91</v>
      </c>
      <c s="468">
        <v>660</v>
      </c>
      <c s="468">
        <v>650</v>
      </c>
      <c s="468">
        <v>0.1</v>
      </c>
      <c s="468">
        <v>4</v>
      </c>
      <c s="465" t="s">
        <v>96</v>
      </c>
      <c s="465"/>
      <c s="465"/>
      <c s="465"/>
      <c s="456" t="s">
        <v>80</v>
      </c>
      <c s="456"/>
      <c s="456"/>
      <c s="456" t="s">
        <v>198</v>
      </c>
      <c s="136" t="e">
        <f>VLOOKUP(A4,'对应信息'!$D$2:$E$10,2,0)</f>
        <v>#N/A</v>
      </c>
      <c s="136" t="e">
        <f t="shared" si="0"/>
        <v>#N/A</v>
      </c>
      <c s="113"/>
    </row>
    <row r="5" ht="46.5" customHeight="1">
      <c r="A5" s="456" t="s">
        <v>23</v>
      </c>
      <c s="456" t="s">
        <v>30</v>
      </c>
      <c s="456"/>
      <c s="456" t="str">
        <f>IF(L5="","",'字段对应'!$B$10&amp;"="&amp;VLOOKUP(L5,'基础信息'!$I$2:$J$6,2,0)&amp;";")&amp;IF(M5="","",'字段对应'!$B$11&amp;"="&amp;VLOOKUP(M5,'基础信息'!$K$2:$L$6,2,0)&amp;";")&amp;IF(N5="","",'字段对应'!$C$2&amp;"="&amp;N5&amp;","&amp;O5&amp;","&amp;P5&amp;";")&amp;IF(Q5="","",'字段对应'!$B$13&amp;"="&amp;Q5&amp;";")&amp;IF(R5="","",'字段对应'!$B$14&amp;"="&amp;R5&amp;";")&amp;IF(U5="","",'字段对应'!$B$22&amp;"="&amp;U5&amp;";")&amp;IF(K5="","",'字段对应'!$B$21&amp;"="&amp;VLOOKUP(K5,'基础信息'!$F$2:$G$4,2,0))</f>
        <v>PhotoMode=0;ScanSpeed=2;WlRange=810,800,0.1;Slit1=2.0;</v>
      </c>
      <c s="456" t="str" cm="1">
        <f ref="E5:E5" t="array">_xlfn.SINGLE(IF(W5="","",'检测项信息'!W5&amp;":"&amp;'字段对应'!$B$16&amp;"|"))&amp;IF(X5="","",X5&amp;":"&amp;IF(V5="是",'字段对应'!$C$17,'字段对应'!$B$17&amp;";"&amp;_xlfn.SINGLE(IF(H5="","",'字段对应'!$B$15&amp;"="&amp;'检测项信息'!H5)))&amp;"|")&amp;_xlfn.SINGLE(IF(Y5="",":",Y5&amp;":"))&amp;IF(V5="是",'字段对应'!$C$18,'字段对应'!$B$18&amp;";"&amp;_xlfn.SINGLE(IF(H5="","",'字段对应'!$B$15&amp;"="&amp;'检测项信息'!H5))&amp;_xlfn.SINGLE(IF(AND(T5="",S5=""),"",";"&amp;'字段对应'!$B$20&amp;"="&amp;T5&amp;";"&amp;'字段对应'!$B$19&amp;"="&amp;S5)))</f>
        <v>黑挡块:Dark|空气:BaseLine|镨钕滤光片:Scan</v>
      </c>
      <c s="136">
        <v>1</v>
      </c>
      <c s="456"/>
      <c s="456" t="s">
        <v>132</v>
      </c>
      <c s="456" t="str">
        <f>VLOOKUP(J5,'字段对应'!$D$2:$E$8,2,0)</f>
        <v>Validation.ViewModel.DataStructure.FindPeakAndAverageUVTestTool</v>
      </c>
      <c s="456" t="s">
        <v>200</v>
      </c>
      <c s="465"/>
      <c s="465" t="s">
        <v>81</v>
      </c>
      <c s="465" t="s">
        <v>91</v>
      </c>
      <c s="468">
        <v>810</v>
      </c>
      <c s="468">
        <v>800</v>
      </c>
      <c s="468">
        <v>0.1</v>
      </c>
      <c s="465"/>
      <c s="465" t="s">
        <v>96</v>
      </c>
      <c s="465"/>
      <c s="465"/>
      <c s="465"/>
      <c s="456" t="s">
        <v>80</v>
      </c>
      <c s="457" t="s">
        <v>202</v>
      </c>
      <c s="456" t="s">
        <v>198</v>
      </c>
      <c s="456" t="s">
        <v>30</v>
      </c>
      <c s="136" t="e">
        <f>VLOOKUP(A5,'对应信息'!$D$2:$E$10,2,0)</f>
        <v>#N/A</v>
      </c>
      <c s="136" t="e">
        <f>IF(Z12=Z5,AA12+1,Z5+1)</f>
        <v>#N/A</v>
      </c>
      <c s="113"/>
    </row>
    <row r="6" ht="44.25" customHeight="1">
      <c r="A6" s="456" t="s">
        <v>23</v>
      </c>
      <c s="237" t="s">
        <v>203</v>
      </c>
      <c s="456"/>
      <c s="456" t="str">
        <f>IF(L6="","",'字段对应'!$B$10&amp;"="&amp;VLOOKUP(L6,'基础信息'!$I$2:$J$6,2,0)&amp;";")&amp;IF(M6="","",'字段对应'!$B$11&amp;"="&amp;VLOOKUP(M6,'基础信息'!$K$2:$L$6,2,0)&amp;";")&amp;IF(N6="","",'字段对应'!$C$2&amp;"="&amp;N6&amp;","&amp;O6&amp;","&amp;P6&amp;";")&amp;IF(Q6="","",'字段对应'!$B$13&amp;"="&amp;Q6&amp;";")&amp;IF(R6="","",'字段对应'!$B$14&amp;"="&amp;R6&amp;";")&amp;IF(U6="","",'字段对应'!$B$22&amp;"="&amp;U6&amp;";")&amp;IF(K6="","",'字段对应'!$B$21&amp;"="&amp;VLOOKUP(K6,'基础信息'!$F$2:$G$4,2,0))</f>
        <v>PhotoMode=0;ScanSpeed=2;WlRange=245,235,0.1;Slit1=2.0;</v>
      </c>
      <c s="456" t="str" cm="1">
        <f ref="E6:E6" t="array">_xlfn.SINGLE(IF(W6="","",'检测项信息'!W6&amp;":"&amp;'字段对应'!$B$16&amp;"|"))&amp;IF(X6="","",X6&amp;":"&amp;IF(V6="是",'字段对应'!$C$17,'字段对应'!$B$17&amp;";"&amp;_xlfn.SINGLE(IF(H6="","",'字段对应'!$B$15&amp;"="&amp;'检测项信息'!H6)))&amp;"|")&amp;_xlfn.SINGLE(IF(Y6="",":",Y6&amp;":"))&amp;IF(V6="是",'字段对应'!$C$18,'字段对应'!$B$18&amp;";"&amp;_xlfn.SINGLE(IF(H6="","",'字段对应'!$B$15&amp;"="&amp;'检测项信息'!H6))&amp;_xlfn.SINGLE(IF(AND(T6="",S6=""),"",";"&amp;'字段对应'!$B$20&amp;"="&amp;T6&amp;";"&amp;'字段对应'!$B$19&amp;"="&amp;S6)))</f>
        <v>黑挡块:Dark|空气:BaseLine|钬溶液:Scan</v>
      </c>
      <c s="136">
        <v>1</v>
      </c>
      <c s="456"/>
      <c s="92">
        <v>241</v>
      </c>
      <c s="456" t="str">
        <f>VLOOKUP(J6,'字段对应'!$D$2:$E$8,2,0)</f>
        <v>Validation.ViewModel.DataStructure.FindPeakAndAverageUVTestTool</v>
      </c>
      <c s="456" t="s">
        <v>200</v>
      </c>
      <c s="466"/>
      <c s="465" t="s">
        <v>81</v>
      </c>
      <c s="465" t="s">
        <v>91</v>
      </c>
      <c s="468">
        <v>245</v>
      </c>
      <c s="468">
        <v>235</v>
      </c>
      <c s="468">
        <v>0.1</v>
      </c>
      <c s="465"/>
      <c s="465" t="s">
        <v>96</v>
      </c>
      <c s="465"/>
      <c s="465"/>
      <c s="465"/>
      <c s="456" t="s">
        <v>80</v>
      </c>
      <c s="457" t="s">
        <v>202</v>
      </c>
      <c s="456" t="s">
        <v>198</v>
      </c>
      <c s="456" t="s">
        <v>31</v>
      </c>
      <c s="136" t="e">
        <f>VLOOKUP(A6,'对应信息'!$D$2:$E$10,2,0)</f>
        <v>#N/A</v>
      </c>
      <c s="136" t="e">
        <f ref="AA6:AA8" t="shared" si="1">IF(Z5=Z6,AA5+1,Z6+1)</f>
        <v>#N/A</v>
      </c>
      <c s="113"/>
    </row>
    <row r="7" ht="44.25" customHeight="1">
      <c r="A7" s="456" t="s">
        <v>23</v>
      </c>
      <c s="237" t="s">
        <v>204</v>
      </c>
      <c s="456"/>
      <c s="456" t="str">
        <f>IF(L7="","",'字段对应'!$B$10&amp;"="&amp;VLOOKUP(L7,'基础信息'!$I$2:$J$6,2,0)&amp;";")&amp;IF(M7="","",'字段对应'!$B$11&amp;"="&amp;VLOOKUP(M7,'基础信息'!$K$2:$L$6,2,0)&amp;";")&amp;IF(N7="","",'字段对应'!$C$2&amp;"="&amp;N7&amp;","&amp;O7&amp;","&amp;P7&amp;";")&amp;IF(Q7="","",'字段对应'!$B$13&amp;"="&amp;Q7&amp;";")&amp;IF(R7="","",'字段对应'!$B$14&amp;"="&amp;R7&amp;";")&amp;IF(U7="","",'字段对应'!$B$22&amp;"="&amp;U7&amp;";")&amp;IF(K7="","",'字段对应'!$B$21&amp;"="&amp;VLOOKUP(K7,'基础信息'!$F$2:$G$4,2,0))</f>
        <v>PhotoMode=0;ScanSpeed=2;WlRange=365,355,0.1;Slit1=2.0;</v>
      </c>
      <c s="456" t="str" cm="1">
        <f ref="E7:E7" t="array">_xlfn.SINGLE(IF(W7="","",'检测项信息'!W7&amp;":"&amp;'字段对应'!$B$16&amp;"|"))&amp;IF(X7="","",X7&amp;":"&amp;IF(V7="是",'字段对应'!$C$17,'字段对应'!$B$17&amp;";"&amp;_xlfn.SINGLE(IF(H7="","",'字段对应'!$B$15&amp;"="&amp;'检测项信息'!H7)))&amp;"|")&amp;_xlfn.SINGLE(IF(Y7="",":",Y7&amp;":"))&amp;IF(V7="是",'字段对应'!$C$18,'字段对应'!$B$18&amp;";"&amp;_xlfn.SINGLE(IF(H7="","",'字段对应'!$B$15&amp;"="&amp;'检测项信息'!H7))&amp;_xlfn.SINGLE(IF(AND(T7="",S7=""),"",";"&amp;'字段对应'!$B$20&amp;"="&amp;T7&amp;";"&amp;'字段对应'!$B$19&amp;"="&amp;S7)))</f>
        <v>黑挡块:Dark|空气:BaseLine|钬溶液:Scan</v>
      </c>
      <c s="136">
        <v>1</v>
      </c>
      <c s="456"/>
      <c s="92">
        <v>361</v>
      </c>
      <c s="456" t="str">
        <f>VLOOKUP(J7,'字段对应'!$D$2:$E$8,2,0)</f>
        <v>Validation.ViewModel.DataStructure.FindPeakAndAverageUVTestTool</v>
      </c>
      <c s="456" t="s">
        <v>200</v>
      </c>
      <c s="466"/>
      <c s="465" t="s">
        <v>81</v>
      </c>
      <c s="465" t="s">
        <v>91</v>
      </c>
      <c s="468">
        <v>365</v>
      </c>
      <c s="468">
        <v>355</v>
      </c>
      <c s="468">
        <v>0.1</v>
      </c>
      <c s="465"/>
      <c s="465" t="s">
        <v>96</v>
      </c>
      <c s="465"/>
      <c s="465"/>
      <c s="465"/>
      <c s="456" t="s">
        <v>80</v>
      </c>
      <c s="457" t="s">
        <v>202</v>
      </c>
      <c s="456" t="s">
        <v>198</v>
      </c>
      <c s="456" t="s">
        <v>31</v>
      </c>
      <c s="136" t="e">
        <f>VLOOKUP(A7,'对应信息'!$D$2:$E$10,2,0)</f>
        <v>#N/A</v>
      </c>
      <c s="136" t="e">
        <f t="shared" si="1"/>
        <v>#N/A</v>
      </c>
      <c s="113"/>
    </row>
    <row r="8" ht="44.25" customHeight="1">
      <c r="A8" s="456" t="s">
        <v>23</v>
      </c>
      <c s="237" t="s">
        <v>205</v>
      </c>
      <c s="456"/>
      <c s="456" t="str">
        <f>IF(L8="","",'字段对应'!$B$10&amp;"="&amp;VLOOKUP(L8,'基础信息'!$I$2:$J$6,2,0)&amp;";")&amp;IF(M8="","",'字段对应'!$B$11&amp;"="&amp;VLOOKUP(M8,'基础信息'!$K$2:$L$6,2,0)&amp;";")&amp;IF(N8="","",'字段对应'!$C$2&amp;"="&amp;N8&amp;","&amp;O8&amp;","&amp;P8&amp;";")&amp;IF(Q8="","",'字段对应'!$B$13&amp;"="&amp;Q8&amp;";")&amp;IF(R8="","",'字段对应'!$B$14&amp;"="&amp;R8&amp;";")&amp;IF(U8="","",'字段对应'!$B$22&amp;"="&amp;U8&amp;";")&amp;IF(K8="","",'字段对应'!$B$21&amp;"="&amp;VLOOKUP(K8,'基础信息'!$F$2:$G$4,2,0))</f>
        <v>PhotoMode=0;ScanSpeed=2;WlRange=645,635,0.1;Slit1=2.0;</v>
      </c>
      <c s="456" t="str" cm="1">
        <f ref="E8:E8" t="array">_xlfn.SINGLE(IF(W8="","",'检测项信息'!W8&amp;":"&amp;'字段对应'!$B$16&amp;"|"))&amp;IF(X8="","",X8&amp;":"&amp;IF(V8="是",'字段对应'!$C$17,'字段对应'!$B$17&amp;";"&amp;_xlfn.SINGLE(IF(H8="","",'字段对应'!$B$15&amp;"="&amp;'检测项信息'!H8)))&amp;"|")&amp;_xlfn.SINGLE(IF(Y8="",":",Y8&amp;":"))&amp;IF(V8="是",'字段对应'!$C$18,'字段对应'!$B$18&amp;";"&amp;_xlfn.SINGLE(IF(H8="","",'字段对应'!$B$15&amp;"="&amp;'检测项信息'!H8))&amp;_xlfn.SINGLE(IF(AND(T8="",S8=""),"",";"&amp;'字段对应'!$B$20&amp;"="&amp;T8&amp;";"&amp;'字段对应'!$B$19&amp;"="&amp;S8)))</f>
        <v>黑挡块:Dark|空气:BaseLine|钬溶液:Scan</v>
      </c>
      <c s="136">
        <v>1</v>
      </c>
      <c s="456"/>
      <c s="93">
        <v>640.7</v>
      </c>
      <c s="456" t="str">
        <f>VLOOKUP(J8,'字段对应'!$D$2:$E$8,2,0)</f>
        <v>Validation.ViewModel.DataStructure.FindPeakAndAverageUVTestTool</v>
      </c>
      <c s="456" t="s">
        <v>200</v>
      </c>
      <c s="466"/>
      <c s="465" t="s">
        <v>81</v>
      </c>
      <c s="465" t="s">
        <v>91</v>
      </c>
      <c s="468">
        <v>645</v>
      </c>
      <c s="468">
        <v>635</v>
      </c>
      <c s="468">
        <v>0.1</v>
      </c>
      <c s="465"/>
      <c s="465" t="s">
        <v>96</v>
      </c>
      <c s="465"/>
      <c s="465"/>
      <c s="465"/>
      <c s="456" t="s">
        <v>80</v>
      </c>
      <c s="457" t="s">
        <v>202</v>
      </c>
      <c s="456" t="s">
        <v>198</v>
      </c>
      <c s="456" t="s">
        <v>31</v>
      </c>
      <c s="136" t="e">
        <f>VLOOKUP(A8,'对应信息'!$D$2:$E$10,2,0)</f>
        <v>#N/A</v>
      </c>
      <c s="136" t="e">
        <f t="shared" si="1"/>
        <v>#N/A</v>
      </c>
      <c s="113"/>
    </row>
    <row r="9" ht="44.25" customHeight="1">
      <c r="A9" s="456" t="s">
        <v>23</v>
      </c>
      <c s="237" t="s">
        <v>206</v>
      </c>
      <c s="462"/>
      <c s="456" t="str">
        <f>IF(L9="","",'字段对应'!$B$10&amp;"="&amp;VLOOKUP(L9,'基础信息'!$I$2:$J$6,2,0)&amp;";")&amp;IF(M9="","",'字段对应'!$B$11&amp;"="&amp;VLOOKUP(M9,'基础信息'!$K$2:$L$6,2,0)&amp;";")&amp;IF(N9="","",'字段对应'!$C$2&amp;"="&amp;N9&amp;","&amp;O9&amp;","&amp;P9&amp;";")&amp;IF(Q9="","",'字段对应'!$B$13&amp;"="&amp;Q9&amp;";")&amp;IF(R9="","",'字段对应'!$B$14&amp;"="&amp;R9&amp;";")&amp;IF(U9="","",'字段对应'!$B$22&amp;"="&amp;U9&amp;";")&amp;IF(K9="","",'字段对应'!$B$21&amp;"="&amp;VLOOKUP(K9,'基础信息'!$F$2:$G$4,2,0))</f>
        <v>PhotoMode=2;ScanSpeed=2;WlRange=300,290,0.1;Gain=3;Slit1=2.0;LampPos=2</v>
      </c>
      <c s="456" t="str" cm="1">
        <f ref="E9:E9" t="array">_xlfn.SINGLE(IF(W9="","",'检测项信息'!W9&amp;":"&amp;'字段对应'!$B$16&amp;"|"))&amp;IF(X9="","",X9&amp;":"&amp;IF(V9="是",'字段对应'!$C$17,'字段对应'!$B$17&amp;";"&amp;_xlfn.SINGLE(IF(H9="","",'字段对应'!$B$15&amp;"="&amp;'检测项信息'!H9)))&amp;"|")&amp;_xlfn.SINGLE(IF(Y9="",":",Y9&amp;":"))&amp;IF(V9="是",'字段对应'!$C$18,'字段对应'!$B$18&amp;";"&amp;_xlfn.SINGLE(IF(H9="","",'字段对应'!$B$15&amp;"="&amp;'检测项信息'!H9))&amp;_xlfn.SINGLE(IF(AND(T9="",S9=""),"",";"&amp;'字段对应'!$B$20&amp;"="&amp;T9&amp;";"&amp;'字段对应'!$B$19&amp;"="&amp;S9)))</f>
        <v>空气:Scan</v>
      </c>
      <c s="136">
        <v>1</v>
      </c>
      <c s="456"/>
      <c s="93">
        <v>296.7</v>
      </c>
      <c s="456" t="str">
        <f>VLOOKUP(J9,'字段对应'!$D$2:$E$8,2,0)</f>
        <v>Validation.ViewModel.DataStructure.FindPeakAndAverageUVTestTool</v>
      </c>
      <c s="456" t="s">
        <v>200</v>
      </c>
      <c s="465" t="s">
        <v>32</v>
      </c>
      <c s="465" t="s">
        <v>90</v>
      </c>
      <c s="465" t="s">
        <v>91</v>
      </c>
      <c s="468">
        <v>300</v>
      </c>
      <c s="468">
        <v>290</v>
      </c>
      <c s="468">
        <v>0.1</v>
      </c>
      <c s="468">
        <v>3</v>
      </c>
      <c s="465" t="s">
        <v>96</v>
      </c>
      <c s="465"/>
      <c s="465"/>
      <c s="465"/>
      <c s="456" t="s">
        <v>80</v>
      </c>
      <c s="456"/>
      <c s="456"/>
      <c s="456" t="s">
        <v>198</v>
      </c>
      <c s="136" t="e">
        <f>VLOOKUP(A9,'对应信息'!$D$2:$E$10,2,0)</f>
        <v>#N/A</v>
      </c>
      <c s="136" t="e">
        <f>IF(#REF!=Z9,#REF!+1,Z9+1)</f>
        <v>#REF!</v>
      </c>
      <c s="113"/>
    </row>
    <row r="10" ht="44.25" customHeight="1">
      <c r="A10" s="456" t="s">
        <v>23</v>
      </c>
      <c s="237" t="s">
        <v>207</v>
      </c>
      <c s="462"/>
      <c s="456" t="str">
        <f>IF(L10="","",'字段对应'!$B$10&amp;"="&amp;VLOOKUP(L10,'基础信息'!$I$2:$J$6,2,0)&amp;";")&amp;IF(M10="","",'字段对应'!$B$11&amp;"="&amp;VLOOKUP(M10,'基础信息'!$K$2:$L$6,2,0)&amp;";")&amp;IF(N10="","",'字段对应'!$C$2&amp;"="&amp;N10&amp;","&amp;O10&amp;","&amp;P10&amp;";")&amp;IF(Q10="","",'字段对应'!$B$13&amp;"="&amp;Q10&amp;";")&amp;IF(R10="","",'字段对应'!$B$14&amp;"="&amp;R10&amp;";")&amp;IF(U10="","",'字段对应'!$B$22&amp;"="&amp;U10&amp;";")&amp;IF(K10="","",'字段对应'!$B$21&amp;"="&amp;VLOOKUP(K10,'基础信息'!$F$2:$G$4,2,0))</f>
        <v>PhotoMode=2;ScanSpeed=2;WlRange=410,400,0.1;Gain=3;Slit1=2.0;LampPos=2</v>
      </c>
      <c s="456" t="str" cm="1">
        <f ref="E10:E10" t="array">_xlfn.SINGLE(IF(W10="","",'检测项信息'!W10&amp;":"&amp;'字段对应'!$B$16&amp;"|"))&amp;IF(X10="","",X10&amp;":"&amp;IF(V10="是",'字段对应'!$C$17,'字段对应'!$B$17&amp;";"&amp;_xlfn.SINGLE(IF(H10="","",'字段对应'!$B$15&amp;"="&amp;'检测项信息'!H10)))&amp;"|")&amp;_xlfn.SINGLE(IF(Y10="",":",Y10&amp;":"))&amp;IF(V10="是",'字段对应'!$C$18,'字段对应'!$B$18&amp;";"&amp;_xlfn.SINGLE(IF(H10="","",'字段对应'!$B$15&amp;"="&amp;'检测项信息'!H10))&amp;_xlfn.SINGLE(IF(AND(T10="",S10=""),"",";"&amp;'字段对应'!$B$20&amp;"="&amp;T10&amp;";"&amp;'字段对应'!$B$19&amp;"="&amp;S10)))</f>
        <v>空气:Scan</v>
      </c>
      <c s="136">
        <v>1</v>
      </c>
      <c s="456"/>
      <c s="93">
        <v>404.7</v>
      </c>
      <c s="456" t="str">
        <f>VLOOKUP(J10,'字段对应'!$D$2:$E$8,2,0)</f>
        <v>Validation.ViewModel.DataStructure.FindPeakAndAverageUVTestTool</v>
      </c>
      <c s="456" t="s">
        <v>200</v>
      </c>
      <c s="465" t="s">
        <v>32</v>
      </c>
      <c s="465" t="s">
        <v>90</v>
      </c>
      <c s="465" t="s">
        <v>91</v>
      </c>
      <c s="468">
        <v>410</v>
      </c>
      <c s="468">
        <v>400</v>
      </c>
      <c s="468">
        <v>0.1</v>
      </c>
      <c s="468">
        <v>3</v>
      </c>
      <c s="465" t="s">
        <v>96</v>
      </c>
      <c s="465"/>
      <c s="465"/>
      <c s="465"/>
      <c s="456" t="s">
        <v>80</v>
      </c>
      <c s="456"/>
      <c s="456"/>
      <c s="456" t="s">
        <v>198</v>
      </c>
      <c s="136" t="e">
        <f>VLOOKUP(A10,'对应信息'!$D$2:$E$10,2,0)</f>
        <v>#N/A</v>
      </c>
      <c s="136" t="e">
        <f ref="AA10:AA12" t="shared" si="2">IF(Z1=Z10,AA1+1,Z10+1)</f>
        <v>#N/A</v>
      </c>
      <c s="113"/>
    </row>
    <row r="11" ht="44.25" customHeight="1">
      <c r="A11" s="456" t="s">
        <v>23</v>
      </c>
      <c s="237" t="s">
        <v>208</v>
      </c>
      <c s="462"/>
      <c s="456" t="str">
        <f>IF(L11="","",'字段对应'!$B$10&amp;"="&amp;VLOOKUP(L11,'基础信息'!$I$2:$J$6,2,0)&amp;";")&amp;IF(M11="","",'字段对应'!$B$11&amp;"="&amp;VLOOKUP(M11,'基础信息'!$K$2:$L$6,2,0)&amp;";")&amp;IF(N11="","",'字段对应'!$C$2&amp;"="&amp;N11&amp;","&amp;O11&amp;","&amp;P11&amp;";")&amp;IF(Q11="","",'字段对应'!$B$13&amp;"="&amp;Q11&amp;";")&amp;IF(R11="","",'字段对应'!$B$14&amp;"="&amp;R11&amp;";")&amp;IF(U11="","",'字段对应'!$B$22&amp;"="&amp;U11&amp;";")&amp;IF(K11="","",'字段对应'!$B$21&amp;"="&amp;VLOOKUP(K11,'基础信息'!$F$2:$G$4,2,0))</f>
        <v>PhotoMode=2;ScanSpeed=2;WlRange=440,430,0.1;Gain=3;Slit1=2.0;LampPos=2</v>
      </c>
      <c s="456" t="str" cm="1">
        <f ref="E11:E11" t="array">_xlfn.SINGLE(IF(W11="","",'检测项信息'!W11&amp;":"&amp;'字段对应'!$B$16&amp;"|"))&amp;IF(X11="","",X11&amp;":"&amp;IF(V11="是",'字段对应'!$C$17,'字段对应'!$B$17&amp;";"&amp;_xlfn.SINGLE(IF(H11="","",'字段对应'!$B$15&amp;"="&amp;'检测项信息'!H11)))&amp;"|")&amp;_xlfn.SINGLE(IF(Y11="",":",Y11&amp;":"))&amp;IF(V11="是",'字段对应'!$C$18,'字段对应'!$B$18&amp;";"&amp;_xlfn.SINGLE(IF(H11="","",'字段对应'!$B$15&amp;"="&amp;'检测项信息'!H11))&amp;_xlfn.SINGLE(IF(AND(T11="",S11=""),"",";"&amp;'字段对应'!$B$20&amp;"="&amp;T11&amp;";"&amp;'字段对应'!$B$19&amp;"="&amp;S11)))</f>
        <v>空气:Scan</v>
      </c>
      <c s="136">
        <v>1</v>
      </c>
      <c s="456"/>
      <c s="93">
        <v>435.8</v>
      </c>
      <c s="456" t="str">
        <f>VLOOKUP(J11,'字段对应'!$D$2:$E$8,2,0)</f>
        <v>Validation.ViewModel.DataStructure.FindPeakAndAverageUVTestTool</v>
      </c>
      <c s="456" t="s">
        <v>200</v>
      </c>
      <c s="465" t="s">
        <v>32</v>
      </c>
      <c s="465" t="s">
        <v>90</v>
      </c>
      <c s="465" t="s">
        <v>91</v>
      </c>
      <c s="468">
        <v>440</v>
      </c>
      <c s="468">
        <v>430</v>
      </c>
      <c s="468">
        <v>0.1</v>
      </c>
      <c s="468">
        <v>3</v>
      </c>
      <c s="465" t="s">
        <v>96</v>
      </c>
      <c s="465"/>
      <c s="465"/>
      <c s="465"/>
      <c s="456" t="s">
        <v>80</v>
      </c>
      <c s="456"/>
      <c s="456"/>
      <c s="456" t="s">
        <v>198</v>
      </c>
      <c s="136" t="e">
        <f>VLOOKUP(A11,'对应信息'!$D$2:$E$10,2,0)</f>
        <v>#N/A</v>
      </c>
      <c s="136" t="e">
        <f t="shared" si="2"/>
        <v>#N/A</v>
      </c>
      <c s="113"/>
    </row>
    <row r="12" ht="44.25" customHeight="1">
      <c r="A12" s="456" t="s">
        <v>23</v>
      </c>
      <c s="237" t="s">
        <v>209</v>
      </c>
      <c s="462"/>
      <c s="456" t="str">
        <f>IF(L12="","",'字段对应'!$B$10&amp;"="&amp;VLOOKUP(L12,'基础信息'!$I$2:$J$6,2,0)&amp;";")&amp;IF(M12="","",'字段对应'!$B$11&amp;"="&amp;VLOOKUP(M12,'基础信息'!$K$2:$L$6,2,0)&amp;";")&amp;IF(N12="","",'字段对应'!$C$2&amp;"="&amp;N12&amp;","&amp;O12&amp;","&amp;P12&amp;";")&amp;IF(Q12="","",'字段对应'!$B$13&amp;"="&amp;Q12&amp;";")&amp;IF(R12="","",'字段对应'!$B$14&amp;"="&amp;R12&amp;";")&amp;IF(U12="","",'字段对应'!$B$22&amp;"="&amp;U12&amp;";")&amp;IF(K12="","",'字段对应'!$B$21&amp;"="&amp;VLOOKUP(K12,'基础信息'!$F$2:$G$4,2,0))</f>
        <v>PhotoMode=2;ScanSpeed=2;WlRange=550,540,0.1;Gain=3;Slit1=2.0;LampPos=2</v>
      </c>
      <c s="456" t="str" cm="1">
        <f ref="E12:E12" t="array">_xlfn.SINGLE(IF(W12="","",'检测项信息'!W12&amp;":"&amp;'字段对应'!$B$16&amp;"|"))&amp;IF(X12="","",X12&amp;":"&amp;IF(V12="是",'字段对应'!$C$17,'字段对应'!$B$17&amp;";"&amp;_xlfn.SINGLE(IF(H12="","",'字段对应'!$B$15&amp;"="&amp;'检测项信息'!H12)))&amp;"|")&amp;_xlfn.SINGLE(IF(Y12="",":",Y12&amp;":"))&amp;IF(V12="是",'字段对应'!$C$18,'字段对应'!$B$18&amp;";"&amp;_xlfn.SINGLE(IF(H12="","",'字段对应'!$B$15&amp;"="&amp;'检测项信息'!H12))&amp;_xlfn.SINGLE(IF(AND(T12="",S12=""),"",";"&amp;'字段对应'!$B$20&amp;"="&amp;T12&amp;";"&amp;'字段对应'!$B$19&amp;"="&amp;S12)))</f>
        <v>空气:Scan</v>
      </c>
      <c s="136">
        <v>1</v>
      </c>
      <c s="456"/>
      <c s="93">
        <v>546.1</v>
      </c>
      <c s="456" t="str">
        <f>VLOOKUP(J12,'字段对应'!$D$2:$E$8,2,0)</f>
        <v>Validation.ViewModel.DataStructure.FindPeakAndAverageUVTestTool</v>
      </c>
      <c s="456" t="s">
        <v>200</v>
      </c>
      <c s="465" t="s">
        <v>32</v>
      </c>
      <c s="465" t="s">
        <v>90</v>
      </c>
      <c s="465" t="s">
        <v>91</v>
      </c>
      <c s="468">
        <v>550</v>
      </c>
      <c s="468">
        <v>540</v>
      </c>
      <c s="468">
        <v>0.1</v>
      </c>
      <c s="468">
        <v>3</v>
      </c>
      <c s="465" t="s">
        <v>96</v>
      </c>
      <c s="465"/>
      <c s="465"/>
      <c s="465"/>
      <c s="456" t="s">
        <v>80</v>
      </c>
      <c s="456"/>
      <c s="456"/>
      <c s="456" t="s">
        <v>198</v>
      </c>
      <c s="136" t="e">
        <f>VLOOKUP(A12,'对应信息'!$D$2:$E$10,2,0)</f>
        <v>#N/A</v>
      </c>
      <c s="136" t="e">
        <f t="shared" si="2"/>
        <v>#N/A</v>
      </c>
      <c s="113"/>
    </row>
    <row r="13" ht="28.5">
      <c r="A13" s="456" t="s">
        <v>33</v>
      </c>
      <c s="98" t="s">
        <v>199</v>
      </c>
      <c s="456"/>
      <c s="456" t="str">
        <f>IF(L13="","",'字段对应'!$B$10&amp;"="&amp;VLOOKUP(L13,'基础信息'!$I$2:$J$6,2,0)&amp;";")&amp;IF(M13="","",'字段对应'!$B$11&amp;"="&amp;VLOOKUP(M13,'基础信息'!$K$2:$L$6,2,0)&amp;";")&amp;IF(N13="","",'字段对应'!$C$2&amp;"="&amp;N13&amp;","&amp;O13&amp;","&amp;P13&amp;";")&amp;IF(Q13="","",'字段对应'!$B$13&amp;"="&amp;Q13&amp;";")&amp;IF(R13="","",'字段对应'!$B$14&amp;"="&amp;R13&amp;";")&amp;IF(U13="","",'字段对应'!$B$22&amp;"="&amp;U13&amp;";")&amp;IF(K13="","",'字段对应'!$B$21&amp;"="&amp;VLOOKUP(K13,'基础信息'!$F$2:$G$4,2,0))</f>
        <v>PhotoMode=2;ScanSpeed=2;WlRange=490,480,0.1;Gain=4;Slit1=2.0;</v>
      </c>
      <c s="456" t="str" cm="1">
        <f ref="E13:E13" t="array">_xlfn.SINGLE(IF(W13="","",'检测项信息'!W13&amp;":"&amp;'字段对应'!$B$16&amp;"|"))&amp;IF(X13="","",X13&amp;":"&amp;IF(V13="是",'字段对应'!$C$17,'字段对应'!$B$17&amp;";"&amp;_xlfn.SINGLE(IF(H13="","",'字段对应'!$B$15&amp;"="&amp;'检测项信息'!H13)))&amp;"|")&amp;_xlfn.SINGLE(IF(Y13="",":",Y13&amp;":"))&amp;IF(V13="是",'字段对应'!$C$18,'字段对应'!$B$18&amp;";"&amp;_xlfn.SINGLE(IF(H13="","",'字段对应'!$B$15&amp;"="&amp;'检测项信息'!H13))&amp;_xlfn.SINGLE(IF(AND(T13="",S13=""),"",";"&amp;'字段对应'!$B$20&amp;"="&amp;T13&amp;";"&amp;'字段对应'!$B$19&amp;"="&amp;S13)))</f>
        <v>空气:BaseLine|空气:Scan</v>
      </c>
      <c s="136">
        <v>1</v>
      </c>
      <c s="456"/>
      <c s="136">
        <v>486</v>
      </c>
      <c s="456" t="str">
        <f>VLOOKUP(J13,'字段对应'!$D$2:$E$8,2,0)</f>
        <v>Validation.ViewModel.DataStructure.FindPeakAndAverageUVTestTool</v>
      </c>
      <c s="456" t="s">
        <v>200</v>
      </c>
      <c s="465"/>
      <c s="465" t="s">
        <v>90</v>
      </c>
      <c s="465" t="s">
        <v>91</v>
      </c>
      <c s="468">
        <v>490</v>
      </c>
      <c s="468">
        <v>480</v>
      </c>
      <c s="468">
        <v>0.1</v>
      </c>
      <c s="468">
        <v>4</v>
      </c>
      <c s="465" t="s">
        <v>96</v>
      </c>
      <c s="465"/>
      <c s="465"/>
      <c s="465"/>
      <c s="456" t="s">
        <v>80</v>
      </c>
      <c s="456"/>
      <c s="456" t="s">
        <v>198</v>
      </c>
      <c s="456" t="s">
        <v>198</v>
      </c>
      <c s="136" t="e">
        <f>VLOOKUP(A13,'对应信息'!$D$2:$E$10,2,0)</f>
        <v>#N/A</v>
      </c>
      <c s="136" t="e">
        <f>IF(Z6=Z13,AA6+1,Z13+1)</f>
        <v>#N/A</v>
      </c>
      <c s="113"/>
    </row>
    <row r="14" ht="37.5" customHeight="1">
      <c r="A14" s="456" t="s">
        <v>33</v>
      </c>
      <c s="98" t="s">
        <v>201</v>
      </c>
      <c s="456"/>
      <c s="456" t="str">
        <f>IF(L14="","",'字段对应'!$B$10&amp;"="&amp;VLOOKUP(L14,'基础信息'!$I$2:$J$6,2,0)&amp;";")&amp;IF(M14="","",'字段对应'!$B$11&amp;"="&amp;VLOOKUP(M14,'基础信息'!$K$2:$L$6,2,0)&amp;";")&amp;IF(N14="","",'字段对应'!$C$2&amp;"="&amp;N14&amp;","&amp;O14&amp;","&amp;P14&amp;";")&amp;IF(Q14="","",'字段对应'!$B$13&amp;"="&amp;Q14&amp;";")&amp;IF(R14="","",'字段对应'!$B$14&amp;"="&amp;R14&amp;";")&amp;IF(U14="","",'字段对应'!$B$22&amp;"="&amp;U14&amp;";")&amp;IF(K14="","",'字段对应'!$B$21&amp;"="&amp;VLOOKUP(K14,'基础信息'!$F$2:$G$4,2,0))</f>
        <v>PhotoMode=2;ScanSpeed=2;WlRange=660,650,0.1;Gain=4;Slit1=2.0;</v>
      </c>
      <c s="456" t="str" cm="1">
        <f ref="E14:E14" t="array">_xlfn.SINGLE(IF(W14="","",'检测项信息'!W14&amp;":"&amp;'字段对应'!$B$16&amp;"|"))&amp;IF(X14="","",X14&amp;":"&amp;IF(V14="是",'字段对应'!$C$17,'字段对应'!$B$17&amp;";"&amp;_xlfn.SINGLE(IF(H14="","",'字段对应'!$B$15&amp;"="&amp;'检测项信息'!H14)))&amp;"|")&amp;_xlfn.SINGLE(IF(Y14="",":",Y14&amp;":"))&amp;IF(V14="是",'字段对应'!$C$18,'字段对应'!$B$18&amp;";"&amp;_xlfn.SINGLE(IF(H14="","",'字段对应'!$B$15&amp;"="&amp;'检测项信息'!H14))&amp;_xlfn.SINGLE(IF(AND(T14="",S14=""),"",";"&amp;'字段对应'!$B$20&amp;"="&amp;T14&amp;";"&amp;'字段对应'!$B$19&amp;"="&amp;S14)))</f>
        <v>空气:BaseLine|空气:Scan</v>
      </c>
      <c s="136">
        <v>1</v>
      </c>
      <c s="456"/>
      <c s="136">
        <v>656.1</v>
      </c>
      <c s="456" t="str">
        <f>VLOOKUP(J14,'字段对应'!$D$2:$E$8,2,0)</f>
        <v>Validation.ViewModel.DataStructure.FindPeakAndAverageUVTestTool</v>
      </c>
      <c s="456" t="s">
        <v>200</v>
      </c>
      <c s="465"/>
      <c s="465" t="s">
        <v>90</v>
      </c>
      <c s="465" t="s">
        <v>91</v>
      </c>
      <c s="468">
        <v>660</v>
      </c>
      <c s="468">
        <v>650</v>
      </c>
      <c s="468">
        <v>0.1</v>
      </c>
      <c s="468">
        <v>4</v>
      </c>
      <c s="465" t="s">
        <v>96</v>
      </c>
      <c s="465"/>
      <c s="465"/>
      <c s="465"/>
      <c s="456" t="s">
        <v>80</v>
      </c>
      <c s="456"/>
      <c s="456" t="s">
        <v>198</v>
      </c>
      <c s="456" t="s">
        <v>198</v>
      </c>
      <c s="136" t="e">
        <f>VLOOKUP(A14,'对应信息'!$D$2:$E$10,2,0)</f>
        <v>#N/A</v>
      </c>
      <c s="136" t="e">
        <f ref="AA14:AA16" t="shared" si="3">IF(Z13=Z14,AA13+1,Z14+1)</f>
        <v>#N/A</v>
      </c>
      <c s="113"/>
    </row>
    <row r="15" ht="51" customHeight="1">
      <c r="A15" s="457" t="s">
        <v>33</v>
      </c>
      <c s="460" t="s">
        <v>40</v>
      </c>
      <c s="457"/>
      <c s="457" t="str">
        <f>IF(L15="","",'字段对应'!$B$10&amp;"="&amp;VLOOKUP(L15,'基础信息'!$I$2:$J$6,2,0)&amp;";")&amp;IF(M15="","",'字段对应'!$B$11&amp;"="&amp;VLOOKUP(M15,'基础信息'!$K$2:$L$6,2,0)&amp;";")&amp;IF(N15="","",'字段对应'!$C$2&amp;"="&amp;N15&amp;","&amp;O15&amp;","&amp;P15&amp;";")&amp;IF(Q15="","",'字段对应'!$B$13&amp;"="&amp;Q15&amp;";")&amp;IF(R15="","",'字段对应'!$B$14&amp;"="&amp;R15&amp;";")&amp;IF(U15="","",'字段对应'!$B$22&amp;"="&amp;U15&amp;";")&amp;IF(K15="","",'字段对应'!$B$21&amp;"="&amp;VLOOKUP(K15,'基础信息'!$F$2:$G$4,2,0))</f>
        <v>PhotoMode=2;ScanSpeed=3;WlRange=1100,300,1;Gain=2;Slit1=2.0;ResponseTime=1;LampPos=0</v>
      </c>
      <c s="457" t="str" cm="1">
        <f ref="E15:E15" t="array">_xlfn.SINGLE(IF(W15="","",'检测项信息'!W15&amp;":"&amp;'字段对应'!$B$16&amp;"|"))&amp;IF(X15="","",X15&amp;":"&amp;IF(V15="是",'字段对应'!$C$17,'字段对应'!$B$17&amp;";"&amp;_xlfn.SINGLE(IF(H15="","",'字段对应'!$B$15&amp;"="&amp;'检测项信息'!H15)))&amp;"|")&amp;_xlfn.SINGLE(IF(Y15="",":",Y15&amp;":"))&amp;IF(V15="是",'字段对应'!$C$18,'字段对应'!$B$18&amp;";"&amp;_xlfn.SINGLE(IF(H15="","",'字段对应'!$B$15&amp;"="&amp;'检测项信息'!H15))&amp;_xlfn.SINGLE(IF(AND(T15="",S15=""),"",";"&amp;'字段对应'!$B$20&amp;"="&amp;T15&amp;";"&amp;'字段对应'!$B$19&amp;"="&amp;S15)))</f>
        <v>空气:Scan</v>
      </c>
      <c s="100">
        <v>1</v>
      </c>
      <c s="457"/>
      <c s="100">
        <v>500</v>
      </c>
      <c s="457" t="str">
        <f>VLOOKUP(J15,'字段对应'!$D$2:$E$8,2,0)</f>
        <v>Validation.ViewModel.DataStructure.FindPeakAndAverageUVTestTool</v>
      </c>
      <c s="457" t="s">
        <v>200</v>
      </c>
      <c s="467" t="s">
        <v>40</v>
      </c>
      <c s="467" t="s">
        <v>90</v>
      </c>
      <c s="467" t="s">
        <v>95</v>
      </c>
      <c s="470">
        <v>1100</v>
      </c>
      <c s="470">
        <v>300</v>
      </c>
      <c s="470">
        <v>1</v>
      </c>
      <c s="470">
        <v>2</v>
      </c>
      <c s="467" t="s">
        <v>96</v>
      </c>
      <c s="470">
        <v>1</v>
      </c>
      <c s="470">
        <v>120</v>
      </c>
      <c s="470">
        <v>1</v>
      </c>
      <c s="457" t="s">
        <v>80</v>
      </c>
      <c s="457"/>
      <c s="457"/>
      <c s="457" t="s">
        <v>198</v>
      </c>
      <c s="136" t="e">
        <f>VLOOKUP(A15,'对应信息'!$D$2:$E$10,2,0)</f>
        <v>#N/A</v>
      </c>
      <c s="136" t="e">
        <f t="shared" si="3"/>
        <v>#N/A</v>
      </c>
      <c s="150"/>
    </row>
    <row r="16" ht="51" customHeight="1" customFormat="1">
      <c r="A16" s="457" t="s">
        <v>33</v>
      </c>
      <c s="460" t="s">
        <v>29</v>
      </c>
      <c s="457"/>
      <c s="457" t="str">
        <f>IF(L16="","",'字段对应'!$B$10&amp;"="&amp;VLOOKUP(L16,'基础信息'!$I$2:$J$6,2,0)&amp;";")&amp;IF(M16="","",'字段对应'!$B$11&amp;"="&amp;VLOOKUP(M16,'基础信息'!$K$2:$L$6,2,0)&amp;";")&amp;IF(N16="","",'字段对应'!$C$2&amp;"="&amp;N16&amp;","&amp;O16&amp;","&amp;P16&amp;";")&amp;IF(Q16="","",'字段对应'!$B$13&amp;"="&amp;Q16&amp;";")&amp;IF(R16="","",'字段对应'!$B$14&amp;"="&amp;R16&amp;";")&amp;IF(U16="","",'字段对应'!$B$22&amp;"="&amp;U16&amp;";")&amp;IF(K16="","",'字段对应'!$B$21&amp;"="&amp;VLOOKUP(K16,'基础信息'!$F$2:$G$4,2,0))</f>
        <v>PhotoMode=2;ScanSpeed=3;WlRange=700,190,1;Gain=4;Slit1=2.0;ResponseTime=1;LampPos=1</v>
      </c>
      <c s="457" t="str" cm="1">
        <f ref="E16:E16" t="array">_xlfn.SINGLE(IF(W16="","",'检测项信息'!W16&amp;":"&amp;'字段对应'!$B$16&amp;"|"))&amp;IF(X16="","",X16&amp;":"&amp;IF(V16="是",'字段对应'!$C$17,'字段对应'!$B$17&amp;";"&amp;_xlfn.SINGLE(IF(H16="","",'字段对应'!$B$15&amp;"="&amp;'检测项信息'!H16)))&amp;"|")&amp;_xlfn.SINGLE(IF(Y16="",":",Y16&amp;":"))&amp;IF(V16="是",'字段对应'!$C$18,'字段对应'!$B$18&amp;";"&amp;_xlfn.SINGLE(IF(H16="","",'字段对应'!$B$15&amp;"="&amp;'检测项信息'!H16))&amp;_xlfn.SINGLE(IF(AND(T16="",S16=""),"",";"&amp;'字段对应'!$B$20&amp;"="&amp;T16&amp;";"&amp;'字段对应'!$B$19&amp;"="&amp;S16)))</f>
        <v>空气:Scan</v>
      </c>
      <c s="100">
        <v>1</v>
      </c>
      <c s="457"/>
      <c s="100">
        <v>500</v>
      </c>
      <c s="457" t="str">
        <f>VLOOKUP(J16,'字段对应'!$D$2:$E$8,2,0)</f>
        <v>Validation.ViewModel.DataStructure.FindPeakAndAverageUVTestTool</v>
      </c>
      <c s="457" t="s">
        <v>200</v>
      </c>
      <c s="467" t="s">
        <v>29</v>
      </c>
      <c s="467" t="s">
        <v>90</v>
      </c>
      <c s="467" t="s">
        <v>95</v>
      </c>
      <c s="470">
        <v>700</v>
      </c>
      <c s="470">
        <v>190</v>
      </c>
      <c s="470">
        <v>1</v>
      </c>
      <c s="470">
        <v>4</v>
      </c>
      <c s="467" t="s">
        <v>96</v>
      </c>
      <c s="470">
        <v>1</v>
      </c>
      <c s="470">
        <v>120</v>
      </c>
      <c s="470">
        <v>1</v>
      </c>
      <c s="457" t="s">
        <v>80</v>
      </c>
      <c s="457"/>
      <c s="457"/>
      <c s="457" t="s">
        <v>198</v>
      </c>
      <c s="136" t="e">
        <f>VLOOKUP(A16,'对应信息'!$D$2:$E$10,2,0)</f>
        <v>#N/A</v>
      </c>
      <c s="136" t="e">
        <f t="shared" si="3"/>
        <v>#N/A</v>
      </c>
      <c s="150"/>
    </row>
    <row r="17" ht="51" customHeight="1" customFormat="1">
      <c r="A17" s="457" t="s">
        <v>42</v>
      </c>
      <c s="98" t="s">
        <v>201</v>
      </c>
      <c s="457"/>
      <c s="457" t="str">
        <f>IF(L17="","",'字段对应'!$B$10&amp;"="&amp;VLOOKUP(L17,'基础信息'!$I$2:$J$6,2,0)&amp;";")&amp;IF(M17="","",'字段对应'!$B$11&amp;"="&amp;VLOOKUP(M17,'基础信息'!$K$2:$L$6,2,0)&amp;";")&amp;IF(N17="","",'字段对应'!$C$2&amp;"="&amp;N17&amp;","&amp;O17&amp;","&amp;P17&amp;";")&amp;IF(Q17="","",'字段对应'!$B$13&amp;"="&amp;Q17&amp;";")&amp;IF(R17="","",'字段对应'!$B$14&amp;"="&amp;R17&amp;";")&amp;IF(U17="","",'字段对应'!$B$22&amp;"="&amp;U17&amp;";")&amp;IF(K17="","",'字段对应'!$B$21&amp;"="&amp;VLOOKUP(K17,'基础信息'!$F$2:$G$4,2,0))</f>
        <v>PhotoMode=2;ScanSpeed=2;WlRange=660,650,0.02;Gain=4;Slit1=2.0;LampPos=1</v>
      </c>
      <c s="457" t="str" cm="1">
        <f ref="E17:E17" t="array">_xlfn.SINGLE(IF(W17="","",'检测项信息'!W17&amp;":"&amp;'字段对应'!$B$16&amp;"|"))&amp;IF(X17="","",X17&amp;":"&amp;IF(V17="是",'字段对应'!$C$17,'字段对应'!$B$17&amp;";"&amp;_xlfn.SINGLE(IF(H17="","",'字段对应'!$B$15&amp;"="&amp;'检测项信息'!H17)))&amp;"|")&amp;_xlfn.SINGLE(IF(Y17="",":",Y17&amp;":"))&amp;IF(V17="是",'字段对应'!$C$18,'字段对应'!$B$18&amp;";"&amp;_xlfn.SINGLE(IF(H17="","",'字段对应'!$B$15&amp;"="&amp;'检测项信息'!H17))&amp;_xlfn.SINGLE(IF(AND(T17="",S17=""),"",";"&amp;'字段对应'!$B$20&amp;"="&amp;T17&amp;";"&amp;'字段对应'!$B$19&amp;"="&amp;S17)))</f>
        <v>空气:Scan</v>
      </c>
      <c s="100">
        <v>1</v>
      </c>
      <c s="457"/>
      <c s="136">
        <v>656.1</v>
      </c>
      <c s="457" t="str">
        <f>VLOOKUP(J17,'字段对应'!$D$2:$E$8,2,0)</f>
        <v>Validation.ViewModel.DataStructure.FindPeakAndAverageUVTestTool</v>
      </c>
      <c s="457" t="s">
        <v>200</v>
      </c>
      <c s="467" t="s">
        <v>29</v>
      </c>
      <c s="467" t="s">
        <v>90</v>
      </c>
      <c s="467" t="s">
        <v>91</v>
      </c>
      <c s="470">
        <v>660</v>
      </c>
      <c s="470">
        <v>650</v>
      </c>
      <c s="470">
        <v>0.02</v>
      </c>
      <c s="470">
        <v>4</v>
      </c>
      <c s="467" t="s">
        <v>96</v>
      </c>
      <c s="467"/>
      <c s="467"/>
      <c s="467"/>
      <c s="457" t="s">
        <v>80</v>
      </c>
      <c s="457"/>
      <c s="457"/>
      <c s="457" t="s">
        <v>198</v>
      </c>
      <c s="136" t="e">
        <f>VLOOKUP(A17,'对应信息'!$D$2:$E$10,2,0)</f>
        <v>#N/A</v>
      </c>
      <c s="136" t="e">
        <f>IF(Z15=Z17,AA15+1,Z17+1)</f>
        <v>#N/A</v>
      </c>
      <c s="150"/>
    </row>
    <row r="18" ht="51" customHeight="1" customFormat="1">
      <c r="A18" s="457" t="s">
        <v>42</v>
      </c>
      <c s="98" t="s">
        <v>199</v>
      </c>
      <c s="457"/>
      <c s="457" t="str">
        <f>IF(L18="","",'字段对应'!$B$10&amp;"="&amp;VLOOKUP(L18,'基础信息'!$I$2:$J$6,2,0)&amp;";")&amp;IF(M18="","",'字段对应'!$B$11&amp;"="&amp;VLOOKUP(M18,'基础信息'!$K$2:$L$6,2,0)&amp;";")&amp;IF(N18="","",'字段对应'!$C$2&amp;"="&amp;N18&amp;","&amp;O18&amp;","&amp;P18&amp;";")&amp;IF(Q18="","",'字段对应'!$B$13&amp;"="&amp;Q18&amp;";")&amp;IF(R18="","",'字段对应'!$B$14&amp;"="&amp;R18&amp;";")&amp;IF(U18="","",'字段对应'!$B$22&amp;"="&amp;U18&amp;";")&amp;IF(K18="","",'字段对应'!$B$21&amp;"="&amp;VLOOKUP(K18,'基础信息'!$F$2:$G$4,2,0))</f>
        <v>PhotoMode=2;ScanSpeed=2;WlRange=490,480,0.02;Gain=4;Slit1=2.0;LampPos=1</v>
      </c>
      <c s="457" t="str" cm="1">
        <f ref="E18:E18" t="array">_xlfn.SINGLE(IF(W18="","",'检测项信息'!W18&amp;":"&amp;'字段对应'!$B$16&amp;"|"))&amp;IF(X18="","",X18&amp;":"&amp;IF(V18="是",'字段对应'!$C$17,'字段对应'!$B$17&amp;";"&amp;_xlfn.SINGLE(IF(H18="","",'字段对应'!$B$15&amp;"="&amp;'检测项信息'!H18)))&amp;"|")&amp;_xlfn.SINGLE(IF(Y18="",":",Y18&amp;":"))&amp;IF(V18="是",'字段对应'!$C$18,'字段对应'!$B$18&amp;";"&amp;_xlfn.SINGLE(IF(H18="","",'字段对应'!$B$15&amp;"="&amp;'检测项信息'!H18))&amp;_xlfn.SINGLE(IF(AND(T18="",S18=""),"",";"&amp;'字段对应'!$B$20&amp;"="&amp;T18&amp;";"&amp;'字段对应'!$B$19&amp;"="&amp;S18)))</f>
        <v>空气:Scan</v>
      </c>
      <c s="100">
        <v>1</v>
      </c>
      <c s="457"/>
      <c s="136">
        <v>486</v>
      </c>
      <c s="457" t="str">
        <f>VLOOKUP(J18,'字段对应'!$D$2:$E$8,2,0)</f>
        <v>Validation.ViewModel.DataStructure.FindPeakAndAverageUVTestTool</v>
      </c>
      <c s="457" t="s">
        <v>200</v>
      </c>
      <c s="467" t="s">
        <v>29</v>
      </c>
      <c s="467" t="s">
        <v>90</v>
      </c>
      <c s="467" t="s">
        <v>91</v>
      </c>
      <c s="470">
        <v>490</v>
      </c>
      <c s="470">
        <v>480</v>
      </c>
      <c s="470">
        <v>0.02</v>
      </c>
      <c s="470">
        <v>4</v>
      </c>
      <c s="467" t="s">
        <v>96</v>
      </c>
      <c s="467"/>
      <c s="467"/>
      <c s="467"/>
      <c s="457" t="s">
        <v>80</v>
      </c>
      <c s="457"/>
      <c s="457"/>
      <c s="457" t="s">
        <v>198</v>
      </c>
      <c s="136" t="e">
        <f>VLOOKUP(A18,'对应信息'!$D$2:$E$10,2,0)</f>
        <v>#N/A</v>
      </c>
      <c s="136" t="e">
        <f ref="AA18:AA23" t="shared" si="4">IF(Z17=Z18,AA17+1,Z18+1)</f>
        <v>#N/A</v>
      </c>
      <c s="150"/>
    </row>
    <row r="19" ht="51" customHeight="1" customFormat="1">
      <c r="A19" s="457" t="s">
        <v>42</v>
      </c>
      <c s="98" t="s">
        <v>30</v>
      </c>
      <c s="457"/>
      <c s="457" t="str">
        <f>IF(L19="","",'字段对应'!$B$10&amp;"="&amp;VLOOKUP(L19,'基础信息'!$I$2:$J$6,2,0)&amp;";")&amp;IF(M19="","",'字段对应'!$B$11&amp;"="&amp;VLOOKUP(M19,'基础信息'!$K$2:$L$6,2,0)&amp;";")&amp;IF(N19="","",'字段对应'!$C$2&amp;"="&amp;N19&amp;","&amp;O19&amp;","&amp;P19&amp;";")&amp;IF(Q19="","",'字段对应'!$B$13&amp;"="&amp;Q19&amp;";")&amp;IF(R19="","",'字段对应'!$B$14&amp;"="&amp;R19&amp;";")&amp;IF(U19="","",'字段对应'!$B$22&amp;"="&amp;U19&amp;";")&amp;IF(K19="","",'字段对应'!$B$21&amp;"="&amp;VLOOKUP(K19,'基础信息'!$F$2:$G$4,2,0))</f>
        <v>PhotoMode=0;ScanSpeed=2;WlRange=810,800,0.1;Slit1=2.0;</v>
      </c>
      <c s="457" t="str" cm="1">
        <f ref="E19:E19" t="array">_xlfn.SINGLE(IF(W19="","",'检测项信息'!W19&amp;":"&amp;'字段对应'!$B$16&amp;"|"))&amp;IF(X19="","",X19&amp;":"&amp;IF(V19="是",'字段对应'!$C$17,'字段对应'!$B$17&amp;";"&amp;_xlfn.SINGLE(IF(H19="","",'字段对应'!$B$15&amp;"="&amp;'检测项信息'!H19)))&amp;"|")&amp;_xlfn.SINGLE(IF(Y19="",":",Y19&amp;":"))&amp;IF(V19="是",'字段对应'!$C$18,'字段对应'!$B$18&amp;";"&amp;_xlfn.SINGLE(IF(H19="","",'字段对应'!$B$15&amp;"="&amp;'检测项信息'!H19))&amp;_xlfn.SINGLE(IF(AND(T19="",S19=""),"",";"&amp;'字段对应'!$B$20&amp;"="&amp;T19&amp;";"&amp;'字段对应'!$B$19&amp;"="&amp;S19)))</f>
        <v>黑挡块:Dark|空气:BaseLine|镨钕滤光片:Scan</v>
      </c>
      <c s="100">
        <v>1</v>
      </c>
      <c s="457"/>
      <c s="151" t="s">
        <v>132</v>
      </c>
      <c s="457" t="str">
        <f>VLOOKUP(J19,'字段对应'!$D$2:$E$8,2,0)</f>
        <v>Validation.ViewModel.DataStructure.FindPeakAndAverageUVTestTool</v>
      </c>
      <c s="457" t="s">
        <v>200</v>
      </c>
      <c s="467"/>
      <c s="467" t="s">
        <v>81</v>
      </c>
      <c s="467" t="s">
        <v>91</v>
      </c>
      <c s="470">
        <v>810</v>
      </c>
      <c s="470">
        <v>800</v>
      </c>
      <c s="470">
        <v>0.1</v>
      </c>
      <c s="467"/>
      <c s="467" t="s">
        <v>96</v>
      </c>
      <c s="467"/>
      <c s="467"/>
      <c s="467"/>
      <c s="457" t="s">
        <v>80</v>
      </c>
      <c s="457" t="s">
        <v>202</v>
      </c>
      <c s="457" t="s">
        <v>198</v>
      </c>
      <c s="456" t="s">
        <v>30</v>
      </c>
      <c s="136" t="e">
        <f>VLOOKUP(A19,'对应信息'!$D$2:$E$10,2,0)</f>
        <v>#N/A</v>
      </c>
      <c s="136" t="e">
        <f t="shared" si="4"/>
        <v>#N/A</v>
      </c>
      <c s="150"/>
    </row>
    <row r="20" ht="51" customHeight="1" customFormat="1">
      <c r="A20" s="457" t="s">
        <v>42</v>
      </c>
      <c s="460" t="s">
        <v>31</v>
      </c>
      <c s="457"/>
      <c s="457" t="str">
        <f>IF(L20="","",'字段对应'!$B$10&amp;"="&amp;VLOOKUP(L20,'基础信息'!$I$2:$J$6,2,0)&amp;";")&amp;IF(M20="","",'字段对应'!$B$11&amp;"="&amp;VLOOKUP(M20,'基础信息'!$K$2:$L$6,2,0)&amp;";")&amp;IF(N20="","",'字段对应'!$C$2&amp;"="&amp;N20&amp;","&amp;O20&amp;","&amp;P20&amp;";")&amp;IF(Q20="","",'字段对应'!$B$13&amp;"="&amp;Q20&amp;";")&amp;IF(R20="","",'字段对应'!$B$14&amp;"="&amp;R20&amp;";")&amp;IF(U20="","",'字段对应'!$B$22&amp;"="&amp;U20&amp;";")&amp;IF(K20="","",'字段对应'!$B$21&amp;"="&amp;VLOOKUP(K20,'基础信息'!$F$2:$G$4,2,0))</f>
        <v>PhotoMode=0;ScanSpeed=3;WlRange=645,235,0.1;Slit1=2.0;</v>
      </c>
      <c s="457" t="str" cm="1">
        <f ref="E20:E20" t="array">_xlfn.SINGLE(IF(W20="","",'检测项信息'!W20&amp;":"&amp;'字段对应'!$B$16&amp;"|"))&amp;IF(X20="","",X20&amp;":"&amp;IF(V20="是",'字段对应'!$C$17,'字段对应'!$B$17&amp;";"&amp;_xlfn.SINGLE(IF(H20="","",'字段对应'!$B$15&amp;"="&amp;'检测项信息'!H20)))&amp;"|")&amp;_xlfn.SINGLE(IF(Y20="",":",Y20&amp;":"))&amp;IF(V20="是",'字段对应'!$C$18,'字段对应'!$B$18&amp;";"&amp;_xlfn.SINGLE(IF(H20="","",'字段对应'!$B$15&amp;"="&amp;'检测项信息'!H20))&amp;_xlfn.SINGLE(IF(AND(T20="",S20=""),"",";"&amp;'字段对应'!$B$20&amp;"="&amp;T20&amp;";"&amp;'字段对应'!$B$19&amp;"="&amp;S20)))</f>
        <v>黑挡块:Dark|空气:BaseLine|钬溶液:Scan</v>
      </c>
      <c s="100">
        <v>1</v>
      </c>
      <c s="457"/>
      <c s="457" t="s">
        <v>210</v>
      </c>
      <c s="457" t="str">
        <f>VLOOKUP(J20,'字段对应'!$D$2:$E$8,2,0)</f>
        <v>Validation.ViewModel.DataStructure.FindPeakAndAverageUVTestTool</v>
      </c>
      <c s="457" t="s">
        <v>200</v>
      </c>
      <c s="467"/>
      <c s="467" t="s">
        <v>81</v>
      </c>
      <c s="467" t="s">
        <v>95</v>
      </c>
      <c s="470">
        <v>645</v>
      </c>
      <c s="470">
        <v>235</v>
      </c>
      <c s="470">
        <v>0.1</v>
      </c>
      <c s="467"/>
      <c s="467" t="s">
        <v>96</v>
      </c>
      <c s="467"/>
      <c s="467"/>
      <c s="467"/>
      <c s="457" t="s">
        <v>80</v>
      </c>
      <c s="457" t="s">
        <v>202</v>
      </c>
      <c s="457" t="s">
        <v>198</v>
      </c>
      <c s="456" t="s">
        <v>31</v>
      </c>
      <c s="136" t="e">
        <f>VLOOKUP(A20,'对应信息'!$D$2:$E$10,2,0)</f>
        <v>#N/A</v>
      </c>
      <c s="136" t="e">
        <f t="shared" si="4"/>
        <v>#N/A</v>
      </c>
      <c s="150"/>
    </row>
    <row r="21" ht="39.75" customHeight="1" customFormat="1">
      <c r="A21" s="456" t="s">
        <v>148</v>
      </c>
      <c s="237" t="s">
        <v>211</v>
      </c>
      <c s="456"/>
      <c s="456" t="s">
        <v>212</v>
      </c>
      <c s="457" t="str" cm="1">
        <f ref="E21:E21" t="array">_xlfn.SINGLE(IF(W21="","",'检测项信息'!W21&amp;":"&amp;'字段对应'!$B$16&amp;"|"))&amp;IF(X21="","",X21&amp;":"&amp;IF(V21="是",'字段对应'!$C$17,'字段对应'!$B$17&amp;";"&amp;_xlfn.SINGLE(IF(H21="","",'字段对应'!$B$15&amp;"="&amp;'检测项信息'!H21)))&amp;"|")&amp;_xlfn.SINGLE(IF(Y21="",":",Y21&amp;":"))&amp;IF(V21="是",'字段对应'!$C$18,'字段对应'!$B$18&amp;";"&amp;_xlfn.SINGLE(IF(H21="","",'字段对应'!$B$15&amp;"="&amp;'检测项信息'!H21))&amp;_xlfn.SINGLE(IF(AND(T21="",S21=""),"",";"&amp;'字段对应'!$B$20&amp;"="&amp;T21&amp;";"&amp;'字段对应'!$B$19&amp;"="&amp;S21)))</f>
        <v>黑挡块:Dark|碘化钠空白溶液:Zero;Wl=220|碘化钠溶液:Measure;Wl=220</v>
      </c>
      <c s="136">
        <v>3</v>
      </c>
      <c s="136">
        <v>1</v>
      </c>
      <c s="456" t="s">
        <v>213</v>
      </c>
      <c s="457" t="str">
        <f>VLOOKUP(J21,'字段对应'!$D$2:$E$8,2,0)</f>
        <v>Validation.ViewModel.DataStructure.WlPointsUVTestTool</v>
      </c>
      <c s="456" t="s">
        <v>214</v>
      </c>
      <c s="465"/>
      <c s="465" t="s">
        <v>86</v>
      </c>
      <c s="465" t="s">
        <v>91</v>
      </c>
      <c s="465"/>
      <c s="465"/>
      <c s="465"/>
      <c s="465"/>
      <c s="465" t="s">
        <v>96</v>
      </c>
      <c s="465"/>
      <c s="465"/>
      <c s="465"/>
      <c s="456" t="s">
        <v>84</v>
      </c>
      <c s="456" t="s">
        <v>202</v>
      </c>
      <c s="237" t="s">
        <v>215</v>
      </c>
      <c s="456" t="s">
        <v>109</v>
      </c>
      <c s="136">
        <f>VLOOKUP(A21,'对应信息'!$D$2:$E$10,2,0)</f>
        <v>3E+3</v>
      </c>
      <c s="136" t="e">
        <f t="shared" si="4"/>
        <v>#N/A</v>
      </c>
      <c s="113"/>
    </row>
    <row r="22" ht="28.5" customFormat="1">
      <c r="A22" s="456" t="s">
        <v>148</v>
      </c>
      <c s="237" t="s">
        <v>216</v>
      </c>
      <c s="456"/>
      <c s="456" t="s">
        <v>212</v>
      </c>
      <c s="457" t="str" cm="1">
        <f ref="E22:E22" t="array">_xlfn.SINGLE(IF(W22="","",'检测项信息'!W22&amp;":"&amp;'字段对应'!$B$16&amp;"|"))&amp;IF(X22="","",X22&amp;":"&amp;IF(V22="是",'字段对应'!$C$17,'字段对应'!$B$17&amp;";"&amp;_xlfn.SINGLE(IF(H22="","",'字段对应'!$B$15&amp;"="&amp;'检测项信息'!H22)))&amp;"|")&amp;_xlfn.SINGLE(IF(Y22="",":",Y22&amp;":"))&amp;IF(V22="是",'字段对应'!$C$18,'字段对应'!$B$18&amp;";"&amp;_xlfn.SINGLE(IF(H22="","",'字段对应'!$B$15&amp;"="&amp;'检测项信息'!H22))&amp;_xlfn.SINGLE(IF(AND(T22="",S22=""),"",";"&amp;'字段对应'!$B$20&amp;"="&amp;T22&amp;";"&amp;'字段对应'!$B$19&amp;"="&amp;S22)))</f>
        <v>黑挡块:Dark|亚硝酸钠空白溶液:Zero;Wl=360|亚硝酸钠溶液:Measure;Wl=360</v>
      </c>
      <c s="136">
        <v>3</v>
      </c>
      <c s="136">
        <v>1</v>
      </c>
      <c s="456" t="s">
        <v>217</v>
      </c>
      <c s="457" t="str">
        <f>VLOOKUP(J22,'字段对应'!$D$2:$E$8,2,0)</f>
        <v>Validation.ViewModel.DataStructure.WlPointsUVTestTool</v>
      </c>
      <c s="456" t="s">
        <v>214</v>
      </c>
      <c s="465"/>
      <c s="465" t="s">
        <v>86</v>
      </c>
      <c s="465" t="s">
        <v>91</v>
      </c>
      <c s="465"/>
      <c s="465"/>
      <c s="465"/>
      <c s="465"/>
      <c s="466" t="s">
        <v>96</v>
      </c>
      <c s="465"/>
      <c s="465"/>
      <c s="465"/>
      <c s="456" t="s">
        <v>84</v>
      </c>
      <c s="456" t="s">
        <v>202</v>
      </c>
      <c s="237" t="s">
        <v>218</v>
      </c>
      <c s="456" t="s">
        <v>110</v>
      </c>
      <c s="136">
        <f>VLOOKUP(A22,'对应信息'!$D$2:$E$10,2,0)</f>
        <v>3E+3</v>
      </c>
      <c s="136" t="e">
        <f t="shared" si="4"/>
        <v>#N/A</v>
      </c>
      <c s="113"/>
    </row>
    <row r="23" ht="28.5" customFormat="1" s="84">
      <c r="A23" s="456" t="s">
        <v>149</v>
      </c>
      <c s="237" t="s">
        <v>58</v>
      </c>
      <c s="456"/>
      <c s="456" t="str">
        <f>IF(L23="","",'[1]字段对应'!$B$10&amp;"="&amp;VLOOKUP(L23,'[1]基础信息'!$I$2:$J$6,2,0)&amp;";")&amp;IF(M23="","",'[1]字段对应'!$B$11&amp;"="&amp;VLOOKUP(M23,'[1]基础信息'!$K$2:$L$6,2,0)&amp;";")&amp;IF(N23="","",'[1]字段对应'!$C$2&amp;"="&amp;N23&amp;","&amp;O23&amp;","&amp;P23&amp;";")&amp;IF(Q23="","",'[1]字段对应'!$B$13&amp;"="&amp;Q23&amp;";")&amp;IF(R23="","",'[1]字段对应'!$B$14&amp;"="&amp;R23&amp;";")&amp;IF(U23="","",'[1]字段对应'!$B$22&amp;"="&amp;U23&amp;";")&amp;IF(K23="","",'[1]字段对应'!$B$21&amp;"="&amp;VLOOKUP(K23,'[1]基础信息'!$F$2:$G$4,2,0))</f>
        <v>PhotoMode=0;ScanSpeed=2;WlRange=1090,200,1;Slit1=2.0;</v>
      </c>
      <c s="456" t="str" cm="1">
        <f ref="E23:E23" t="array">_xlfn.SINGLE(IF(W23="","",'[1]检测项信息'!W12&amp;":"&amp;'[1]字段对应'!$B$16&amp;"|"))&amp;IF(X23="","",X23&amp;":"&amp;IF(V23="是",'[1]字段对应'!$C$17,'[1]字段对应'!$B$17&amp;";"&amp;_xlfn.SINGLE(IF(H23="","",'[1]字段对应'!$B$15&amp;"="&amp;'[1]检测项信息'!H12)))&amp;"|")&amp;_xlfn.SINGLE(IF(Y23="",":",Y23&amp;":"))&amp;IF(V23="是",'[1]字段对应'!$C$18,'[1]字段对应'!$B$18&amp;";"&amp;_xlfn.SINGLE(IF(H23="","",'[1]字段对应'!$B$15&amp;"="&amp;'[1]检测项信息'!H12))&amp;_xlfn.SINGLE(IF(AND(T23="",S23=""),"",";"&amp;'[1]字段对应'!$B$20&amp;"="&amp;T23&amp;";"&amp;'[1]字段对应'!$B$19&amp;"="&amp;S23)))</f>
        <v>黑挡块:Dark|空气:BaseLine|空气:Scan</v>
      </c>
      <c s="136">
        <v>1</v>
      </c>
      <c s="456"/>
      <c s="456"/>
      <c s="457" t="str">
        <f>VLOOKUP(J23,'字段对应'!$D$2:$E$8,2,0)</f>
        <v>Validation.ViewModel.DataStructure.GetMaxDIstanceUVTestTool</v>
      </c>
      <c s="456" t="s">
        <v>219</v>
      </c>
      <c s="465"/>
      <c s="467" t="s">
        <v>81</v>
      </c>
      <c s="467" t="s">
        <v>91</v>
      </c>
      <c s="468">
        <v>1090</v>
      </c>
      <c s="468">
        <v>200</v>
      </c>
      <c s="470">
        <v>1</v>
      </c>
      <c s="465"/>
      <c s="467" t="s">
        <v>96</v>
      </c>
      <c s="465"/>
      <c s="465"/>
      <c s="465"/>
      <c s="456" t="s">
        <v>80</v>
      </c>
      <c s="456" t="s">
        <v>202</v>
      </c>
      <c s="456" t="s">
        <v>198</v>
      </c>
      <c s="456" t="s">
        <v>198</v>
      </c>
      <c s="136">
        <f>VLOOKUP(A23,'对应信息'!$D$2:$E$10,2,0)</f>
        <v>4E+3</v>
      </c>
      <c s="136">
        <f t="shared" si="4"/>
        <v>4001</v>
      </c>
      <c s="113"/>
    </row>
    <row r="24" customHeight="1">
      <c r="A24" s="458"/>
      <c s="458"/>
      <c s="458"/>
      <c s="458"/>
      <c s="458"/>
      <c s="458"/>
      <c s="458"/>
      <c s="458"/>
      <c s="458"/>
      <c s="101"/>
      <c s="101"/>
      <c s="101"/>
      <c s="101"/>
      <c s="101"/>
      <c s="101"/>
      <c s="101"/>
      <c s="101"/>
      <c s="101"/>
      <c s="101"/>
      <c s="101"/>
      <c s="101"/>
      <c s="101"/>
      <c s="101"/>
      <c s="458"/>
      <c s="55"/>
      <c s="458"/>
      <c s="458"/>
      <c s="114"/>
      <c s="461"/>
      <c s="461"/>
    </row>
    <row r="25" customHeight="1">
      <c r="A25" s="458"/>
      <c s="458"/>
      <c s="458"/>
      <c s="458"/>
      <c s="458"/>
      <c s="458"/>
      <c s="458"/>
      <c s="458"/>
      <c s="458"/>
      <c s="101"/>
      <c s="101"/>
      <c s="101"/>
      <c s="101"/>
      <c s="101"/>
      <c s="101"/>
      <c s="101"/>
      <c s="101"/>
      <c s="101"/>
      <c s="101"/>
      <c s="101"/>
      <c s="101"/>
      <c s="101"/>
      <c s="101"/>
      <c s="458"/>
      <c s="458"/>
      <c s="458"/>
      <c s="458"/>
      <c s="114"/>
      <c s="461"/>
      <c s="461"/>
    </row>
    <row r="26" customHeight="1">
      <c r="A26" s="458"/>
      <c s="458"/>
      <c s="458"/>
      <c s="458"/>
      <c s="458"/>
      <c s="458"/>
      <c s="458"/>
      <c s="458"/>
      <c s="458"/>
      <c s="101"/>
      <c s="101"/>
      <c s="101"/>
      <c s="101"/>
      <c s="101"/>
      <c s="101"/>
      <c s="101"/>
      <c s="101"/>
      <c s="101"/>
      <c s="101"/>
      <c s="101"/>
      <c s="101"/>
      <c s="101"/>
      <c s="101"/>
      <c s="458"/>
      <c s="55"/>
      <c s="458"/>
      <c s="458"/>
      <c s="114"/>
      <c s="461"/>
      <c s="461"/>
    </row>
    <row r="27" customHeight="1">
      <c r="A27" s="458"/>
      <c s="458"/>
      <c s="458"/>
      <c s="458"/>
      <c s="458"/>
      <c s="458"/>
      <c s="458"/>
      <c s="458"/>
      <c s="458"/>
      <c s="101"/>
      <c s="101"/>
      <c s="101"/>
      <c s="101"/>
      <c s="101"/>
      <c s="101"/>
      <c s="101"/>
      <c s="101"/>
      <c s="101"/>
      <c s="101"/>
      <c s="101"/>
      <c s="101"/>
      <c s="101"/>
      <c s="101"/>
      <c s="458"/>
      <c s="458"/>
      <c s="458"/>
      <c s="458"/>
      <c s="114"/>
      <c s="461"/>
      <c s="461"/>
    </row>
    <row r="28" customHeight="1">
      <c r="A28" s="458"/>
      <c s="458"/>
      <c s="458"/>
      <c s="458"/>
      <c s="458"/>
      <c s="458"/>
      <c s="458"/>
      <c s="458"/>
      <c s="458"/>
      <c s="101"/>
      <c s="101"/>
      <c s="101"/>
      <c s="101"/>
      <c s="101"/>
      <c s="101"/>
      <c s="101"/>
      <c s="101"/>
      <c s="101"/>
      <c s="101"/>
      <c s="101"/>
      <c s="101"/>
      <c s="101"/>
      <c s="101"/>
      <c s="458"/>
      <c s="55"/>
      <c s="458"/>
      <c s="458"/>
      <c s="114"/>
      <c s="461"/>
      <c s="461"/>
    </row>
    <row r="29" ht="39.75" customHeight="1">
      <c r="A29" s="458"/>
      <c s="55"/>
      <c s="458"/>
      <c s="458"/>
      <c s="458"/>
      <c s="458"/>
      <c s="458"/>
      <c s="458"/>
      <c s="458"/>
      <c s="101"/>
      <c s="101"/>
      <c s="101"/>
      <c s="101"/>
      <c s="101"/>
      <c s="101"/>
      <c s="101"/>
      <c s="101"/>
      <c s="101"/>
      <c s="101"/>
      <c s="101"/>
      <c s="101"/>
      <c s="101"/>
      <c s="101"/>
      <c s="55"/>
      <c s="458"/>
      <c s="458"/>
      <c s="458"/>
      <c s="114"/>
      <c s="461"/>
      <c s="461"/>
    </row>
    <row r="30" customHeight="1">
      <c r="A30" s="458"/>
      <c s="55"/>
      <c s="458"/>
      <c s="458"/>
      <c s="458"/>
      <c s="458"/>
      <c s="458"/>
      <c s="458"/>
      <c s="458"/>
      <c s="101"/>
      <c s="101"/>
      <c s="101"/>
      <c s="101"/>
      <c s="101"/>
      <c s="101"/>
      <c s="101"/>
      <c s="101"/>
      <c s="105"/>
      <c s="101"/>
      <c s="101"/>
      <c s="101"/>
      <c s="101"/>
      <c s="101"/>
      <c s="55"/>
      <c s="458"/>
      <c s="458"/>
      <c s="458"/>
      <c s="114"/>
      <c s="461"/>
      <c s="461"/>
    </row>
    <row r="31" customHeight="1">
      <c r="A31" s="458"/>
      <c s="458"/>
      <c s="458"/>
      <c s="458"/>
      <c s="458"/>
      <c s="458"/>
      <c s="458"/>
      <c s="55"/>
      <c s="458"/>
      <c s="101"/>
      <c s="101"/>
      <c s="101"/>
      <c s="101"/>
      <c s="101"/>
      <c s="101"/>
      <c s="101"/>
      <c s="101"/>
      <c s="101"/>
      <c s="101"/>
      <c s="101"/>
      <c s="101"/>
      <c s="101"/>
      <c s="101"/>
      <c s="90"/>
      <c s="458"/>
      <c s="458"/>
      <c s="458"/>
      <c s="115"/>
      <c s="461"/>
      <c s="461"/>
    </row>
    <row r="32" customHeight="1">
      <c r="A32" s="458"/>
      <c s="458"/>
      <c s="458"/>
      <c s="458"/>
      <c s="458"/>
      <c s="458"/>
      <c s="458"/>
      <c s="458"/>
      <c s="458"/>
      <c s="101"/>
      <c s="101"/>
      <c s="101"/>
      <c s="101"/>
      <c s="101"/>
      <c s="101"/>
      <c s="101"/>
      <c s="101"/>
      <c s="101"/>
      <c s="101"/>
      <c s="101"/>
      <c s="101"/>
      <c s="101"/>
      <c s="101"/>
      <c s="458"/>
      <c s="458"/>
      <c s="458"/>
      <c s="458"/>
      <c s="115"/>
      <c s="461"/>
      <c s="461"/>
    </row>
    <row r="33" customHeight="1">
      <c r="A33" s="458"/>
      <c s="458"/>
      <c s="458"/>
      <c s="458"/>
      <c s="458"/>
      <c s="458"/>
      <c s="458"/>
      <c s="458"/>
      <c s="458"/>
      <c s="101"/>
      <c s="101"/>
      <c s="101"/>
      <c s="101"/>
      <c s="101"/>
      <c s="101"/>
      <c s="101"/>
      <c s="101"/>
      <c s="101"/>
      <c s="101"/>
      <c s="101"/>
      <c s="101"/>
      <c s="101"/>
      <c s="101"/>
      <c s="458"/>
      <c s="458"/>
      <c s="458"/>
      <c s="458"/>
      <c s="115"/>
      <c s="461"/>
      <c s="461"/>
    </row>
    <row r="34" ht="40.5" customHeight="1">
      <c r="A34" s="458"/>
      <c s="458"/>
      <c s="458"/>
      <c s="458"/>
      <c s="458"/>
      <c s="458"/>
      <c s="458"/>
      <c s="458"/>
      <c s="458"/>
      <c s="101"/>
      <c s="101"/>
      <c s="101"/>
      <c s="101"/>
      <c s="101"/>
      <c s="101"/>
      <c s="101"/>
      <c s="101"/>
      <c s="101"/>
      <c s="101"/>
      <c s="101"/>
      <c s="101"/>
      <c s="101"/>
      <c s="101"/>
      <c s="458"/>
      <c s="458"/>
      <c s="458"/>
      <c s="458"/>
      <c s="115"/>
      <c s="461"/>
      <c s="461"/>
    </row>
    <row r="35" customHeight="1">
      <c r="A35" s="458"/>
      <c s="55"/>
      <c s="458"/>
      <c s="458"/>
      <c s="458"/>
      <c s="458"/>
      <c s="458"/>
      <c s="458"/>
      <c s="458"/>
      <c s="101"/>
      <c s="101"/>
      <c s="101"/>
      <c s="101"/>
      <c s="101"/>
      <c s="101"/>
      <c s="101"/>
      <c s="101"/>
      <c s="101"/>
      <c s="101"/>
      <c s="101"/>
      <c s="101"/>
      <c s="101"/>
      <c s="101"/>
      <c s="458"/>
      <c s="458"/>
      <c s="458"/>
      <c s="458"/>
      <c s="114"/>
      <c s="461"/>
      <c s="461"/>
    </row>
    <row r="36" customHeight="1">
      <c r="A36" s="459"/>
      <c s="461"/>
      <c s="461"/>
      <c s="461"/>
      <c s="461"/>
      <c s="461"/>
      <c s="461"/>
      <c s="461"/>
      <c s="461"/>
      <c s="95"/>
      <c s="95"/>
      <c s="95"/>
      <c s="95"/>
      <c s="95"/>
      <c s="95"/>
      <c s="95"/>
      <c s="95"/>
      <c s="95"/>
      <c s="95"/>
      <c s="95"/>
      <c s="95"/>
      <c s="95"/>
      <c s="95"/>
      <c s="461"/>
      <c s="461"/>
      <c s="458"/>
      <c s="458"/>
      <c s="114"/>
      <c s="461"/>
      <c s="461"/>
    </row>
    <row r="37" customHeight="1">
      <c r="J37" s="121"/>
      <c s="121"/>
      <c s="121"/>
      <c s="121"/>
      <c s="121"/>
      <c s="121"/>
      <c s="121"/>
      <c s="121"/>
      <c s="121"/>
      <c s="121"/>
      <c s="121"/>
      <c s="121"/>
      <c s="121"/>
      <c s="121"/>
    </row>
    <row r="38" customHeight="1">
      <c r="J38" s="121"/>
      <c s="121"/>
      <c s="121"/>
      <c s="121"/>
      <c s="121"/>
      <c s="121"/>
      <c s="121"/>
      <c s="121"/>
      <c s="121"/>
      <c s="121"/>
      <c s="121"/>
      <c s="121"/>
      <c s="121"/>
      <c s="121"/>
    </row>
    <row r="39" customHeight="1">
      <c r="J39" s="121"/>
      <c s="121"/>
      <c s="121"/>
      <c s="121"/>
      <c s="121"/>
      <c s="121"/>
      <c s="121"/>
      <c s="121"/>
      <c s="121"/>
      <c s="121"/>
      <c s="121"/>
      <c s="121"/>
      <c s="121"/>
      <c s="121"/>
    </row>
    <row r="40" customHeight="1">
      <c r="J40" s="121"/>
      <c s="121"/>
      <c s="121"/>
      <c s="121"/>
      <c s="121"/>
      <c s="121"/>
      <c s="121"/>
      <c s="121"/>
      <c s="121"/>
      <c s="121"/>
      <c s="121"/>
      <c s="121"/>
      <c s="121"/>
      <c s="121"/>
    </row>
    <row r="41" customHeight="1">
      <c r="E41" s="91"/>
    </row>
  </sheetData>
  <dataValidations>
    <dataValidation type="list" allowBlank="1" showInputMessage="1" showErrorMessage="1" sqref="K22 K1:K20 K24:K1048576">
      <formula1>'基础信息'!$F$2:$F$4</formula1>
    </dataValidation>
    <dataValidation type="list" allowBlank="1" showInputMessage="1" showErrorMessage="1" sqref="Q22 Q1:Q20 Q24:Q1048576">
      <formula1>'基础信息'!$Q$2:$Q$7</formula1>
    </dataValidation>
    <dataValidation type="list" allowBlank="1" showInputMessage="1" showErrorMessage="1" sqref="U22 U1:U20 U24:U1048576">
      <formula1>'基础信息'!$R$2:$R$5</formula1>
    </dataValidation>
    <dataValidation type="list" allowBlank="1" showInputMessage="1" showErrorMessage="1" sqref="J1:J22 J24:J1048576">
      <formula1>'字段对应'!$D$2:$D$8</formula1>
    </dataValidation>
    <dataValidation type="list" allowBlank="1" showInputMessage="1" showErrorMessage="1" sqref="L1:L1048576">
      <formula1>'基础信息'!$I$2:$I$6</formula1>
    </dataValidation>
    <dataValidation type="list" allowBlank="1" showInputMessage="1" showErrorMessage="1" sqref="M1:M1048576">
      <formula1>'基础信息'!$K$2:$K$6</formula1>
    </dataValidation>
    <dataValidation type="list" allowBlank="1" showInputMessage="1" showErrorMessage="1" sqref="P1:P1048576">
      <formula1>'基础信息'!$M$2:$M$9</formula1>
    </dataValidation>
    <dataValidation type="list" allowBlank="1" showInputMessage="1" showErrorMessage="1" sqref="R1:R1048576">
      <formula1>'基础信息'!$P$2:$P$6</formula1>
    </dataValidation>
    <dataValidation type="list" allowBlank="1" showInputMessage="1" showErrorMessage="1" sqref="V1:V22 V24:V1048576">
      <formula1>'基础信息'!$E$2:$E$3</formula1>
    </dataValidation>
  </dataValidations>
  <printOptions/>
  <pageMargins left="0.7" right="0.7" top="0.75" bottom="0.75" header="0.3" footer="0.3"/>
  <pageSetup paperSize="9" firstPageNumber="4294963191" copies="0"/>
  <headerFooter/>
  <extLst/>
</worksheet>
</file>

<file path=xl/worksheets/sheet7.xml><?xml version="1.0" encoding="utf-8"?>
<worksheet xmlns:mc="http://schemas.openxmlformats.org/markup-compatibility/2006" xmlns:x14ac="http://schemas.microsoft.com/office/spreadsheetml/2009/9/ac" xmlns:x14="http://schemas.microsoft.com/office/spreadsheetml/2009/9/main" xmlns:r="http://schemas.openxmlformats.org/officeDocument/2006/relationships" xmlns="http://schemas.openxmlformats.org/spreadsheetml/2006/main" mc:Ignorable="x14ac">
  <sheetPr/>
  <dimension ref="A1:E18"/>
  <sheetViews>
    <sheetView topLeftCell="A1" workbookViewId="0">
      <pane topLeftCell="A1"/>
      <selection activeCellId="0" activeCell="B13" sqref="B13"/>
    </sheetView>
  </sheetViews>
  <sheetFormatPr defaultColWidth="9" defaultRowHeight="14.25" customHeight="1"/>
  <cols>
    <col min="1" max="1" width="22.63" customWidth="1" style="11"/>
    <col min="2" max="2" width="44.63" customWidth="1" style="11"/>
    <col min="3" max="3" width="22.63" customWidth="1" style="11"/>
    <col min="4" max="5" width="5.5" customWidth="1" style="11"/>
    <col min="6" max="9" width="22.63" customWidth="1" style="11"/>
    <col min="10" max="16384" width="9" style="11"/>
  </cols>
  <sheetData>
    <row r="1" customHeight="1">
      <c r="A1" s="116" t="s">
        <v>220</v>
      </c>
      <c s="116" t="s">
        <v>221</v>
      </c>
      <c s="116" t="s">
        <v>222</v>
      </c>
      <c s="116" t="s">
        <v>223</v>
      </c>
      <c s="116" t="s">
        <v>224</v>
      </c>
    </row>
    <row r="2" customHeight="1">
      <c r="A2" s="117" t="str" cm="1">
        <f aca="1" ca="1" ref="A2:A2" t="array">MID(_xlfn.SINGLE(CELL("filename")),FIND("[",_xlfn.SINGLE(CELL("filename")),1)+1,FIND(".",_xlfn.SINGLE(CELL("filename")),1)-FIND("[",_xlfn.SINGLE(CELL("filename")),1)-1)</f>
        <v>34U1602-01-0024_202508110505</v>
      </c>
      <c s="88" t="s">
        <v>225</v>
      </c>
      <c s="82"/>
      <c s="117"/>
      <c s="117"/>
    </row>
    <row r="3" customHeight="1">
      <c r="A3" s="117" t="str" cm="1">
        <f aca="1" ca="1" ref="A3:A3" t="array">MID(_xlfn.SINGLE(CELL("filename")),FIND("[",_xlfn.SINGLE(CELL("filename")),1)+1,FIND(".",_xlfn.SINGLE(CELL("filename")),1)-FIND("[",_xlfn.SINGLE(CELL("filename")),1)-1)</f>
        <v>34U1602-01-0024_202508110505</v>
      </c>
      <c s="97" t="s">
        <v>226</v>
      </c>
      <c s="82"/>
      <c s="117"/>
      <c s="117"/>
    </row>
    <row r="4" customHeight="1">
      <c r="A4" s="117" t="str" cm="1">
        <f aca="1" ca="1" ref="A4:A4" t="array">MID(_xlfn.SINGLE(CELL("filename")),FIND("[",_xlfn.SINGLE(CELL("filename")),1)+1,FIND(".",_xlfn.SINGLE(CELL("filename")),1)-FIND("[",_xlfn.SINGLE(CELL("filename")),1)-1)</f>
        <v>34U1602-01-0024_202508110505</v>
      </c>
      <c s="97" t="s">
        <v>227</v>
      </c>
      <c s="82"/>
      <c s="117"/>
      <c s="117"/>
    </row>
    <row r="5" customHeight="1">
      <c r="A5" s="117" t="str" cm="1">
        <f aca="1" ca="1" ref="A5:A5" t="array">MID(_xlfn.SINGLE(CELL("filename")),FIND("[",_xlfn.SINGLE(CELL("filename")),1)+1,FIND(".",_xlfn.SINGLE(CELL("filename")),1)-FIND("[",_xlfn.SINGLE(CELL("filename")),1)-1)</f>
        <v>34U1602-01-0024_202508110505</v>
      </c>
      <c s="97" t="s">
        <v>228</v>
      </c>
      <c s="82"/>
      <c s="117"/>
      <c s="117"/>
    </row>
    <row r="6" customHeight="1">
      <c r="A6" s="117" t="str" cm="1">
        <f aca="1" ca="1" ref="A6:A6" t="array">MID(_xlfn.SINGLE(CELL("filename")),FIND("[",_xlfn.SINGLE(CELL("filename")),1)+1,FIND(".",_xlfn.SINGLE(CELL("filename")),1)-FIND("[",_xlfn.SINGLE(CELL("filename")),1)-1)</f>
        <v>34U1602-01-0024_202508110505</v>
      </c>
      <c s="97" t="s">
        <v>229</v>
      </c>
      <c s="82"/>
      <c s="117"/>
      <c s="117"/>
    </row>
    <row r="7" customHeight="1">
      <c r="A7" s="117" t="str" cm="1">
        <f aca="1" ca="1" ref="A7:A7" t="array">MID(_xlfn.SINGLE(CELL("filename")),FIND("[",_xlfn.SINGLE(CELL("filename")),1)+1,FIND(".",_xlfn.SINGLE(CELL("filename")),1)-FIND("[",_xlfn.SINGLE(CELL("filename")),1)-1)</f>
        <v>34U1602-01-0024_202508110505</v>
      </c>
      <c s="97" t="s">
        <v>230</v>
      </c>
      <c s="82"/>
      <c s="117"/>
      <c s="117"/>
    </row>
    <row r="8" customHeight="1">
      <c r="A8" s="117" t="str" cm="1">
        <f aca="1" ca="1" ref="A8:A8" t="array">MID(_xlfn.SINGLE(CELL("filename")),FIND("[",_xlfn.SINGLE(CELL("filename")),1)+1,FIND(".",_xlfn.SINGLE(CELL("filename")),1)-FIND("[",_xlfn.SINGLE(CELL("filename")),1)-1)</f>
        <v>34U1602-01-0024_202508110505</v>
      </c>
      <c s="97" t="s">
        <v>231</v>
      </c>
      <c s="82"/>
      <c s="117"/>
      <c s="117"/>
    </row>
    <row r="9" customHeight="1">
      <c r="A9" s="117" t="str" cm="1">
        <f aca="1" ca="1" ref="A9:A9" t="array">MID(_xlfn.SINGLE(CELL("filename")),FIND("[",_xlfn.SINGLE(CELL("filename")),1)+1,FIND(".",_xlfn.SINGLE(CELL("filename")),1)-FIND("[",_xlfn.SINGLE(CELL("filename")),1)-1)</f>
        <v>34U1602-01-0024_202508110505</v>
      </c>
      <c s="97" t="s">
        <v>232</v>
      </c>
      <c s="82"/>
      <c s="117"/>
      <c s="117"/>
    </row>
    <row r="10" customHeight="1">
      <c r="A10" s="117" t="str" cm="1">
        <f aca="1" ca="1" ref="A10:A10" t="array">MID(_xlfn.SINGLE(CELL("filename")),FIND("[",_xlfn.SINGLE(CELL("filename")),1)+1,FIND(".",_xlfn.SINGLE(CELL("filename")),1)-FIND("[",_xlfn.SINGLE(CELL("filename")),1)-1)</f>
        <v>34U1602-01-0024_202508110505</v>
      </c>
      <c s="88" t="s">
        <v>233</v>
      </c>
      <c s="82"/>
      <c s="80">
        <v>1001</v>
      </c>
      <c s="80">
        <v>1001</v>
      </c>
    </row>
    <row r="11" customHeight="1">
      <c r="A11" s="117" t="str" cm="1">
        <f aca="1" ca="1" ref="A11:A11" t="array">MID(_xlfn.SINGLE(CELL("filename")),FIND("[",_xlfn.SINGLE(CELL("filename")),1)+1,FIND(".",_xlfn.SINGLE(CELL("filename")),1)-FIND("[",_xlfn.SINGLE(CELL("filename")),1)-1)</f>
        <v>34U1602-01-0024_202508110505</v>
      </c>
      <c s="88" t="s">
        <v>234</v>
      </c>
      <c s="82"/>
      <c s="80">
        <v>1002</v>
      </c>
      <c s="80">
        <v>1002</v>
      </c>
    </row>
    <row r="12" customHeight="1">
      <c r="A12" s="117" t="str" cm="1">
        <f aca="1" ca="1" ref="A12:A12" t="array">MID(_xlfn.SINGLE(CELL("filename")),FIND("[",_xlfn.SINGLE(CELL("filename")),1)+1,FIND(".",_xlfn.SINGLE(CELL("filename")),1)-FIND("[",_xlfn.SINGLE(CELL("filename")),1)-1)</f>
        <v>34U1602-01-0024_202508110505</v>
      </c>
      <c s="88" t="s">
        <v>235</v>
      </c>
      <c s="82"/>
      <c s="80">
        <v>2001</v>
      </c>
      <c s="80">
        <v>2001</v>
      </c>
    </row>
    <row r="13" customHeight="1">
      <c r="A13" s="117" t="str" cm="1">
        <f aca="1" ca="1" ref="A13:A13" t="array">MID(_xlfn.SINGLE(CELL("filename")),FIND("[",_xlfn.SINGLE(CELL("filename")),1)+1,FIND(".",_xlfn.SINGLE(CELL("filename")),1)-FIND("[",_xlfn.SINGLE(CELL("filename")),1)-1)</f>
        <v>34U1602-01-0024_202508110505</v>
      </c>
      <c s="88" t="s">
        <v>236</v>
      </c>
      <c s="82"/>
      <c s="80">
        <v>2002</v>
      </c>
      <c s="80">
        <v>2001</v>
      </c>
    </row>
    <row r="14" customHeight="1">
      <c r="A14" s="117" t="str" cm="1">
        <f aca="1" ca="1" ref="A14:A14" t="array">MID(_xlfn.SINGLE(CELL("filename")),FIND("[",_xlfn.SINGLE(CELL("filename")),1)+1,FIND(".",_xlfn.SINGLE(CELL("filename")),1)-FIND("[",_xlfn.SINGLE(CELL("filename")),1)-1)</f>
        <v>34U1602-01-0024_202508110505</v>
      </c>
      <c s="88" t="s">
        <v>237</v>
      </c>
      <c s="82"/>
      <c s="80">
        <v>2003</v>
      </c>
      <c s="80">
        <v>2001</v>
      </c>
    </row>
    <row r="15" customHeight="1">
      <c r="A15" s="117" t="str" cm="1">
        <f aca="1" ca="1" ref="A15:A15" t="array">MID(_xlfn.SINGLE(CELL("filename")),FIND("[",_xlfn.SINGLE(CELL("filename")),1)+1,FIND(".",_xlfn.SINGLE(CELL("filename")),1)-FIND("[",_xlfn.SINGLE(CELL("filename")),1)-1)</f>
        <v>34U1602-01-0024_202508110505</v>
      </c>
      <c s="88" t="s">
        <v>238</v>
      </c>
      <c s="82"/>
      <c s="80">
        <v>2004</v>
      </c>
      <c s="80">
        <v>2001</v>
      </c>
    </row>
    <row r="16" customHeight="1">
      <c r="A16" s="117" t="str" cm="1">
        <f aca="1" ca="1" ref="A16:A16" t="array">MID(_xlfn.SINGLE(CELL("filename")),FIND("[",_xlfn.SINGLE(CELL("filename")),1)+1,FIND(".",_xlfn.SINGLE(CELL("filename")),1)-FIND("[",_xlfn.SINGLE(CELL("filename")),1)-1)</f>
        <v>34U1602-01-0024_202508110505</v>
      </c>
      <c s="88" t="s">
        <v>239</v>
      </c>
      <c s="82"/>
      <c s="80">
        <v>3001</v>
      </c>
      <c s="80">
        <v>3001</v>
      </c>
    </row>
    <row r="17" customHeight="1">
      <c r="A17" s="117" t="str" cm="1">
        <f aca="1" ca="1" ref="A17:A17" t="array">MID(_xlfn.SINGLE(CELL("filename")),FIND("[",_xlfn.SINGLE(CELL("filename")),1)+1,FIND(".",_xlfn.SINGLE(CELL("filename")),1)-FIND("[",_xlfn.SINGLE(CELL("filename")),1)-1)</f>
        <v>34U1602-01-0024_202508110505</v>
      </c>
      <c s="88" t="s">
        <v>240</v>
      </c>
      <c s="82"/>
      <c s="80">
        <v>3002</v>
      </c>
      <c s="80">
        <v>3002</v>
      </c>
    </row>
    <row r="18" customHeight="1">
      <c r="A18" s="117" t="str" cm="1">
        <f aca="1" ca="1" ref="A18:A18" t="array">MID(_xlfn.SINGLE(CELL("filename")),FIND("[",_xlfn.SINGLE(CELL("filename")),1)+1,FIND(".",_xlfn.SINGLE(CELL("filename")),1)-FIND("[",_xlfn.SINGLE(CELL("filename")),1)-1)</f>
        <v>34U1602-01-0024_202508110505</v>
      </c>
      <c s="79" t="s">
        <v>241</v>
      </c>
      <c s="82"/>
      <c s="80">
        <v>4001</v>
      </c>
      <c s="80">
        <v>4001</v>
      </c>
    </row>
  </sheetData>
  <printOptions/>
  <pageMargins left="0.7" right="0.7" top="0.75" bottom="0.75" header="0.3" footer="0.3"/>
  <pageSetup firstPageNumber="4294963191" copies="0"/>
  <headerFooter/>
  <extLst/>
</worksheet>
</file>

<file path=xl/worksheets/sheet8.xml><?xml version="1.0" encoding="utf-8"?>
<worksheet xmlns:mc="http://schemas.openxmlformats.org/markup-compatibility/2006" xmlns:x14ac="http://schemas.microsoft.com/office/spreadsheetml/2009/9/ac" xmlns:x14="http://schemas.microsoft.com/office/spreadsheetml/2009/9/main" xmlns:r="http://schemas.openxmlformats.org/officeDocument/2006/relationships" xmlns="http://schemas.openxmlformats.org/spreadsheetml/2006/main" mc:Ignorable="x14ac">
  <sheetPr/>
  <dimension ref="A1"/>
  <sheetViews>
    <sheetView topLeftCell="A1" workbookViewId="0">
      <pane topLeftCell="A1"/>
      <selection activeCellId="0" activeCell="D7" sqref="D7"/>
    </sheetView>
  </sheetViews>
  <sheetFormatPr defaultColWidth="9" defaultRowHeight="14.25" customHeight="1"/>
  <cols>
    <col min="1" max="1" width="35.75" customWidth="1" style="11"/>
    <col min="2" max="16384" width="9" style="11"/>
  </cols>
  <sheetData>
    <row r="1" ht="189.75" customHeight="1">
      <c r="A1" s="83"/>
    </row>
  </sheetData>
  <printOptions/>
  <pageMargins left="0.7" right="0.7" top="0.75" bottom="0.75" header="0.3" footer="0.3"/>
  <pageSetup firstPageNumber="4294963191" copies="0"/>
  <headerFooter/>
  <extLst/>
</worksheet>
</file>

<file path=xl/worksheets/sheet9.xml><?xml version="1.0" encoding="utf-8"?>
<worksheet xmlns:mc="http://schemas.openxmlformats.org/markup-compatibility/2006" xmlns:x14ac="http://schemas.microsoft.com/office/spreadsheetml/2009/9/ac" xmlns:x14="http://schemas.microsoft.com/office/spreadsheetml/2009/9/main" xmlns:r="http://schemas.openxmlformats.org/officeDocument/2006/relationships" xmlns="http://schemas.openxmlformats.org/spreadsheetml/2006/main" mc:Ignorable="x14ac">
  <sheetPr/>
  <dimension ref="A1:D23"/>
  <sheetViews>
    <sheetView topLeftCell="A1" workbookViewId="0" showGridLines="0">
      <pane topLeftCell="A1"/>
      <selection activeCellId="0" activeCell="A2" sqref="A2:A14"/>
    </sheetView>
  </sheetViews>
  <sheetFormatPr defaultColWidth="9" defaultRowHeight="14.25" customHeight="1"/>
  <cols>
    <col min="1" max="1" width="35.38" customWidth="1" style="11"/>
    <col min="2" max="2" width="27.5" customWidth="1" style="11"/>
    <col min="3" max="3" width="15.75" customWidth="1" style="11"/>
    <col min="4" max="4" width="20.25" customWidth="1" style="11"/>
    <col min="5" max="16384" width="9" style="11"/>
  </cols>
  <sheetData>
    <row r="1" customHeight="1">
      <c r="A1" s="78" t="s">
        <v>242</v>
      </c>
      <c s="78" t="s">
        <v>24</v>
      </c>
      <c s="78" t="s">
        <v>69</v>
      </c>
      <c s="74" t="s">
        <v>243</v>
      </c>
    </row>
    <row r="2" customHeight="1">
      <c r="A2" s="81" t="s">
        <v>139</v>
      </c>
      <c s="125" t="s">
        <v>140</v>
      </c>
      <c s="109" t="s">
        <v>141</v>
      </c>
      <c s="107">
        <v>23.2</v>
      </c>
    </row>
    <row r="3" customHeight="1">
      <c r="A3" s="81"/>
      <c s="89"/>
      <c s="109" t="s">
        <v>142</v>
      </c>
      <c s="107">
        <v>51.58</v>
      </c>
    </row>
    <row r="4" ht="12" customHeight="1">
      <c r="A4" s="81"/>
      <c s="89"/>
      <c s="108" t="s">
        <v>143</v>
      </c>
      <c s="107">
        <v>14.06</v>
      </c>
    </row>
    <row r="5" customHeight="1">
      <c r="A5" s="81"/>
      <c s="94"/>
      <c s="108" t="s">
        <v>144</v>
      </c>
      <c s="107">
        <v>18.42</v>
      </c>
    </row>
    <row r="6" customHeight="1">
      <c r="A6" s="81"/>
      <c s="73" t="s">
        <v>97</v>
      </c>
      <c s="109" t="s">
        <v>145</v>
      </c>
      <c s="107">
        <v>7.62</v>
      </c>
    </row>
    <row r="7" customHeight="1">
      <c r="A7" s="81"/>
      <c s="184"/>
      <c s="109" t="s">
        <v>146</v>
      </c>
      <c s="107">
        <v>11.03</v>
      </c>
    </row>
    <row r="8" customHeight="1">
      <c r="A8" s="81"/>
      <c s="178"/>
      <c s="109" t="s">
        <v>147</v>
      </c>
      <c s="107">
        <v>11.46</v>
      </c>
    </row>
    <row r="9" customHeight="1">
      <c r="A9" s="81"/>
      <c s="73" t="s">
        <v>102</v>
      </c>
      <c s="109" t="s">
        <v>145</v>
      </c>
      <c s="107">
        <v>17.64</v>
      </c>
    </row>
    <row r="10" customHeight="1">
      <c r="A10" s="81"/>
      <c s="184"/>
      <c s="109" t="s">
        <v>146</v>
      </c>
      <c s="107">
        <v>21.74</v>
      </c>
    </row>
    <row r="11" customHeight="1">
      <c r="A11" s="81"/>
      <c s="178"/>
      <c s="109" t="s">
        <v>147</v>
      </c>
      <c s="107">
        <v>21.92</v>
      </c>
    </row>
    <row r="12" customHeight="1">
      <c r="A12" s="81"/>
      <c s="73" t="s">
        <v>105</v>
      </c>
      <c s="109" t="s">
        <v>145</v>
      </c>
      <c s="107">
        <v>23.59</v>
      </c>
    </row>
    <row r="13" customHeight="1">
      <c r="A13" s="81"/>
      <c s="184"/>
      <c s="109" t="s">
        <v>146</v>
      </c>
      <c s="107">
        <v>29.32</v>
      </c>
    </row>
    <row r="14" customHeight="1">
      <c r="A14" s="76"/>
      <c s="178"/>
      <c s="109" t="s">
        <v>147</v>
      </c>
      <c s="107">
        <v>29.91</v>
      </c>
    </row>
    <row r="15" customHeight="1">
      <c r="A15" s="125" t="s">
        <v>23</v>
      </c>
      <c s="98" t="s">
        <v>30</v>
      </c>
      <c s="72" t="s">
        <v>132</v>
      </c>
      <c s="72"/>
    </row>
    <row r="16" customHeight="1">
      <c r="A16" s="89"/>
      <c s="319" t="s">
        <v>31</v>
      </c>
      <c s="72" t="s">
        <v>244</v>
      </c>
      <c s="72"/>
    </row>
    <row r="17" customHeight="1">
      <c r="A17" s="89"/>
      <c s="189"/>
      <c s="72" t="s">
        <v>245</v>
      </c>
      <c s="72"/>
    </row>
    <row r="18" customHeight="1">
      <c r="A18" s="89"/>
      <c s="189"/>
      <c s="72" t="s">
        <v>246</v>
      </c>
      <c s="72"/>
    </row>
    <row r="19" customHeight="1">
      <c r="A19" s="89"/>
      <c s="189"/>
      <c s="72" t="s">
        <v>247</v>
      </c>
      <c s="72"/>
    </row>
    <row r="20" customHeight="1">
      <c r="A20" s="89"/>
      <c s="189"/>
      <c s="72" t="s">
        <v>248</v>
      </c>
      <c s="72"/>
    </row>
    <row r="21" customHeight="1">
      <c r="A21" s="94"/>
      <c s="70"/>
      <c s="72" t="s">
        <v>249</v>
      </c>
      <c s="72"/>
    </row>
    <row r="23" customHeight="1">
      <c r="A23" s="111" t="s">
        <v>250</v>
      </c>
      <c s="111"/>
      <c s="111"/>
      <c s="111"/>
    </row>
  </sheetData>
  <mergeCells>
    <mergeCell ref="A23:D23"/>
    <mergeCell ref="A2:A14"/>
    <mergeCell ref="A15:A21"/>
    <mergeCell ref="B2:B5"/>
    <mergeCell ref="B6:B8"/>
    <mergeCell ref="B9:B11"/>
    <mergeCell ref="B12:B14"/>
    <mergeCell ref="B16:B21"/>
  </mergeCells>
  <printOptions/>
  <pageMargins left="0.7" right="0.7" top="0.75" bottom="0.75" header="0.3" footer="0.3"/>
  <pageSetup firstPageNumber="4294963191" copies="0"/>
  <headerFooter/>
  <extLst/>
</worksheet>
</file>

<file path=xl/worksheets/sheet10.xml><?xml version="1.0" encoding="utf-8"?>
<worksheet xmlns:mc="http://schemas.openxmlformats.org/markup-compatibility/2006" xmlns:x14ac="http://schemas.microsoft.com/office/spreadsheetml/2009/9/ac" xmlns:x14="http://schemas.microsoft.com/office/spreadsheetml/2009/9/main" xmlns:r="http://schemas.openxmlformats.org/officeDocument/2006/relationships" xmlns="http://schemas.openxmlformats.org/spreadsheetml/2006/main" mc:Ignorable="x14ac">
  <sheetPr/>
  <dimension ref="A1:E22"/>
  <sheetViews>
    <sheetView topLeftCell="A1" workbookViewId="0">
      <pane topLeftCell="A1"/>
      <selection activeCellId="0" activeCell="G7" sqref="G7:G8"/>
    </sheetView>
  </sheetViews>
  <sheetFormatPr defaultColWidth="9" defaultRowHeight="14.25" customHeight="1"/>
  <cols>
    <col min="1" max="2" width="16.13" customWidth="1" style="11"/>
    <col min="3" max="3" width="9" style="11"/>
    <col min="4" max="4" width="13.88" customWidth="1" style="11"/>
    <col min="5" max="5" width="69.88" customWidth="1" style="11"/>
    <col min="6" max="16384" width="9" style="11"/>
  </cols>
  <sheetData>
    <row r="1" customHeight="1">
      <c r="A1" s="120" t="s">
        <v>251</v>
      </c>
      <c s="120" t="s">
        <v>252</v>
      </c>
      <c r="D1" s="120" t="s">
        <v>253</v>
      </c>
      <c s="120" t="s">
        <v>254</v>
      </c>
    </row>
    <row r="2" customHeight="1">
      <c r="A2" s="157" t="s">
        <v>188</v>
      </c>
      <c s="157" t="s">
        <v>255</v>
      </c>
      <c s="157" t="s">
        <v>256</v>
      </c>
      <c s="421" t="s">
        <v>200</v>
      </c>
      <c s="127" t="s">
        <v>257</v>
      </c>
    </row>
    <row r="3" customHeight="1">
      <c r="A3" s="157" t="s">
        <v>189</v>
      </c>
      <c s="157" t="s">
        <v>258</v>
      </c>
      <c r="D3" s="157" t="s">
        <v>259</v>
      </c>
      <c s="127" t="s">
        <v>260</v>
      </c>
    </row>
    <row r="4" customHeight="1">
      <c r="A4" s="157" t="s">
        <v>76</v>
      </c>
      <c s="157" t="s">
        <v>261</v>
      </c>
      <c r="D4" s="421" t="s">
        <v>214</v>
      </c>
      <c s="127" t="s">
        <v>262</v>
      </c>
    </row>
    <row r="5" customHeight="1">
      <c r="A5" s="157" t="s">
        <v>185</v>
      </c>
      <c s="157" t="s">
        <v>263</v>
      </c>
      <c r="D5" s="421" t="s">
        <v>197</v>
      </c>
      <c s="127" t="s">
        <v>264</v>
      </c>
    </row>
    <row r="6" customHeight="1">
      <c r="A6" s="157" t="s">
        <v>183</v>
      </c>
      <c s="157" t="s">
        <v>265</v>
      </c>
      <c r="D6" s="421" t="s">
        <v>266</v>
      </c>
      <c s="127" t="s">
        <v>267</v>
      </c>
    </row>
    <row r="7" customHeight="1">
      <c r="A7" s="157" t="s">
        <v>184</v>
      </c>
      <c s="157" t="s">
        <v>268</v>
      </c>
      <c r="D7" s="207" t="s">
        <v>219</v>
      </c>
      <c s="127" t="s">
        <v>269</v>
      </c>
    </row>
    <row r="8" customHeight="1">
      <c r="A8" s="157" t="s">
        <v>270</v>
      </c>
      <c s="157" t="s">
        <v>271</v>
      </c>
      <c r="D8" s="421" t="s">
        <v>272</v>
      </c>
      <c s="127" t="s">
        <v>273</v>
      </c>
    </row>
    <row r="9" customHeight="1">
      <c r="A9" s="157" t="s">
        <v>182</v>
      </c>
      <c s="157" t="s">
        <v>274</v>
      </c>
    </row>
    <row r="10" customHeight="1">
      <c r="A10" s="157" t="s">
        <v>187</v>
      </c>
      <c s="157" t="s">
        <v>275</v>
      </c>
    </row>
    <row r="11" customHeight="1">
      <c r="A11" s="157" t="s">
        <v>74</v>
      </c>
      <c s="157" t="s">
        <v>276</v>
      </c>
    </row>
    <row r="12" customHeight="1">
      <c r="A12" s="157" t="s">
        <v>190</v>
      </c>
      <c s="157" t="s">
        <v>277</v>
      </c>
    </row>
    <row r="13" customHeight="1">
      <c r="A13" s="157" t="s">
        <v>26</v>
      </c>
      <c s="157" t="s">
        <v>278</v>
      </c>
    </row>
    <row r="14" customHeight="1">
      <c r="A14" s="157" t="s">
        <v>191</v>
      </c>
      <c s="157" t="s">
        <v>279</v>
      </c>
    </row>
    <row r="15" customHeight="1">
      <c r="A15" s="157" t="s">
        <v>69</v>
      </c>
      <c s="157" t="s">
        <v>280</v>
      </c>
    </row>
    <row r="16" customHeight="1">
      <c r="A16" s="157" t="s">
        <v>281</v>
      </c>
      <c s="157" t="s">
        <v>282</v>
      </c>
    </row>
    <row r="17" customHeight="1">
      <c r="A17" s="157" t="s">
        <v>283</v>
      </c>
      <c s="157" t="s">
        <v>284</v>
      </c>
      <c s="157" t="s">
        <v>285</v>
      </c>
    </row>
    <row r="18" customHeight="1">
      <c r="A18" s="157" t="s">
        <v>286</v>
      </c>
      <c s="157" t="s">
        <v>287</v>
      </c>
      <c s="157" t="s">
        <v>288</v>
      </c>
    </row>
    <row r="19" customHeight="1">
      <c r="A19" s="157" t="s">
        <v>192</v>
      </c>
      <c s="127" t="s">
        <v>289</v>
      </c>
    </row>
    <row r="20" customHeight="1">
      <c r="A20" s="157" t="s">
        <v>193</v>
      </c>
      <c s="157" t="s">
        <v>290</v>
      </c>
      <c r="D20" s="157"/>
    </row>
    <row r="21" customHeight="1">
      <c r="A21" s="157" t="s">
        <v>71</v>
      </c>
      <c s="127" t="s">
        <v>291</v>
      </c>
    </row>
    <row r="22" customHeight="1">
      <c r="A22" s="157" t="s">
        <v>79</v>
      </c>
      <c s="127" t="s">
        <v>292</v>
      </c>
    </row>
  </sheetData>
  <printOptions/>
  <pageMargins left="0.7" right="0.7" top="0.75" bottom="0.75" header="0.3" footer="0.3"/>
  <pageSetup firstPageNumber="4294963191" copies="0"/>
  <headerFooter/>
  <extLst/>
</worksheet>
</file>

<file path=xl/worksheets/sheet11.xml><?xml version="1.0" encoding="utf-8"?>
<worksheet xmlns:mc="http://schemas.openxmlformats.org/markup-compatibility/2006" xmlns:x14ac="http://schemas.microsoft.com/office/spreadsheetml/2009/9/ac" xmlns:x14="http://schemas.microsoft.com/office/spreadsheetml/2009/9/main" xmlns:r="http://schemas.openxmlformats.org/officeDocument/2006/relationships" xmlns="http://schemas.openxmlformats.org/spreadsheetml/2006/main" mc:Ignorable="x14ac">
  <sheetPr/>
  <dimension ref="A1:E12"/>
  <sheetViews>
    <sheetView topLeftCell="A1" workbookViewId="0" showGridLines="0">
      <pane topLeftCell="A1"/>
      <selection activeCellId="0" activeCell="K16" sqref="K16"/>
    </sheetView>
  </sheetViews>
  <sheetFormatPr defaultColWidth="9" defaultRowHeight="14.25" customHeight="1"/>
  <cols>
    <col min="1" max="1" width="11.75" customWidth="1" style="10"/>
    <col min="2" max="2" width="16.13" customWidth="1" style="61"/>
    <col min="3" max="16384" width="9" style="10"/>
  </cols>
  <sheetData>
    <row r="1" ht="30" customHeight="1">
      <c r="A1" s="78" t="s">
        <v>182</v>
      </c>
      <c s="67" t="s">
        <v>293</v>
      </c>
    </row>
    <row r="2" customHeight="1">
      <c r="A2" s="68" t="s">
        <v>294</v>
      </c>
      <c s="69"/>
    </row>
    <row r="3" customHeight="1">
      <c r="A3" s="68" t="s">
        <v>295</v>
      </c>
      <c s="69"/>
    </row>
    <row r="4" customHeight="1">
      <c r="A4" s="68" t="s">
        <v>296</v>
      </c>
      <c s="69"/>
      <c s="66"/>
      <c s="66"/>
      <c s="66"/>
    </row>
    <row r="5" customHeight="1">
      <c r="A5" s="68" t="s">
        <v>297</v>
      </c>
      <c s="69"/>
      <c s="66"/>
      <c s="66"/>
      <c s="66"/>
    </row>
    <row r="6" customHeight="1">
      <c r="A6" s="68" t="s">
        <v>298</v>
      </c>
      <c s="69"/>
      <c s="66"/>
      <c s="66"/>
      <c s="66"/>
    </row>
    <row r="7" ht="18" customHeight="1">
      <c r="A7" s="62" t="s">
        <v>299</v>
      </c>
      <c s="77" t="str" cm="1">
        <f ref="B7:B7" t="array">IF(AND(MAX(B2:B6)-MIN(B2:B6)&lt;0.1,B2:B6&gt;=99.9,B2:B6&lt;=100.1),"合格","不合格")</f>
        <v>不合格</v>
      </c>
      <c s="66"/>
      <c s="103"/>
      <c s="66"/>
    </row>
    <row r="8" customHeight="1">
      <c r="A8" s="62" t="s">
        <v>115</v>
      </c>
      <c s="64">
        <f>MAX(B2:B6)-MIN(B2:B6)</f>
        <v>0</v>
      </c>
      <c s="66"/>
      <c s="66"/>
      <c s="66"/>
    </row>
    <row r="9" customHeight="1">
      <c r="C9" s="66"/>
      <c s="66"/>
      <c s="66"/>
    </row>
    <row r="10" customHeight="1">
      <c r="C10" s="66"/>
      <c s="66"/>
      <c s="66"/>
    </row>
    <row r="11" customHeight="1">
      <c r="C11" s="66"/>
      <c s="66"/>
      <c s="66"/>
    </row>
    <row r="12" customHeight="1">
      <c r="C12" s="66"/>
      <c s="66"/>
      <c s="66"/>
    </row>
  </sheetData>
  <printOptions/>
  <pageMargins left="0.7" right="0.7" top="0.75" bottom="0.75" header="0.3" footer="0.3"/>
  <pageSetup paperSize="9" firstPageNumber="4294963191" copies="0"/>
  <headerFooter/>
  <extLst/>
</worksheet>
</file>

<file path=xl/worksheets/sheet12.xml><?xml version="1.0" encoding="utf-8"?>
<worksheet xmlns:mc="http://schemas.openxmlformats.org/markup-compatibility/2006" xmlns:x14ac="http://schemas.microsoft.com/office/spreadsheetml/2009/9/ac" xmlns:x14="http://schemas.microsoft.com/office/spreadsheetml/2009/9/main" xmlns:r="http://schemas.openxmlformats.org/officeDocument/2006/relationships" xmlns="http://schemas.openxmlformats.org/spreadsheetml/2006/main" mc:Ignorable="x14ac">
  <sheetPr/>
  <dimension ref="A1:F14"/>
  <sheetViews>
    <sheetView topLeftCell="A1" workbookViewId="0" showGridLines="0">
      <pane topLeftCell="A1"/>
      <selection activeCellId="0" activeCell="B8" sqref="B8"/>
    </sheetView>
  </sheetViews>
  <sheetFormatPr defaultColWidth="9" defaultRowHeight="14.25" customHeight="1"/>
  <cols>
    <col min="1" max="1" width="11.5" customWidth="1" style="60"/>
    <col min="2" max="2" width="9.13" customWidth="1" style="102"/>
    <col min="3" max="3" width="8.5" customWidth="1" style="52"/>
    <col min="4" max="4" width="10.5" customWidth="1" style="53"/>
    <col min="5" max="5" width="9" style="60"/>
    <col min="6" max="6" width="9.63" customWidth="1" style="60"/>
    <col min="7" max="16384" width="9" style="60"/>
  </cols>
  <sheetData>
    <row r="1" ht="28.5">
      <c r="A1" s="78" t="s">
        <v>182</v>
      </c>
      <c s="78" t="s">
        <v>300</v>
      </c>
      <c s="56" t="s">
        <v>25</v>
      </c>
      <c s="56" t="s">
        <v>26</v>
      </c>
      <c s="56" t="s">
        <v>301</v>
      </c>
      <c s="56" t="s">
        <v>28</v>
      </c>
    </row>
    <row r="2" ht="15" customHeight="1">
      <c r="A2" s="63" t="s">
        <v>29</v>
      </c>
      <c s="428">
        <v>486</v>
      </c>
      <c s="59" t="s">
        <v>90</v>
      </c>
      <c s="59">
        <v>4</v>
      </c>
      <c s="59" t="s">
        <v>29</v>
      </c>
      <c s="59"/>
    </row>
    <row r="3" ht="15" customHeight="1">
      <c r="A3" s="236"/>
      <c s="428">
        <v>656.1</v>
      </c>
      <c s="59" t="s">
        <v>90</v>
      </c>
      <c s="59">
        <v>4</v>
      </c>
      <c s="59" t="s">
        <v>29</v>
      </c>
      <c s="59"/>
    </row>
    <row r="4" ht="15" customHeight="1">
      <c r="A4" s="98" t="s">
        <v>30</v>
      </c>
      <c s="428">
        <v>807.4</v>
      </c>
      <c s="59" t="s">
        <v>81</v>
      </c>
      <c s="59"/>
      <c s="59"/>
      <c s="59"/>
    </row>
    <row r="5" ht="12" customHeight="1">
      <c r="A5" s="177" t="s">
        <v>31</v>
      </c>
      <c s="428">
        <v>241</v>
      </c>
      <c s="59" t="s">
        <v>81</v>
      </c>
      <c s="59"/>
      <c s="59"/>
      <c s="59"/>
    </row>
    <row r="6" customHeight="1">
      <c r="A6" s="57"/>
      <c s="428">
        <v>361</v>
      </c>
      <c s="59" t="s">
        <v>81</v>
      </c>
      <c s="59"/>
      <c s="59"/>
      <c s="59"/>
    </row>
    <row r="7" ht="15.75" customHeight="1">
      <c r="A7" s="206"/>
      <c s="428">
        <v>640.7</v>
      </c>
      <c s="59" t="s">
        <v>81</v>
      </c>
      <c s="59"/>
      <c s="59"/>
      <c s="59"/>
    </row>
    <row r="8" ht="15" customHeight="1">
      <c r="A8" s="427" t="s">
        <v>32</v>
      </c>
      <c s="65">
        <v>296.7</v>
      </c>
      <c s="59" t="s">
        <v>90</v>
      </c>
      <c s="59">
        <v>3</v>
      </c>
      <c s="59" t="s">
        <v>32</v>
      </c>
      <c s="59"/>
    </row>
    <row r="9" customHeight="1">
      <c r="A9" s="58"/>
      <c s="65">
        <v>404.7</v>
      </c>
      <c s="59" t="s">
        <v>90</v>
      </c>
      <c s="59">
        <v>3</v>
      </c>
      <c s="59" t="s">
        <v>32</v>
      </c>
      <c s="59"/>
    </row>
    <row r="10" customHeight="1">
      <c r="A10" s="58"/>
      <c s="65">
        <v>435.8</v>
      </c>
      <c s="59" t="s">
        <v>90</v>
      </c>
      <c s="59">
        <v>3</v>
      </c>
      <c s="59" t="s">
        <v>32</v>
      </c>
      <c s="59"/>
    </row>
    <row r="11" customHeight="1">
      <c r="A11" s="238"/>
      <c s="428">
        <v>546.1</v>
      </c>
      <c s="59" t="s">
        <v>90</v>
      </c>
      <c s="59">
        <v>3</v>
      </c>
      <c s="59" t="s">
        <v>32</v>
      </c>
      <c s="162"/>
    </row>
    <row r="13" customHeight="1">
      <c r="D13" s="106"/>
    </row>
    <row r="14" customHeight="1">
      <c r="D14" s="106"/>
    </row>
  </sheetData>
  <sortState ref="B2:B3">
    <sortCondition ref="B2:B3"/>
  </sortState>
  <mergeCells>
    <mergeCell ref="A2:A3"/>
    <mergeCell ref="A5:A7"/>
    <mergeCell ref="A8:A11"/>
  </mergeCells>
  <dataValidations>
    <dataValidation type="list" allowBlank="1" showInputMessage="1" showErrorMessage="1" sqref="C1:C11 C13:C1048576">
      <formula1>"Abs,T%,Er,Es"</formula1>
    </dataValidation>
    <dataValidation type="list" allowBlank="1" showInputMessage="1" showErrorMessage="1" sqref="D1:D11 D13:D1048576">
      <formula1>"1,2,3,4"</formula1>
    </dataValidation>
    <dataValidation type="list" allowBlank="1" showInputMessage="1" showErrorMessage="1" sqref="E1:E11 E13:E1048576">
      <formula1>"氘灯,钨灯,汞灯"</formula1>
    </dataValidation>
  </dataValidations>
  <printOptions/>
  <pageMargins left="0.7" right="0.7" top="0.75" bottom="0.75" header="0.3" footer="0.3"/>
  <pageSetup paperSize="9" firstPageNumber="4294963191" copies="0"/>
  <headerFooter/>
  <extLst/>
</worksheet>
</file>

<file path=xl/worksheets/sheet13.xml><?xml version="1.0" encoding="utf-8"?>
<worksheet xmlns:mc="http://schemas.openxmlformats.org/markup-compatibility/2006" xmlns:x14ac="http://schemas.microsoft.com/office/spreadsheetml/2009/9/ac" xmlns:x14="http://schemas.microsoft.com/office/spreadsheetml/2009/9/main" xmlns:r="http://schemas.openxmlformats.org/officeDocument/2006/relationships" xmlns="http://schemas.openxmlformats.org/spreadsheetml/2006/main" mc:Ignorable="x14ac">
  <sheetPr/>
  <dimension ref="A1:D7"/>
  <sheetViews>
    <sheetView topLeftCell="A1" workbookViewId="0" showGridLines="0">
      <pane topLeftCell="A1"/>
      <selection activeCellId="0" activeCell="J13" sqref="J13"/>
    </sheetView>
  </sheetViews>
  <sheetFormatPr defaultColWidth="9" defaultRowHeight="14.25" customHeight="1"/>
  <cols>
    <col min="1" max="1" width="12.25" customWidth="1" style="11"/>
    <col min="2" max="2" width="12.75" customWidth="1" style="36"/>
    <col min="3" max="3" width="13.25" customWidth="1" style="37"/>
    <col min="4" max="16384" width="9" style="11"/>
  </cols>
  <sheetData>
    <row r="1" ht="30" customHeight="1">
      <c r="A1" s="78" t="s">
        <v>182</v>
      </c>
      <c s="78" t="s">
        <v>300</v>
      </c>
      <c s="56" t="s">
        <v>28</v>
      </c>
      <c s="74" t="s">
        <v>90</v>
      </c>
    </row>
    <row r="2" ht="18" customHeight="1">
      <c r="A2" s="98" t="s">
        <v>199</v>
      </c>
      <c s="72" t="s">
        <v>302</v>
      </c>
      <c s="59"/>
      <c s="117"/>
    </row>
    <row r="3" customHeight="1">
      <c r="A3" s="98" t="s">
        <v>201</v>
      </c>
      <c s="72" t="s">
        <v>131</v>
      </c>
      <c s="59"/>
      <c s="117"/>
    </row>
    <row r="4" ht="12.75" customHeight="1">
      <c r="A4" s="98" t="s">
        <v>40</v>
      </c>
      <c s="47" t="s">
        <v>303</v>
      </c>
      <c s="59"/>
      <c s="157"/>
    </row>
    <row r="5" customHeight="1">
      <c r="A5" s="98" t="s">
        <v>29</v>
      </c>
      <c s="47" t="s">
        <v>303</v>
      </c>
      <c s="38"/>
      <c s="42"/>
    </row>
    <row r="6" customHeight="1" customFormat="1" s="35">
      <c r="B6" s="41"/>
      <c s="43"/>
    </row>
    <row r="7" customHeight="1" customFormat="1" s="35">
      <c r="A7" s="51"/>
      <c s="45"/>
      <c s="46"/>
      <c s="44"/>
    </row>
  </sheetData>
  <dataValidations>
    <dataValidation type="list" allowBlank="1" showInputMessage="1" showErrorMessage="1" sqref="D1">
      <formula1>"Abs,T%,Er,Es"</formula1>
    </dataValidation>
  </dataValidations>
  <printOptions/>
  <pageMargins left="0.7" right="0.7" top="0.75" bottom="0.75" header="0.3" footer="0.3"/>
  <pageSetup paperSize="9" firstPageNumber="4294963191" copies="0"/>
  <headerFooter/>
  <extLst/>
</worksheet>
</file>

<file path=xl/worksheets/sheet14.xml><?xml version="1.0" encoding="utf-8"?>
<worksheet xmlns:mc="http://schemas.openxmlformats.org/markup-compatibility/2006" xmlns:x14ac="http://schemas.microsoft.com/office/spreadsheetml/2009/9/ac" xmlns:x14="http://schemas.microsoft.com/office/spreadsheetml/2009/9/main" xmlns:r="http://schemas.openxmlformats.org/officeDocument/2006/relationships" xmlns="http://schemas.openxmlformats.org/spreadsheetml/2006/main" mc:Ignorable="x14ac">
  <sheetPr/>
  <dimension ref="A1:F10"/>
  <sheetViews>
    <sheetView topLeftCell="A1" workbookViewId="0">
      <pane topLeftCell="A1"/>
      <selection activeCellId="0" activeCell="K22" sqref="K22"/>
    </sheetView>
  </sheetViews>
  <sheetFormatPr defaultColWidth="8.88" defaultRowHeight="14.25" customHeight="1"/>
  <cols>
    <col min="1" max="1" width="17" customWidth="1" style="10"/>
    <col min="2" max="3" width="8.88" style="10"/>
    <col min="4" max="4" width="9.5" style="10"/>
    <col min="5" max="16384" width="8.88" style="10"/>
  </cols>
  <sheetData>
    <row r="1" ht="43.5">
      <c r="A1" s="50" t="s">
        <v>182</v>
      </c>
      <c s="50" t="s">
        <v>300</v>
      </c>
      <c s="27" t="s">
        <v>28</v>
      </c>
      <c s="28" t="s">
        <v>304</v>
      </c>
      <c s="29" t="s">
        <v>305</v>
      </c>
      <c s="30" t="s">
        <v>119</v>
      </c>
    </row>
    <row r="2" customHeight="1">
      <c r="A2" s="98" t="s">
        <v>201</v>
      </c>
      <c s="72" t="s">
        <v>131</v>
      </c>
      <c s="59"/>
      <c s="24" t="str">
        <f ref="D2:D10" t="shared" si="0">IF(ISBLANK(C2),"",IF(C2&lt;&gt;"",C2-B2,""))</f>
        <v/>
      </c>
      <c s="23">
        <v>0.1</v>
      </c>
      <c s="120" t="str">
        <f ref="F2:F10" t="shared" si="1">IF(C2="","不合格",IF(AND(ROUND(ABS(D2),1)&lt;=ROUND(ABS(E2),1)),"合格","不合格"))</f>
        <v>不合格</v>
      </c>
    </row>
    <row r="3" customHeight="1">
      <c r="A3" s="98" t="s">
        <v>306</v>
      </c>
      <c s="72" t="s">
        <v>302</v>
      </c>
      <c s="59"/>
      <c s="24" t="str">
        <f t="shared" si="0"/>
        <v/>
      </c>
      <c s="23">
        <v>0.1</v>
      </c>
      <c s="120" t="str">
        <f t="shared" si="1"/>
        <v>不合格</v>
      </c>
    </row>
    <row r="4" ht="14.25" customHeight="1">
      <c r="A4" s="98" t="s">
        <v>30</v>
      </c>
      <c s="72" t="s">
        <v>132</v>
      </c>
      <c s="59"/>
      <c s="24" t="str">
        <f t="shared" si="0"/>
        <v/>
      </c>
      <c s="23">
        <v>0.3</v>
      </c>
      <c s="120" t="str">
        <f t="shared" si="1"/>
        <v>不合格</v>
      </c>
    </row>
    <row r="5" customHeight="1">
      <c r="A5" s="319" t="s">
        <v>31</v>
      </c>
      <c s="72" t="s">
        <v>244</v>
      </c>
      <c s="59"/>
      <c s="24" t="str">
        <f t="shared" si="0"/>
        <v/>
      </c>
      <c s="23">
        <v>0.3</v>
      </c>
      <c s="120" t="str">
        <f t="shared" si="1"/>
        <v>不合格</v>
      </c>
    </row>
    <row r="6" customHeight="1">
      <c r="A6" s="189"/>
      <c s="72" t="s">
        <v>245</v>
      </c>
      <c s="59"/>
      <c s="24" t="str">
        <f t="shared" si="0"/>
        <v/>
      </c>
      <c s="23">
        <v>0.3</v>
      </c>
      <c s="120" t="str">
        <f t="shared" si="1"/>
        <v>不合格</v>
      </c>
    </row>
    <row r="7" customHeight="1">
      <c r="A7" s="189"/>
      <c s="72" t="s">
        <v>246</v>
      </c>
      <c s="59"/>
      <c s="24" t="str">
        <f t="shared" si="0"/>
        <v/>
      </c>
      <c s="23">
        <v>0.3</v>
      </c>
      <c s="120" t="str">
        <f t="shared" si="1"/>
        <v>不合格</v>
      </c>
    </row>
    <row r="8" customHeight="1">
      <c r="A8" s="189"/>
      <c s="72" t="s">
        <v>247</v>
      </c>
      <c s="59"/>
      <c s="24" t="str">
        <f t="shared" si="0"/>
        <v/>
      </c>
      <c s="23">
        <v>0.3</v>
      </c>
      <c s="120" t="str">
        <f t="shared" si="1"/>
        <v>不合格</v>
      </c>
    </row>
    <row r="9" customHeight="1">
      <c r="A9" s="189"/>
      <c s="72" t="s">
        <v>248</v>
      </c>
      <c s="59"/>
      <c s="24" t="str">
        <f t="shared" si="0"/>
        <v/>
      </c>
      <c s="23">
        <v>0.3</v>
      </c>
      <c s="120" t="str">
        <f t="shared" si="1"/>
        <v>不合格</v>
      </c>
    </row>
    <row r="10" customHeight="1">
      <c r="A10" s="70"/>
      <c s="72" t="s">
        <v>249</v>
      </c>
      <c s="59"/>
      <c s="24" t="str">
        <f t="shared" si="0"/>
        <v/>
      </c>
      <c s="23">
        <v>0.3</v>
      </c>
      <c s="120" t="str">
        <f t="shared" si="1"/>
        <v>不合格</v>
      </c>
    </row>
  </sheetData>
  <mergeCells>
    <mergeCell ref="A5:A10"/>
  </mergeCells>
  <printOptions/>
  <pageMargins left="0.75" right="0.75" top="1" bottom="1" header="0.5" footer="0.5"/>
  <pageSetup firstPageNumber="4294963191" copies="0"/>
  <headerFooter/>
  <extLst/>
</worksheet>
</file>

<file path=xl/worksheets/sheet15.xml><?xml version="1.0" encoding="utf-8"?>
<worksheet xmlns:mc="http://schemas.openxmlformats.org/markup-compatibility/2006" xmlns:x14ac="http://schemas.microsoft.com/office/spreadsheetml/2009/9/ac" xmlns:x14="http://schemas.microsoft.com/office/spreadsheetml/2009/9/main" xmlns:r="http://schemas.openxmlformats.org/officeDocument/2006/relationships" xmlns="http://schemas.openxmlformats.org/spreadsheetml/2006/main" mc:Ignorable="x14ac">
  <sheetPr/>
  <dimension ref="A1:H8"/>
  <sheetViews>
    <sheetView topLeftCell="A1" workbookViewId="0">
      <pane topLeftCell="A1"/>
      <selection activeCellId="0" activeCell="J4" sqref="J4"/>
    </sheetView>
  </sheetViews>
  <sheetFormatPr defaultColWidth="8.88" defaultRowHeight="14.25" customHeight="1"/>
  <cols>
    <col min="1" max="1" width="18.5" customWidth="1" style="10"/>
    <col min="2" max="2" width="8.88" customWidth="1" style="10"/>
    <col min="3" max="6" width="8.88" style="10"/>
    <col min="7" max="7" width="25.25" customWidth="1" style="10"/>
    <col min="8" max="16384" width="8.88" style="10"/>
  </cols>
  <sheetData>
    <row r="1" ht="28.5">
      <c r="A1" s="78" t="s">
        <v>182</v>
      </c>
      <c s="78" t="s">
        <v>307</v>
      </c>
      <c s="185" t="s">
        <v>308</v>
      </c>
      <c s="22"/>
      <c s="32"/>
      <c s="19" t="s">
        <v>309</v>
      </c>
      <c s="78" t="s">
        <v>119</v>
      </c>
      <c s="15"/>
    </row>
    <row r="2" ht="15.75" customHeight="1">
      <c r="A2" s="16" t="s">
        <v>53</v>
      </c>
      <c s="21">
        <v>220</v>
      </c>
      <c s="298"/>
      <c s="298"/>
      <c s="298"/>
      <c s="13">
        <v>0.01</v>
      </c>
      <c s="62" t="str">
        <f ref="G2:G3" t="shared" si="0">IF(C2="","不合格",IF(ROUND(ABS(AVERAGE(C2:E2)),4)&lt;ROUND(F2,4),"合格","不合格"))</f>
        <v>不合格</v>
      </c>
      <c s="15"/>
    </row>
    <row r="3" customHeight="1">
      <c r="A3" s="16" t="s">
        <v>57</v>
      </c>
      <c s="21">
        <v>360</v>
      </c>
      <c s="298"/>
      <c s="298"/>
      <c s="298"/>
      <c s="13">
        <v>0.05</v>
      </c>
      <c s="62" t="str">
        <f t="shared" si="0"/>
        <v>不合格</v>
      </c>
      <c s="15"/>
    </row>
    <row r="4" customHeight="1">
      <c r="A4" s="15"/>
      <c s="15"/>
      <c s="25"/>
      <c s="25"/>
      <c s="25"/>
      <c s="18"/>
      <c s="15"/>
      <c s="15"/>
    </row>
    <row r="5" customHeight="1">
      <c r="A5" s="31"/>
      <c s="15"/>
      <c s="25"/>
      <c s="25"/>
      <c s="25"/>
      <c s="18"/>
      <c s="15"/>
      <c s="15"/>
    </row>
    <row r="6" customHeight="1">
      <c r="A6" s="15"/>
      <c s="15"/>
      <c s="25"/>
      <c s="25"/>
      <c s="25"/>
      <c s="18"/>
      <c s="15"/>
      <c s="15"/>
    </row>
    <row r="7" customHeight="1">
      <c r="A7" s="15"/>
      <c s="15"/>
      <c s="25"/>
      <c s="25"/>
      <c s="25"/>
      <c s="18"/>
      <c s="15"/>
      <c s="15"/>
    </row>
    <row r="8" customHeight="1">
      <c r="A8" s="15"/>
      <c s="15"/>
      <c s="25"/>
      <c s="25"/>
      <c s="25"/>
      <c s="18"/>
      <c s="15"/>
      <c s="15"/>
    </row>
  </sheetData>
  <mergeCells>
    <mergeCell ref="C1:E1"/>
  </mergeCells>
  <conditionalFormatting sqref="G2:G3">
    <cfRule dxfId="1" priority="1" type="cellIs" operator="equal">
      <formula>"不合格"</formula>
    </cfRule>
  </conditionalFormatting>
  <printOptions/>
  <pageMargins left="0.75" right="0.75" top="1" bottom="1" header="0.5" footer="0.5"/>
  <pageSetup firstPageNumber="4294963191" copies="0"/>
  <headerFooter/>
  <extLst/>
</worksheet>
</file>

<file path=xl/worksheets/sheet16.xml><?xml version="1.0" encoding="utf-8"?>
<worksheet xmlns:mc="http://schemas.openxmlformats.org/markup-compatibility/2006" xmlns:x14ac="http://schemas.microsoft.com/office/spreadsheetml/2009/9/ac" xmlns:x14="http://schemas.microsoft.com/office/spreadsheetml/2009/9/main" xmlns:r="http://schemas.openxmlformats.org/officeDocument/2006/relationships" xmlns="http://schemas.openxmlformats.org/spreadsheetml/2006/main" mc:Ignorable="x14ac">
  <sheetPr/>
  <dimension ref="A1:D4"/>
  <sheetViews>
    <sheetView topLeftCell="A1" workbookViewId="0">
      <pane topLeftCell="A1"/>
      <selection activeCellId="0" activeCell="N21" sqref="N21"/>
    </sheetView>
  </sheetViews>
  <sheetFormatPr defaultColWidth="8.88" defaultRowHeight="14.25" customHeight="1"/>
  <cols>
    <col min="1" max="1" width="13.13" customWidth="1" style="11"/>
    <col min="2" max="2" width="10.13" customWidth="1" style="11"/>
    <col min="3" max="3" width="11" customWidth="1" style="11"/>
    <col min="4" max="4" width="10.75" customWidth="1" style="11"/>
    <col min="5" max="16384" width="8.88" style="11"/>
  </cols>
  <sheetData>
    <row r="1" ht="28.5">
      <c r="A1" s="78" t="s">
        <v>182</v>
      </c>
      <c s="67" t="s">
        <v>60</v>
      </c>
      <c s="29" t="s">
        <v>309</v>
      </c>
      <c s="78" t="s">
        <v>119</v>
      </c>
    </row>
    <row r="2" customHeight="1">
      <c r="A2" s="14" t="s">
        <v>58</v>
      </c>
      <c s="69"/>
      <c s="3">
        <v>0.0005</v>
      </c>
      <c s="62" t="str">
        <f>IF(OR(B2="",(ABS(B2)&gt;C2)),"不合格","合格")</f>
        <v>不合格</v>
      </c>
    </row>
    <row r="3" customHeight="1">
      <c r="B3" s="5"/>
    </row>
    <row r="4" customHeight="1">
      <c r="B4" s="8"/>
    </row>
  </sheetData>
  <conditionalFormatting sqref="D2">
    <cfRule dxfId="1" priority="1" type="cellIs" operator="equal">
      <formula>"不合格"</formula>
    </cfRule>
  </conditionalFormatting>
  <printOptions/>
  <pageMargins left="0.75" right="0.75" top="1" bottom="1" header="0.5" footer="0.5"/>
  <pageSetup firstPageNumber="4294963191" copies="0"/>
  <headerFooter/>
  <extLst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99153</dc:creator>
  <cp:lastModifiedBy>寻</cp:lastModifiedBy>
  <cp:revision>0</cp:revision>
  <dcterms:created xsi:type="dcterms:W3CDTF">2006-09-16T08:00:00+08:00</dcterms:created>
  <dcterms:modified xsi:type="dcterms:W3CDTF">2024-12-19T03:21:51+08:00</dcterms:modified>
</cp:coreProperties>
</file>