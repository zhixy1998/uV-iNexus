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2368" windowHeight="9204" tabRatio="923" activeTab="8"/>
  </bookViews>
  <sheets>
    <sheet name="Report" sheetId="21" r:id="rId1"/>
    <sheet name="基础信息" sheetId="13" state="hidden" r:id="rId2"/>
    <sheet name="测量结果表" sheetId="20" r:id="rId3"/>
    <sheet name="管理表" sheetId="19" r:id="rId4"/>
    <sheet name="对应信息" sheetId="17" state="hidden" r:id="rId5"/>
    <sheet name="检测项信息" sheetId="14" r:id="rId6"/>
    <sheet name="标准值" sheetId="16" r:id="rId7"/>
    <sheet name="字段对应" sheetId="15" state="hidden" r:id="rId8"/>
    <sheet name="波长示值误差与重复性校验" sheetId="3" r:id="rId9"/>
    <sheet name="透射比示值误差与重复性校验" sheetId="4" r:id="rId10"/>
    <sheet name="杂散光校验" sheetId="5" r:id="rId11"/>
    <sheet name="基线平直度检验" sheetId="6" r:id="rId12"/>
    <sheet name="基线暗噪声检验" sheetId="7" r:id="rId13"/>
    <sheet name="光谱带宽与仪器最小光谱带宽" sheetId="8" r:id="rId14"/>
    <sheet name="噪声检验" sheetId="9" r:id="rId15"/>
    <sheet name="波长边缘噪声" sheetId="10" r:id="rId16"/>
    <sheet name="漂移检验" sheetId="11" r:id="rId17"/>
  </sheets>
  <definedNames>
    <definedName name="OLE_LINK10" localSheetId="0">Report!#REF!</definedName>
  </definedNames>
  <calcPr calcId="145621"/>
</workbook>
</file>

<file path=xl/calcChain.xml><?xml version="1.0" encoding="utf-8"?>
<calcChain xmlns="http://schemas.openxmlformats.org/spreadsheetml/2006/main">
  <c r="Z7" i="14" l="1"/>
  <c r="I7" i="14"/>
  <c r="E7" i="14"/>
  <c r="D7" i="14"/>
  <c r="B6" i="21" l="1"/>
  <c r="I11" i="21"/>
  <c r="K11" i="21"/>
  <c r="L11" i="21"/>
  <c r="M11" i="21"/>
  <c r="N11" i="21"/>
  <c r="O11" i="21"/>
  <c r="P11" i="21"/>
  <c r="I12" i="21"/>
  <c r="K12" i="21"/>
  <c r="L12" i="21"/>
  <c r="M12" i="21"/>
  <c r="N12" i="21"/>
  <c r="O12" i="21"/>
  <c r="P12" i="21"/>
  <c r="I13" i="21"/>
  <c r="K13" i="21"/>
  <c r="L13" i="21"/>
  <c r="M13" i="21"/>
  <c r="N13" i="21"/>
  <c r="O13" i="21"/>
  <c r="P13" i="21"/>
  <c r="I14" i="21"/>
  <c r="K14" i="21"/>
  <c r="L14" i="21"/>
  <c r="M14" i="21"/>
  <c r="N14" i="21"/>
  <c r="O14" i="21"/>
  <c r="P14" i="21"/>
  <c r="I15" i="21"/>
  <c r="K15" i="21"/>
  <c r="L15" i="21"/>
  <c r="M15" i="21"/>
  <c r="N15" i="21"/>
  <c r="O15" i="21"/>
  <c r="P15" i="21"/>
  <c r="I16" i="21"/>
  <c r="K16" i="21"/>
  <c r="L16" i="21"/>
  <c r="M16" i="21"/>
  <c r="N16" i="21"/>
  <c r="O16" i="21"/>
  <c r="I17" i="21"/>
  <c r="K17" i="21"/>
  <c r="L17" i="21"/>
  <c r="M17" i="21"/>
  <c r="N17" i="21"/>
  <c r="O17" i="21"/>
  <c r="P17" i="21"/>
  <c r="I19" i="21"/>
  <c r="K19" i="21"/>
  <c r="L19" i="21"/>
  <c r="M19" i="21"/>
  <c r="N19" i="21"/>
  <c r="O19" i="21"/>
  <c r="I20" i="21"/>
  <c r="K20" i="21"/>
  <c r="L20" i="21"/>
  <c r="M20" i="21"/>
  <c r="N20" i="21"/>
  <c r="O20" i="21"/>
  <c r="I21" i="21"/>
  <c r="K21" i="21"/>
  <c r="L21" i="21"/>
  <c r="M21" i="21"/>
  <c r="N21" i="21"/>
  <c r="O21" i="21"/>
  <c r="I22" i="21"/>
  <c r="K22" i="21"/>
  <c r="L22" i="21"/>
  <c r="M22" i="21"/>
  <c r="N22" i="21"/>
  <c r="O22" i="21"/>
  <c r="I23" i="21"/>
  <c r="K23" i="21"/>
  <c r="L23" i="21"/>
  <c r="M23" i="21"/>
  <c r="N23" i="21"/>
  <c r="O23" i="21"/>
  <c r="I24" i="21"/>
  <c r="K24" i="21"/>
  <c r="L24" i="21"/>
  <c r="M24" i="21"/>
  <c r="N24" i="21"/>
  <c r="O24" i="21"/>
  <c r="I25" i="21"/>
  <c r="K25" i="21"/>
  <c r="L25" i="21"/>
  <c r="M25" i="21"/>
  <c r="N25" i="21"/>
  <c r="O25" i="21"/>
  <c r="J28" i="21"/>
  <c r="M28" i="21"/>
  <c r="O28" i="21"/>
  <c r="J29" i="21"/>
  <c r="M29" i="21"/>
  <c r="O29" i="21"/>
  <c r="J30" i="21"/>
  <c r="M30" i="21"/>
  <c r="O30" i="21"/>
  <c r="J31" i="21"/>
  <c r="M31" i="21"/>
  <c r="O31" i="21"/>
  <c r="J32" i="21"/>
  <c r="M32" i="21"/>
  <c r="O32" i="21"/>
  <c r="J33" i="21"/>
  <c r="M33" i="21"/>
  <c r="O33" i="21"/>
  <c r="J34" i="21"/>
  <c r="M34" i="21"/>
  <c r="O34" i="21"/>
  <c r="J35" i="21"/>
  <c r="M35" i="21"/>
  <c r="O35" i="21"/>
  <c r="J36" i="21"/>
  <c r="M36" i="21"/>
  <c r="O36" i="21"/>
  <c r="J37" i="21"/>
  <c r="M37" i="21"/>
  <c r="O37" i="21"/>
  <c r="J38" i="21"/>
  <c r="M38" i="21"/>
  <c r="O38" i="21"/>
  <c r="J39" i="21"/>
  <c r="M39" i="21"/>
  <c r="O39" i="21"/>
  <c r="J40" i="21"/>
  <c r="M40" i="21"/>
  <c r="O40" i="21"/>
  <c r="J41" i="21"/>
  <c r="M41" i="21"/>
  <c r="O41" i="21"/>
  <c r="J42" i="21"/>
  <c r="M42" i="21"/>
  <c r="O42" i="21"/>
  <c r="J43" i="21"/>
  <c r="M43" i="21"/>
  <c r="O43" i="21"/>
  <c r="J44" i="21"/>
  <c r="M44" i="21"/>
  <c r="O44" i="21"/>
  <c r="J45" i="21"/>
  <c r="M45" i="21"/>
  <c r="O45" i="21"/>
  <c r="J46" i="21"/>
  <c r="M46" i="21"/>
  <c r="O46" i="21"/>
  <c r="J47" i="21"/>
  <c r="M47" i="21"/>
  <c r="O47" i="21"/>
  <c r="J48" i="21"/>
  <c r="M48" i="21"/>
  <c r="O48" i="21"/>
  <c r="J49" i="21"/>
  <c r="M49" i="21"/>
  <c r="O49" i="21"/>
  <c r="I51" i="21"/>
  <c r="K51" i="21"/>
  <c r="M51" i="21"/>
  <c r="O51" i="21"/>
  <c r="I52" i="21"/>
  <c r="K52" i="21"/>
  <c r="M52" i="21"/>
  <c r="O52" i="21"/>
  <c r="I53" i="21"/>
  <c r="K53" i="21"/>
  <c r="M53" i="21"/>
  <c r="O53" i="21"/>
  <c r="I54" i="21"/>
  <c r="K54" i="21"/>
  <c r="M54" i="21"/>
  <c r="O54" i="21"/>
  <c r="I55" i="21"/>
  <c r="K55" i="21"/>
  <c r="M55" i="21"/>
  <c r="O55" i="21"/>
  <c r="I57" i="21"/>
  <c r="K57" i="21"/>
  <c r="M57" i="21"/>
  <c r="O57" i="21"/>
  <c r="I58" i="21"/>
  <c r="K58" i="21"/>
  <c r="M58" i="21"/>
  <c r="O58" i="21"/>
  <c r="I59" i="21"/>
  <c r="K59" i="21"/>
  <c r="M59" i="21"/>
  <c r="O59" i="21"/>
  <c r="M61" i="21"/>
  <c r="N61" i="21"/>
  <c r="O61" i="21"/>
  <c r="P61" i="21"/>
  <c r="M62" i="21"/>
  <c r="N62" i="21"/>
  <c r="O62" i="21"/>
  <c r="P62" i="21"/>
  <c r="N63" i="21"/>
  <c r="N64" i="21"/>
  <c r="I65" i="21"/>
  <c r="J65" i="21"/>
  <c r="L65" i="21"/>
  <c r="M65" i="21"/>
  <c r="N65" i="21"/>
  <c r="I66" i="21"/>
  <c r="J66" i="21"/>
  <c r="L66" i="21"/>
  <c r="M66" i="21"/>
  <c r="N66" i="21"/>
  <c r="I67" i="21"/>
  <c r="J67" i="21"/>
  <c r="L67" i="21"/>
  <c r="M67" i="21"/>
  <c r="N67" i="21"/>
  <c r="I68" i="21"/>
  <c r="J68" i="21"/>
  <c r="L68" i="21"/>
  <c r="M68" i="21"/>
  <c r="N68" i="21"/>
  <c r="I69" i="21"/>
  <c r="P69" i="21"/>
  <c r="I70" i="21"/>
  <c r="P70" i="21"/>
  <c r="I71" i="21"/>
  <c r="P71" i="21"/>
  <c r="I72" i="21"/>
  <c r="P72" i="21"/>
  <c r="N73" i="21"/>
  <c r="G3" i="5" l="1"/>
  <c r="G2" i="5"/>
  <c r="D29" i="14" l="1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6" i="14"/>
  <c r="D5" i="14"/>
  <c r="D4" i="14"/>
  <c r="D3" i="14"/>
  <c r="D2" i="14"/>
  <c r="G2" i="3" l="1"/>
  <c r="D2" i="7" l="1"/>
  <c r="Z3" i="14" l="1"/>
  <c r="Z4" i="14"/>
  <c r="Z5" i="14"/>
  <c r="Z6" i="14"/>
  <c r="Z8" i="14"/>
  <c r="Z9" i="14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2" i="14"/>
  <c r="AA3" i="14" s="1"/>
  <c r="AA8" i="14" l="1"/>
  <c r="AA29" i="14"/>
  <c r="AA25" i="14"/>
  <c r="AA26" i="14" s="1"/>
  <c r="AA27" i="14" s="1"/>
  <c r="AA28" i="14" s="1"/>
  <c r="AA13" i="14"/>
  <c r="AA19" i="14"/>
  <c r="AA20" i="14" s="1"/>
  <c r="AA21" i="14" s="1"/>
  <c r="AA22" i="14" s="1"/>
  <c r="AA23" i="14"/>
  <c r="AA24" i="14" s="1"/>
  <c r="AA15" i="14"/>
  <c r="AA16" i="14" s="1"/>
  <c r="AA17" i="14" s="1"/>
  <c r="AA18" i="14" s="1"/>
  <c r="AA14" i="14"/>
  <c r="AA9" i="14"/>
  <c r="AA10" i="14" s="1"/>
  <c r="AA11" i="14" s="1"/>
  <c r="AA12" i="14" s="1"/>
  <c r="AA4" i="14"/>
  <c r="AA5" i="14" s="1"/>
  <c r="AA6" i="14" s="1"/>
  <c r="AA7" i="14" s="1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2" i="20"/>
  <c r="D45" i="20"/>
  <c r="C45" i="20"/>
  <c r="H34" i="20"/>
  <c r="I34" i="20"/>
  <c r="J34" i="20"/>
  <c r="L34" i="20"/>
  <c r="M34" i="20"/>
  <c r="H35" i="20"/>
  <c r="I35" i="20"/>
  <c r="J35" i="20"/>
  <c r="L35" i="20"/>
  <c r="M35" i="20"/>
  <c r="H36" i="20"/>
  <c r="I36" i="20"/>
  <c r="J36" i="20"/>
  <c r="L36" i="20"/>
  <c r="M36" i="20"/>
  <c r="H37" i="20"/>
  <c r="I37" i="20"/>
  <c r="J37" i="20"/>
  <c r="L37" i="20"/>
  <c r="M37" i="20"/>
  <c r="H38" i="20"/>
  <c r="I38" i="20"/>
  <c r="J38" i="20"/>
  <c r="L38" i="20"/>
  <c r="M38" i="20"/>
  <c r="H39" i="20"/>
  <c r="I39" i="20"/>
  <c r="J39" i="20"/>
  <c r="L39" i="20"/>
  <c r="M39" i="20"/>
  <c r="H40" i="20"/>
  <c r="I40" i="20"/>
  <c r="J40" i="20"/>
  <c r="L40" i="20"/>
  <c r="M40" i="20"/>
  <c r="H41" i="20"/>
  <c r="I41" i="20"/>
  <c r="J41" i="20"/>
  <c r="L41" i="20"/>
  <c r="M41" i="20"/>
  <c r="H42" i="20"/>
  <c r="I42" i="20"/>
  <c r="J42" i="20"/>
  <c r="L42" i="20"/>
  <c r="M42" i="20"/>
  <c r="H43" i="20"/>
  <c r="I43" i="20"/>
  <c r="J43" i="20"/>
  <c r="L43" i="20"/>
  <c r="M43" i="20"/>
  <c r="H44" i="20"/>
  <c r="I44" i="20"/>
  <c r="J44" i="20"/>
  <c r="L44" i="20"/>
  <c r="M44" i="20"/>
  <c r="H45" i="20"/>
  <c r="I45" i="20"/>
  <c r="J45" i="20"/>
  <c r="L45" i="20"/>
  <c r="M45" i="20"/>
  <c r="D42" i="20"/>
  <c r="D43" i="20"/>
  <c r="D44" i="20"/>
  <c r="D41" i="20"/>
  <c r="C42" i="20"/>
  <c r="C43" i="20"/>
  <c r="C44" i="20"/>
  <c r="C41" i="20"/>
  <c r="C38" i="20"/>
  <c r="D38" i="20"/>
  <c r="C39" i="20"/>
  <c r="D39" i="20"/>
  <c r="C40" i="20"/>
  <c r="D40" i="20"/>
  <c r="D37" i="20"/>
  <c r="C37" i="20"/>
  <c r="D33" i="20"/>
  <c r="D34" i="20"/>
  <c r="D35" i="20"/>
  <c r="D36" i="20"/>
  <c r="D32" i="20"/>
  <c r="C33" i="20"/>
  <c r="C34" i="20"/>
  <c r="C35" i="20"/>
  <c r="C36" i="20"/>
  <c r="C32" i="20"/>
  <c r="D31" i="20"/>
  <c r="D30" i="20"/>
  <c r="D29" i="20"/>
  <c r="D28" i="20"/>
  <c r="C29" i="20"/>
  <c r="C28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H15" i="20"/>
  <c r="I15" i="20"/>
  <c r="J15" i="20"/>
  <c r="L15" i="20"/>
  <c r="M15" i="20"/>
  <c r="H16" i="20"/>
  <c r="I16" i="20"/>
  <c r="J16" i="20"/>
  <c r="L16" i="20"/>
  <c r="M16" i="20"/>
  <c r="H17" i="20"/>
  <c r="I17" i="20"/>
  <c r="J17" i="20"/>
  <c r="L17" i="20"/>
  <c r="M17" i="20"/>
  <c r="H18" i="20"/>
  <c r="I18" i="20"/>
  <c r="J18" i="20"/>
  <c r="L18" i="20"/>
  <c r="M18" i="20"/>
  <c r="H19" i="20"/>
  <c r="I19" i="20"/>
  <c r="J19" i="20"/>
  <c r="L19" i="20"/>
  <c r="M19" i="20"/>
  <c r="H20" i="20"/>
  <c r="I20" i="20"/>
  <c r="J20" i="20"/>
  <c r="L20" i="20"/>
  <c r="M20" i="20"/>
  <c r="H21" i="20"/>
  <c r="I21" i="20"/>
  <c r="J21" i="20"/>
  <c r="L21" i="20"/>
  <c r="M21" i="20"/>
  <c r="H22" i="20"/>
  <c r="I22" i="20"/>
  <c r="J22" i="20"/>
  <c r="L22" i="20"/>
  <c r="M22" i="20"/>
  <c r="H23" i="20"/>
  <c r="I23" i="20"/>
  <c r="J23" i="20"/>
  <c r="L23" i="20"/>
  <c r="M23" i="20"/>
  <c r="H24" i="20"/>
  <c r="I24" i="20"/>
  <c r="J24" i="20"/>
  <c r="L24" i="20"/>
  <c r="M24" i="20"/>
  <c r="H25" i="20"/>
  <c r="I25" i="20"/>
  <c r="J25" i="20"/>
  <c r="L25" i="20"/>
  <c r="M25" i="20"/>
  <c r="H26" i="20"/>
  <c r="I26" i="20"/>
  <c r="J26" i="20"/>
  <c r="L26" i="20"/>
  <c r="M26" i="20"/>
  <c r="H27" i="20"/>
  <c r="I27" i="20"/>
  <c r="J27" i="20"/>
  <c r="L27" i="20"/>
  <c r="M27" i="20"/>
  <c r="H28" i="20"/>
  <c r="I28" i="20"/>
  <c r="J28" i="20"/>
  <c r="L28" i="20"/>
  <c r="M28" i="20"/>
  <c r="H29" i="20"/>
  <c r="I29" i="20"/>
  <c r="J29" i="20"/>
  <c r="L29" i="20"/>
  <c r="M29" i="20"/>
  <c r="H30" i="20"/>
  <c r="I30" i="20"/>
  <c r="J30" i="20"/>
  <c r="L30" i="20"/>
  <c r="M30" i="20"/>
  <c r="H31" i="20"/>
  <c r="I31" i="20"/>
  <c r="J31" i="20"/>
  <c r="L31" i="20"/>
  <c r="M31" i="20"/>
  <c r="H32" i="20"/>
  <c r="I32" i="20"/>
  <c r="J32" i="20"/>
  <c r="L32" i="20"/>
  <c r="M32" i="20"/>
  <c r="H33" i="20"/>
  <c r="I33" i="20"/>
  <c r="J33" i="20"/>
  <c r="L33" i="20"/>
  <c r="M33" i="20"/>
  <c r="D15" i="20"/>
  <c r="D3" i="20"/>
  <c r="D4" i="20"/>
  <c r="D5" i="20"/>
  <c r="D6" i="20"/>
  <c r="D7" i="20"/>
  <c r="D8" i="20"/>
  <c r="D9" i="20"/>
  <c r="D10" i="20"/>
  <c r="D11" i="20"/>
  <c r="D12" i="20"/>
  <c r="D13" i="20"/>
  <c r="D14" i="20"/>
  <c r="D2" i="20"/>
  <c r="H3" i="20" l="1"/>
  <c r="I3" i="20"/>
  <c r="J3" i="20"/>
  <c r="L3" i="20"/>
  <c r="M3" i="20"/>
  <c r="H4" i="20"/>
  <c r="I4" i="20"/>
  <c r="J4" i="20"/>
  <c r="L4" i="20"/>
  <c r="M4" i="20"/>
  <c r="H5" i="20"/>
  <c r="I5" i="20"/>
  <c r="J5" i="20"/>
  <c r="L5" i="20"/>
  <c r="M5" i="20"/>
  <c r="H6" i="20"/>
  <c r="I6" i="20"/>
  <c r="J6" i="20"/>
  <c r="L6" i="20"/>
  <c r="M6" i="20"/>
  <c r="H7" i="20"/>
  <c r="I7" i="20"/>
  <c r="J7" i="20"/>
  <c r="L7" i="20"/>
  <c r="M7" i="20"/>
  <c r="H8" i="20"/>
  <c r="I8" i="20"/>
  <c r="J8" i="20"/>
  <c r="L8" i="20"/>
  <c r="M8" i="20"/>
  <c r="H9" i="20"/>
  <c r="I9" i="20"/>
  <c r="J9" i="20"/>
  <c r="L9" i="20"/>
  <c r="M9" i="20"/>
  <c r="H10" i="20"/>
  <c r="I10" i="20"/>
  <c r="J10" i="20"/>
  <c r="L10" i="20"/>
  <c r="M10" i="20"/>
  <c r="H11" i="20"/>
  <c r="I11" i="20"/>
  <c r="J11" i="20"/>
  <c r="L11" i="20"/>
  <c r="M11" i="20"/>
  <c r="H12" i="20"/>
  <c r="I12" i="20"/>
  <c r="J12" i="20"/>
  <c r="L12" i="20"/>
  <c r="M12" i="20"/>
  <c r="H13" i="20"/>
  <c r="I13" i="20"/>
  <c r="J13" i="20"/>
  <c r="L13" i="20"/>
  <c r="M13" i="20"/>
  <c r="H14" i="20"/>
  <c r="I14" i="20"/>
  <c r="J14" i="20"/>
  <c r="L14" i="20"/>
  <c r="M14" i="20"/>
  <c r="M2" i="20"/>
  <c r="L2" i="20"/>
  <c r="H2" i="20"/>
  <c r="J2" i="20"/>
  <c r="I2" i="20"/>
  <c r="G2" i="4" l="1"/>
  <c r="E15" i="20" s="1"/>
  <c r="N29" i="20" l="1"/>
  <c r="D2" i="6"/>
  <c r="N30" i="20" s="1"/>
  <c r="N31" i="20"/>
  <c r="N28" i="20"/>
  <c r="G14" i="4"/>
  <c r="G3" i="4"/>
  <c r="G4" i="4"/>
  <c r="G5" i="4"/>
  <c r="G6" i="4"/>
  <c r="E19" i="20" s="1"/>
  <c r="G7" i="4"/>
  <c r="E20" i="20" s="1"/>
  <c r="G8" i="4"/>
  <c r="G9" i="4"/>
  <c r="E22" i="20" s="1"/>
  <c r="G10" i="4"/>
  <c r="E23" i="20" s="1"/>
  <c r="G11" i="4"/>
  <c r="E24" i="20" s="1"/>
  <c r="G12" i="4"/>
  <c r="G13" i="4"/>
  <c r="E26" i="20" s="1"/>
  <c r="F3" i="3"/>
  <c r="F4" i="3"/>
  <c r="E4" i="20" s="1"/>
  <c r="F5" i="3"/>
  <c r="E5" i="20" s="1"/>
  <c r="F6" i="3"/>
  <c r="E6" i="20" s="1"/>
  <c r="F7" i="3"/>
  <c r="E7" i="20" s="1"/>
  <c r="F8" i="3"/>
  <c r="E8" i="20" s="1"/>
  <c r="F9" i="3"/>
  <c r="E9" i="20" s="1"/>
  <c r="F10" i="3"/>
  <c r="E10" i="20" s="1"/>
  <c r="F11" i="3"/>
  <c r="E11" i="20" s="1"/>
  <c r="F12" i="3"/>
  <c r="E12" i="20" s="1"/>
  <c r="F13" i="3"/>
  <c r="E13" i="20" s="1"/>
  <c r="F14" i="3"/>
  <c r="E14" i="20" s="1"/>
  <c r="F2" i="3"/>
  <c r="E21" i="20" l="1"/>
  <c r="E27" i="20"/>
  <c r="E25" i="20"/>
  <c r="E16" i="20"/>
  <c r="E18" i="20"/>
  <c r="E17" i="20"/>
  <c r="G8" i="3"/>
  <c r="G7" i="3"/>
  <c r="F7" i="20" s="1"/>
  <c r="G6" i="3"/>
  <c r="F6" i="20" s="1"/>
  <c r="G5" i="3"/>
  <c r="G3" i="3"/>
  <c r="F3" i="20" s="1"/>
  <c r="E3" i="20"/>
  <c r="F2" i="20"/>
  <c r="E2" i="20"/>
  <c r="E3" i="10"/>
  <c r="N42" i="20" s="1"/>
  <c r="E4" i="10"/>
  <c r="N43" i="20" s="1"/>
  <c r="E5" i="10"/>
  <c r="N44" i="20" s="1"/>
  <c r="E3" i="9"/>
  <c r="N38" i="20" s="1"/>
  <c r="E4" i="9"/>
  <c r="N39" i="20" s="1"/>
  <c r="E5" i="9"/>
  <c r="N40" i="20" s="1"/>
  <c r="F8" i="20" l="1"/>
  <c r="P16" i="21"/>
  <c r="F5" i="20"/>
  <c r="C14" i="4" l="1"/>
  <c r="C13" i="4"/>
  <c r="C12" i="4"/>
  <c r="C11" i="4"/>
  <c r="C10" i="4"/>
  <c r="C9" i="4"/>
  <c r="C8" i="4"/>
  <c r="C7" i="4"/>
  <c r="C6" i="4"/>
  <c r="C5" i="4"/>
  <c r="C4" i="4"/>
  <c r="C3" i="4"/>
  <c r="C2" i="4"/>
  <c r="B14" i="3"/>
  <c r="G14" i="3" s="1"/>
  <c r="F14" i="20" s="1"/>
  <c r="B13" i="3"/>
  <c r="G13" i="3" s="1"/>
  <c r="F13" i="20" s="1"/>
  <c r="B12" i="3"/>
  <c r="G12" i="3" s="1"/>
  <c r="F12" i="20" s="1"/>
  <c r="B11" i="3"/>
  <c r="G11" i="3" s="1"/>
  <c r="F11" i="20" s="1"/>
  <c r="B10" i="3"/>
  <c r="G10" i="3" s="1"/>
  <c r="F10" i="20" s="1"/>
  <c r="B9" i="3"/>
  <c r="G9" i="3" s="1"/>
  <c r="F9" i="20" s="1"/>
  <c r="B4" i="3"/>
  <c r="G4" i="3" s="1"/>
  <c r="F4" i="20" s="1"/>
  <c r="E2" i="11"/>
  <c r="N45" i="20" s="1"/>
  <c r="E2" i="10"/>
  <c r="N41" i="20" s="1"/>
  <c r="E2" i="9"/>
  <c r="N37" i="20" s="1"/>
  <c r="E6" i="8"/>
  <c r="G6" i="8" s="1"/>
  <c r="N36" i="20" s="1"/>
  <c r="E5" i="8"/>
  <c r="G5" i="8" s="1"/>
  <c r="N35" i="20" s="1"/>
  <c r="E4" i="8"/>
  <c r="G4" i="8" s="1"/>
  <c r="N34" i="20" s="1"/>
  <c r="E3" i="8"/>
  <c r="G3" i="8" s="1"/>
  <c r="N33" i="20" s="1"/>
  <c r="E2" i="8"/>
  <c r="G2" i="8" s="1"/>
  <c r="N32" i="20" l="1"/>
  <c r="C20" i="20"/>
  <c r="H7" i="4"/>
  <c r="F20" i="20" s="1"/>
  <c r="C21" i="20"/>
  <c r="H8" i="4"/>
  <c r="F21" i="20" s="1"/>
  <c r="C22" i="20"/>
  <c r="H9" i="4"/>
  <c r="F22" i="20" s="1"/>
  <c r="C15" i="20"/>
  <c r="H2" i="4"/>
  <c r="F15" i="20" s="1"/>
  <c r="C23" i="20"/>
  <c r="H10" i="4"/>
  <c r="F23" i="20" s="1"/>
  <c r="C16" i="20"/>
  <c r="H3" i="4"/>
  <c r="F16" i="20" s="1"/>
  <c r="C24" i="20"/>
  <c r="H11" i="4"/>
  <c r="F24" i="20" s="1"/>
  <c r="C17" i="20"/>
  <c r="H4" i="4"/>
  <c r="F17" i="20" s="1"/>
  <c r="C25" i="20"/>
  <c r="H12" i="4"/>
  <c r="F25" i="20" s="1"/>
  <c r="C18" i="20"/>
  <c r="H5" i="4"/>
  <c r="F18" i="20" s="1"/>
  <c r="C26" i="20"/>
  <c r="H13" i="4"/>
  <c r="F26" i="20" s="1"/>
  <c r="C19" i="20"/>
  <c r="H6" i="4"/>
  <c r="F19" i="20" s="1"/>
  <c r="C27" i="20"/>
  <c r="H14" i="4"/>
  <c r="F27" i="20" s="1"/>
  <c r="H3" i="3" l="1"/>
  <c r="G3" i="20" s="1"/>
  <c r="H14" i="3"/>
  <c r="H13" i="3"/>
  <c r="H12" i="3"/>
  <c r="H11" i="3"/>
  <c r="H10" i="3"/>
  <c r="H9" i="3"/>
  <c r="G12" i="20" l="1"/>
  <c r="K12" i="3"/>
  <c r="N12" i="20" s="1"/>
  <c r="G13" i="20"/>
  <c r="K13" i="3"/>
  <c r="N13" i="20" s="1"/>
  <c r="G14" i="20"/>
  <c r="K14" i="3"/>
  <c r="N14" i="20" s="1"/>
  <c r="G10" i="20"/>
  <c r="K10" i="3"/>
  <c r="N10" i="20" s="1"/>
  <c r="G9" i="20"/>
  <c r="K9" i="3"/>
  <c r="N9" i="20" s="1"/>
  <c r="G11" i="20"/>
  <c r="K11" i="3"/>
  <c r="N11" i="20" s="1"/>
  <c r="K3" i="3"/>
  <c r="N3" i="20" s="1"/>
  <c r="I3" i="14"/>
  <c r="E3" i="14"/>
  <c r="I2" i="14"/>
  <c r="E2" i="14"/>
  <c r="I25" i="14"/>
  <c r="E25" i="14"/>
  <c r="E17" i="14" l="1"/>
  <c r="E18" i="14"/>
  <c r="E19" i="14"/>
  <c r="E20" i="14"/>
  <c r="E21" i="14"/>
  <c r="E22" i="14"/>
  <c r="E29" i="14"/>
  <c r="E16" i="14"/>
  <c r="E15" i="14"/>
  <c r="E24" i="14"/>
  <c r="E13" i="14"/>
  <c r="E14" i="14"/>
  <c r="E8" i="14"/>
  <c r="E9" i="14"/>
  <c r="E10" i="14"/>
  <c r="E11" i="14"/>
  <c r="E12" i="14"/>
  <c r="E23" i="14"/>
  <c r="E28" i="14"/>
  <c r="E27" i="14"/>
  <c r="E26" i="14"/>
  <c r="E5" i="14"/>
  <c r="E6" i="14"/>
  <c r="E4" i="14"/>
  <c r="I5" i="4" l="1"/>
  <c r="G18" i="20" s="1"/>
  <c r="I4" i="4"/>
  <c r="G17" i="20" s="1"/>
  <c r="I3" i="4"/>
  <c r="G16" i="20" s="1"/>
  <c r="I2" i="4"/>
  <c r="G15" i="20" s="1"/>
  <c r="I14" i="4"/>
  <c r="I13" i="4"/>
  <c r="I12" i="4"/>
  <c r="I11" i="4"/>
  <c r="I10" i="4"/>
  <c r="I9" i="4"/>
  <c r="I8" i="4"/>
  <c r="I7" i="4"/>
  <c r="I6" i="4"/>
  <c r="H8" i="3"/>
  <c r="H7" i="3"/>
  <c r="H6" i="3"/>
  <c r="H5" i="3"/>
  <c r="H2" i="3"/>
  <c r="G2" i="20" s="1"/>
  <c r="H4" i="3"/>
  <c r="I29" i="14"/>
  <c r="I22" i="14"/>
  <c r="I21" i="14"/>
  <c r="I20" i="14"/>
  <c r="I19" i="14"/>
  <c r="I18" i="14"/>
  <c r="I17" i="14"/>
  <c r="I16" i="14"/>
  <c r="I15" i="14"/>
  <c r="I12" i="14"/>
  <c r="I11" i="14"/>
  <c r="I10" i="14"/>
  <c r="I9" i="14"/>
  <c r="I8" i="14"/>
  <c r="I14" i="14"/>
  <c r="I13" i="14"/>
  <c r="I24" i="14"/>
  <c r="I23" i="14"/>
  <c r="I28" i="14"/>
  <c r="I27" i="14"/>
  <c r="I26" i="14"/>
  <c r="I6" i="14"/>
  <c r="I5" i="14"/>
  <c r="I4" i="14"/>
  <c r="G24" i="20" l="1"/>
  <c r="L11" i="4"/>
  <c r="N24" i="20" s="1"/>
  <c r="G19" i="20"/>
  <c r="L6" i="4"/>
  <c r="N19" i="20" s="1"/>
  <c r="G25" i="20"/>
  <c r="L12" i="4"/>
  <c r="N25" i="20" s="1"/>
  <c r="G23" i="20"/>
  <c r="L10" i="4"/>
  <c r="N23" i="20" s="1"/>
  <c r="G21" i="20"/>
  <c r="L8" i="4"/>
  <c r="N21" i="20" s="1"/>
  <c r="G26" i="20"/>
  <c r="L13" i="4"/>
  <c r="N26" i="20" s="1"/>
  <c r="G22" i="20"/>
  <c r="L9" i="4"/>
  <c r="N22" i="20" s="1"/>
  <c r="G20" i="20"/>
  <c r="L7" i="4"/>
  <c r="N20" i="20" s="1"/>
  <c r="G27" i="20"/>
  <c r="L14" i="4"/>
  <c r="N27" i="20" s="1"/>
  <c r="G7" i="20"/>
  <c r="K7" i="3"/>
  <c r="N7" i="20" s="1"/>
  <c r="G8" i="20"/>
  <c r="K8" i="3"/>
  <c r="N8" i="20" s="1"/>
  <c r="G5" i="20"/>
  <c r="K5" i="3"/>
  <c r="N5" i="20" s="1"/>
  <c r="G6" i="20"/>
  <c r="K6" i="3"/>
  <c r="N6" i="20" s="1"/>
  <c r="G4" i="20"/>
  <c r="K4" i="3"/>
  <c r="N4" i="20" s="1"/>
  <c r="L5" i="4"/>
  <c r="N18" i="20" s="1"/>
  <c r="L4" i="4"/>
  <c r="N17" i="20" s="1"/>
  <c r="L3" i="4"/>
  <c r="N16" i="20" s="1"/>
  <c r="L2" i="4"/>
  <c r="N15" i="20" s="1"/>
  <c r="K2" i="3"/>
  <c r="N2" i="20" s="1"/>
</calcChain>
</file>

<file path=xl/sharedStrings.xml><?xml version="1.0" encoding="utf-8"?>
<sst xmlns="http://schemas.openxmlformats.org/spreadsheetml/2006/main" count="933" uniqueCount="435">
  <si>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</si>
  <si>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</si>
  <si>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</si>
  <si>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</si>
  <si>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</si>
  <si>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</si>
  <si>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</si>
  <si>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</si>
  <si>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</si>
  <si>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</si>
  <si>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检验结果</t>
  </si>
  <si>
    <t>序号</t>
  </si>
  <si>
    <t>检验项目</t>
  </si>
  <si>
    <t>结果</t>
  </si>
  <si>
    <t>波长段</t>
  </si>
  <si>
    <t>检测工具</t>
  </si>
  <si>
    <t>镨钕滤光片</t>
  </si>
  <si>
    <t>氘灯</t>
  </si>
  <si>
    <t>汞灯</t>
  </si>
  <si>
    <t xml:space="preserve">透射比示值误差
±0.3%
透射比重复性
≤0.1%
</t>
  </si>
  <si>
    <t>型号</t>
  </si>
  <si>
    <t>测量点</t>
  </si>
  <si>
    <t xml:space="preserve">透射比示值误差
±0.3%
透射比重复性
≤0.1%
</t>
  </si>
  <si>
    <t>杂散光</t>
  </si>
  <si>
    <t>检验工具</t>
  </si>
  <si>
    <t>220nm</t>
  </si>
  <si>
    <t>碘化钠标准溶液</t>
  </si>
  <si>
    <t>360nm</t>
  </si>
  <si>
    <t>亚硝酸钠标准溶液</t>
  </si>
  <si>
    <t>基线平直度</t>
  </si>
  <si>
    <t>测量值（Abs）</t>
  </si>
  <si>
    <t>基线暗噪声</t>
  </si>
  <si>
    <t>测量值（%）</t>
  </si>
  <si>
    <t>光谱带宽</t>
  </si>
  <si>
    <t>不超过标称光谱带宽的±20%</t>
  </si>
  <si>
    <t>≤0.05%</t>
  </si>
  <si>
    <t>≤0.005%</t>
  </si>
  <si>
    <t>边缘噪声
1090 nm</t>
  </si>
  <si>
    <t>≤0.1%</t>
  </si>
  <si>
    <t>≤0.02%</t>
  </si>
  <si>
    <t>边缘噪声
200nm</t>
  </si>
  <si>
    <t>漂移</t>
  </si>
  <si>
    <t>电源电压的适应性</t>
  </si>
  <si>
    <t>电压</t>
  </si>
  <si>
    <t>198V</t>
  </si>
  <si>
    <t>220V</t>
  </si>
  <si>
    <t>242V</t>
  </si>
  <si>
    <t>调压器，数字万用表</t>
  </si>
  <si>
    <t>介电强度</t>
  </si>
  <si>
    <t>无击穿和飞弧现象</t>
  </si>
  <si>
    <t>检验工具：耐压测试仪</t>
  </si>
  <si>
    <t>有 □           无 □</t>
  </si>
  <si>
    <t>接触电流</t>
  </si>
  <si>
    <t>检验工具：泄漏电流测试仪</t>
  </si>
  <si>
    <t>保护接地</t>
  </si>
  <si>
    <t>≤0.1Ω</t>
  </si>
  <si>
    <t>检验工具：程控接地电阻测试仪</t>
  </si>
  <si>
    <t>测量值（Ω）</t>
  </si>
  <si>
    <t>绝缘电阻</t>
  </si>
  <si>
    <t>检验工具：绝缘电阻测试仪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</si>
  <si>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</si>
  <si>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</si>
  <si>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 □                 不合格 □</t>
  </si>
  <si>
    <t>检验结论</t>
  </si>
  <si>
    <t>备注</t>
  </si>
  <si>
    <t>名称</t>
  </si>
  <si>
    <t>特征值</t>
  </si>
  <si>
    <t>标准值</t>
  </si>
  <si>
    <t>是否为光谱扫描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</si>
  <si>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</si>
  <si>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</si>
  <si>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</si>
  <si>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</si>
  <si>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</si>
  <si>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</si>
  <si>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</si>
  <si>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</si>
  <si>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</si>
  <si>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</si>
  <si>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</si>
  <si>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</si>
  <si>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</si>
  <si>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</si>
  <si>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</si>
  <si>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</si>
  <si>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</si>
  <si>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</si>
  <si>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Es</t>
  </si>
  <si>
    <t>中速</t>
  </si>
  <si>
    <t>739.2,,807.4</t>
  </si>
  <si>
    <t>Er</t>
  </si>
  <si>
    <t>快速</t>
  </si>
  <si>
    <t>10%中性滤光片</t>
  </si>
  <si>
    <t>635.0,546.0,440.0</t>
  </si>
  <si>
    <t>R%</t>
  </si>
  <si>
    <t>极快</t>
  </si>
  <si>
    <t>20%中性滤光片</t>
  </si>
  <si>
    <t>635.0,546.0,440.1</t>
  </si>
  <si>
    <t xml:space="preserve"> </t>
  </si>
  <si>
    <t>30%中性滤光片</t>
  </si>
  <si>
    <t>635.0,546.0,440.2</t>
  </si>
  <si>
    <t>重铬酸钾标准物质</t>
  </si>
  <si>
    <t>22.9,51.3,13.7,18.2</t>
  </si>
  <si>
    <t>碘化钠溶液</t>
  </si>
  <si>
    <t>亚硝酸钠溶液</t>
  </si>
  <si>
    <t>检测类别</t>
  </si>
  <si>
    <t>项目名称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</si>
  <si>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</si>
  <si>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</si>
  <si>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</si>
  <si>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</si>
  <si>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</si>
  <si>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</si>
  <si>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</si>
  <si>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</si>
  <si>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</si>
  <si>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</si>
  <si>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</si>
  <si>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</si>
  <si>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</si>
  <si>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波长示值误差与重复性校验</t>
  </si>
  <si>
    <t>807.4</t>
  </si>
  <si>
    <t>寻峰</t>
  </si>
  <si>
    <t>黑挡块</t>
  </si>
  <si>
    <t>空气</t>
  </si>
  <si>
    <t>656.1</t>
  </si>
  <si>
    <t>透射比示值误差与重复性校验</t>
  </si>
  <si>
    <t>635,546,440</t>
  </si>
  <si>
    <t>求平均</t>
  </si>
  <si>
    <t>紫外分光光度计标准物质GBW(E)130066</t>
  </si>
  <si>
    <r>
      <rPr>
        <sz val="10.5"/>
        <color theme="1"/>
        <rFont val="宋体"/>
        <family val="3"/>
        <charset val="134"/>
      </rPr>
      <t>紫外分光光度计标准物质</t>
    </r>
    <r>
      <rPr>
        <sz val="10.5"/>
        <color theme="1"/>
        <rFont val="Times New Roman"/>
        <family val="1"/>
      </rPr>
      <t>GBW(E)130066</t>
    </r>
  </si>
  <si>
    <t>杂散光校验</t>
  </si>
  <si>
    <t>220</t>
  </si>
  <si>
    <t>多次测量</t>
  </si>
  <si>
    <t>蒸馏水</t>
  </si>
  <si>
    <t>360</t>
  </si>
  <si>
    <t>基线平直度检验</t>
  </si>
  <si>
    <t>求最大偏移量</t>
  </si>
  <si>
    <t>基线暗噪声检验</t>
  </si>
  <si>
    <t>光谱带宽与仪器最小光谱带宽</t>
  </si>
  <si>
    <t>氘灯5.0</t>
  </si>
  <si>
    <t>求半峰宽</t>
  </si>
  <si>
    <t>氘灯2.0</t>
  </si>
  <si>
    <t>氘灯1.0</t>
  </si>
  <si>
    <t>氘灯0.5</t>
  </si>
  <si>
    <t>氘灯0.2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</si>
  <si>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</si>
  <si>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</si>
  <si>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</si>
  <si>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</si>
  <si>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</si>
  <si>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</si>
  <si>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</si>
  <si>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</si>
  <si>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</si>
  <si>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</si>
  <si>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</si>
  <si>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仪器预热1小时之后进行检验</t>
  </si>
  <si>
    <t>求漂移</t>
  </si>
  <si>
    <t>仪器方法标记</t>
  </si>
  <si>
    <t>仪器方法字段</t>
  </si>
  <si>
    <t>算法标记</t>
  </si>
  <si>
    <t>算法字段</t>
  </si>
  <si>
    <t>StartWl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</si>
  <si>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</si>
  <si>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</si>
  <si>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</si>
  <si>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</si>
  <si>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</si>
  <si>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</si>
  <si>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</si>
  <si>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</si>
  <si>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</si>
  <si>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</si>
  <si>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</si>
  <si>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</si>
  <si>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</si>
  <si>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Validation.ViewModel.DataStructure.GetDriftUVTestTool</t>
  </si>
  <si>
    <t>Name</t>
  </si>
  <si>
    <t>PhotoMode</t>
  </si>
  <si>
    <r>
      <rPr>
        <sz val="11"/>
        <color theme="1"/>
        <rFont val="宋体"/>
        <family val="3"/>
        <charset val="134"/>
        <scheme val="minor"/>
      </rPr>
      <t>S</t>
    </r>
    <r>
      <rPr>
        <sz val="11"/>
        <color theme="1"/>
        <rFont val="宋体"/>
        <family val="3"/>
        <charset val="134"/>
        <scheme val="minor"/>
      </rPr>
      <t>canSpeed</t>
    </r>
  </si>
  <si>
    <t>ScanWlInterval</t>
  </si>
  <si>
    <r>
      <rPr>
        <sz val="11"/>
        <color theme="1"/>
        <rFont val="宋体"/>
        <family val="3"/>
        <charset val="134"/>
        <scheme val="minor"/>
      </rPr>
      <t>G</t>
    </r>
    <r>
      <rPr>
        <sz val="11"/>
        <color theme="1"/>
        <rFont val="宋体"/>
        <family val="3"/>
        <charset val="134"/>
        <scheme val="minor"/>
      </rPr>
      <t>ain</t>
    </r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</si>
  <si>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</si>
  <si>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</si>
  <si>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</si>
  <si>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</si>
  <si>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</si>
  <si>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</si>
  <si>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</si>
  <si>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</si>
  <si>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</si>
  <si>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</si>
  <si>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平均值（nm）</t>
  </si>
  <si>
    <t>误差值（nm）</t>
  </si>
  <si>
    <t>波长示值误差(nm)</t>
  </si>
  <si>
    <t>波长重复性</t>
  </si>
  <si>
    <t>判定结果</t>
  </si>
  <si>
    <t>546.1</t>
  </si>
  <si>
    <t>365</t>
  </si>
  <si>
    <t>253.7</t>
  </si>
  <si>
    <t>透射比示值误差</t>
  </si>
  <si>
    <t>透射比重复性</t>
  </si>
  <si>
    <t>635nm</t>
  </si>
  <si>
    <t>546nm</t>
  </si>
  <si>
    <t>440nm</t>
  </si>
  <si>
    <t>350nm</t>
  </si>
  <si>
    <t>313nm</t>
  </si>
  <si>
    <t>257nm</t>
  </si>
  <si>
    <t>235nm</t>
  </si>
  <si>
    <t>测量值（nm）</t>
  </si>
  <si>
    <t>垂直距离范围</t>
  </si>
  <si>
    <t>500nm</t>
  </si>
  <si>
    <t>220nm杂散光</t>
    <phoneticPr fontId="15" type="noConversion"/>
  </si>
  <si>
    <t>360nm杂散光</t>
    <phoneticPr fontId="15" type="noConversion"/>
  </si>
  <si>
    <t>项目名称</t>
    <phoneticPr fontId="15" type="noConversion"/>
  </si>
  <si>
    <t>项目名称</t>
    <phoneticPr fontId="15" type="noConversion"/>
  </si>
  <si>
    <t>基线平直度</t>
    <phoneticPr fontId="15" type="noConversion"/>
  </si>
  <si>
    <t>基线平直度</t>
    <phoneticPr fontId="15" type="noConversion"/>
  </si>
  <si>
    <t>基线暗噪声</t>
    <phoneticPr fontId="15" type="noConversion"/>
  </si>
  <si>
    <t>基线暗噪声</t>
    <phoneticPr fontId="15" type="noConversion"/>
  </si>
  <si>
    <t>氘灯5.0</t>
    <phoneticPr fontId="15" type="noConversion"/>
  </si>
  <si>
    <t>项目名称</t>
    <phoneticPr fontId="15" type="noConversion"/>
  </si>
  <si>
    <t>项目名称</t>
    <phoneticPr fontId="15" type="noConversion"/>
  </si>
  <si>
    <t>漂移检验</t>
    <phoneticPr fontId="15" type="noConversion"/>
  </si>
  <si>
    <t>漂移检验</t>
    <phoneticPr fontId="15" type="noConversion"/>
  </si>
  <si>
    <t>totalcount</t>
    <phoneticPr fontId="15" type="noConversion"/>
  </si>
  <si>
    <t>timeinterval</t>
    <phoneticPr fontId="15" type="noConversion"/>
  </si>
  <si>
    <t>特征值</t>
    <phoneticPr fontId="15" type="noConversion"/>
  </si>
  <si>
    <t>测量波长</t>
    <phoneticPr fontId="15" type="noConversion"/>
  </si>
  <si>
    <t>测量波长</t>
    <phoneticPr fontId="15" type="noConversion"/>
  </si>
  <si>
    <t>最大最小值差</t>
  </si>
  <si>
    <t>最大最小值差</t>
    <phoneticPr fontId="15" type="noConversion"/>
  </si>
  <si>
    <t>求最大偏移量</t>
    <phoneticPr fontId="15" type="noConversion"/>
  </si>
  <si>
    <t>WlRange</t>
  </si>
  <si>
    <t>灯状态</t>
    <phoneticPr fontId="15" type="noConversion"/>
  </si>
  <si>
    <t>灯状态</t>
    <phoneticPr fontId="15" type="noConversion"/>
  </si>
  <si>
    <t>钨灯</t>
    <phoneticPr fontId="15" type="noConversion"/>
  </si>
  <si>
    <t>汞灯</t>
    <phoneticPr fontId="15" type="noConversion"/>
  </si>
  <si>
    <t>灯状态</t>
    <phoneticPr fontId="15" type="noConversion"/>
  </si>
  <si>
    <r>
      <t>Lamp</t>
    </r>
    <r>
      <rPr>
        <sz val="11"/>
        <color theme="1"/>
        <rFont val="宋体"/>
        <family val="3"/>
        <charset val="134"/>
        <scheme val="minor"/>
      </rPr>
      <t>Pos</t>
    </r>
    <phoneticPr fontId="15" type="noConversion"/>
  </si>
  <si>
    <t>黑挡块</t>
    <phoneticPr fontId="15" type="noConversion"/>
  </si>
  <si>
    <t>钨灯</t>
  </si>
  <si>
    <t>氘灯</t>
    <phoneticPr fontId="15" type="noConversion"/>
  </si>
  <si>
    <t>灯状态</t>
    <phoneticPr fontId="15" type="noConversion"/>
  </si>
  <si>
    <t>钬溶液</t>
    <phoneticPr fontId="15" type="noConversion"/>
  </si>
  <si>
    <r>
      <t>6</t>
    </r>
    <r>
      <rPr>
        <sz val="11"/>
        <color theme="1"/>
        <rFont val="宋体"/>
        <family val="3"/>
        <charset val="134"/>
        <scheme val="minor"/>
      </rPr>
      <t>40.79,536.86,416.57,361.12,287.52,241.12</t>
    </r>
    <phoneticPr fontId="15" type="noConversion"/>
  </si>
  <si>
    <t>钬溶液</t>
    <phoneticPr fontId="15" type="noConversion"/>
  </si>
  <si>
    <t>640.79</t>
    <phoneticPr fontId="15" type="noConversion"/>
  </si>
  <si>
    <t>536.86</t>
    <phoneticPr fontId="15" type="noConversion"/>
  </si>
  <si>
    <t>416.57</t>
    <phoneticPr fontId="15" type="noConversion"/>
  </si>
  <si>
    <t>287.52</t>
    <phoneticPr fontId="15" type="noConversion"/>
  </si>
  <si>
    <t>241.12</t>
    <phoneticPr fontId="15" type="noConversion"/>
  </si>
  <si>
    <r>
      <t>氘灯(</t>
    </r>
    <r>
      <rPr>
        <sz val="11"/>
        <color theme="1"/>
        <rFont val="宋体"/>
        <family val="3"/>
        <charset val="134"/>
        <scheme val="minor"/>
      </rPr>
      <t>656.1)</t>
    </r>
    <phoneticPr fontId="15" type="noConversion"/>
  </si>
  <si>
    <r>
      <t>氘灯(</t>
    </r>
    <r>
      <rPr>
        <sz val="11"/>
        <color theme="1"/>
        <rFont val="宋体"/>
        <family val="3"/>
        <charset val="134"/>
        <scheme val="minor"/>
      </rPr>
      <t>486.0)</t>
    </r>
    <phoneticPr fontId="15" type="noConversion"/>
  </si>
  <si>
    <t>807.4</t>
    <phoneticPr fontId="15" type="noConversion"/>
  </si>
  <si>
    <t>435.8</t>
    <phoneticPr fontId="15" type="noConversion"/>
  </si>
  <si>
    <t>钬溶液</t>
    <phoneticPr fontId="15" type="noConversion"/>
  </si>
  <si>
    <t>486</t>
    <phoneticPr fontId="15" type="noConversion"/>
  </si>
  <si>
    <t>黑挡块</t>
    <phoneticPr fontId="15" type="noConversion"/>
  </si>
  <si>
    <r>
      <t>标准值（</t>
    </r>
    <r>
      <rPr>
        <b/>
        <sz val="10.5"/>
        <color theme="1"/>
        <rFont val="Times New Roman"/>
        <family val="1"/>
      </rPr>
      <t>%</t>
    </r>
    <r>
      <rPr>
        <b/>
        <sz val="10.5"/>
        <color theme="1"/>
        <rFont val="宋体"/>
        <family val="3"/>
        <charset val="134"/>
      </rPr>
      <t>）</t>
    </r>
  </si>
  <si>
    <r>
      <t>测量值（</t>
    </r>
    <r>
      <rPr>
        <b/>
        <sz val="10.5"/>
        <color theme="1"/>
        <rFont val="Times New Roman"/>
        <family val="1"/>
      </rPr>
      <t>%</t>
    </r>
    <r>
      <rPr>
        <b/>
        <sz val="10.5"/>
        <color theme="1"/>
        <rFont val="宋体"/>
        <family val="3"/>
        <charset val="134"/>
      </rPr>
      <t>）</t>
    </r>
  </si>
  <si>
    <r>
      <t>平均值（</t>
    </r>
    <r>
      <rPr>
        <b/>
        <sz val="10.5"/>
        <color theme="1"/>
        <rFont val="Times New Roman"/>
        <family val="1"/>
      </rPr>
      <t>%</t>
    </r>
    <r>
      <rPr>
        <b/>
        <sz val="10.5"/>
        <color theme="1"/>
        <rFont val="宋体"/>
        <family val="3"/>
        <charset val="134"/>
      </rPr>
      <t>）</t>
    </r>
  </si>
  <si>
    <r>
      <t>误差值（</t>
    </r>
    <r>
      <rPr>
        <b/>
        <sz val="10.5"/>
        <color theme="1"/>
        <rFont val="Times New Roman"/>
        <family val="1"/>
      </rPr>
      <t>%</t>
    </r>
    <r>
      <rPr>
        <b/>
        <sz val="10.5"/>
        <color theme="1"/>
        <rFont val="宋体"/>
        <family val="3"/>
        <charset val="134"/>
      </rPr>
      <t>）</t>
    </r>
  </si>
  <si>
    <r>
      <t>重复性（</t>
    </r>
    <r>
      <rPr>
        <b/>
        <sz val="10.5"/>
        <color theme="1"/>
        <rFont val="Times New Roman"/>
        <family val="1"/>
      </rPr>
      <t>%</t>
    </r>
    <r>
      <rPr>
        <b/>
        <sz val="10.5"/>
        <color theme="1"/>
        <rFont val="宋体"/>
        <family val="3"/>
        <charset val="134"/>
      </rPr>
      <t>）</t>
    </r>
  </si>
  <si>
    <r>
      <t>紫外分光光度计标准物质</t>
    </r>
    <r>
      <rPr>
        <b/>
        <sz val="10.5"/>
        <color theme="1"/>
        <rFont val="Calibri"/>
        <family val="2"/>
      </rPr>
      <t>GBW(E)130066</t>
    </r>
    <phoneticPr fontId="15" type="noConversion"/>
  </si>
  <si>
    <r>
      <t>10%</t>
    </r>
    <r>
      <rPr>
        <b/>
        <sz val="10.5"/>
        <color theme="1"/>
        <rFont val="宋体"/>
        <family val="3"/>
        <charset val="134"/>
      </rPr>
      <t>中性滤光片</t>
    </r>
  </si>
  <si>
    <r>
      <t>20%</t>
    </r>
    <r>
      <rPr>
        <b/>
        <sz val="10.5"/>
        <color theme="1"/>
        <rFont val="宋体"/>
        <family val="3"/>
        <charset val="134"/>
      </rPr>
      <t>中性滤光片</t>
    </r>
  </si>
  <si>
    <r>
      <t>30%</t>
    </r>
    <r>
      <rPr>
        <b/>
        <sz val="10.5"/>
        <color theme="1"/>
        <rFont val="宋体"/>
        <family val="3"/>
        <charset val="134"/>
      </rPr>
      <t>中性滤光片</t>
    </r>
  </si>
  <si>
    <r>
      <t>特征值（</t>
    </r>
    <r>
      <rPr>
        <b/>
        <sz val="10.5"/>
        <color theme="1"/>
        <rFont val="Times New Roman"/>
        <family val="1"/>
      </rPr>
      <t>nm</t>
    </r>
    <r>
      <rPr>
        <b/>
        <sz val="10.5"/>
        <color theme="1"/>
        <rFont val="宋体"/>
        <family val="3"/>
        <charset val="134"/>
      </rPr>
      <t>）</t>
    </r>
  </si>
  <si>
    <r>
      <t>测量值（</t>
    </r>
    <r>
      <rPr>
        <b/>
        <sz val="10.5"/>
        <color theme="1"/>
        <rFont val="Times New Roman"/>
        <family val="1"/>
      </rPr>
      <t>nm</t>
    </r>
    <r>
      <rPr>
        <b/>
        <sz val="10.5"/>
        <color theme="1"/>
        <rFont val="宋体"/>
        <family val="3"/>
        <charset val="134"/>
      </rPr>
      <t>）</t>
    </r>
  </si>
  <si>
    <r>
      <t>重复性（</t>
    </r>
    <r>
      <rPr>
        <b/>
        <sz val="10.5"/>
        <color theme="1"/>
        <rFont val="Times New Roman"/>
        <family val="1"/>
      </rPr>
      <t>nm</t>
    </r>
    <r>
      <rPr>
        <b/>
        <sz val="10.5"/>
        <color theme="1"/>
        <rFont val="宋体"/>
        <family val="3"/>
        <charset val="134"/>
      </rPr>
      <t>）</t>
    </r>
  </si>
  <si>
    <r>
      <t>偏差（</t>
    </r>
    <r>
      <rPr>
        <b/>
        <sz val="10.5"/>
        <color theme="1"/>
        <rFont val="Times New Roman"/>
        <family val="1"/>
      </rPr>
      <t>%</t>
    </r>
    <r>
      <rPr>
        <b/>
        <sz val="10.5"/>
        <color theme="1"/>
        <rFont val="宋体"/>
        <family val="3"/>
        <charset val="134"/>
      </rPr>
      <t>）</t>
    </r>
  </si>
  <si>
    <t>测量值（%）</t>
    <phoneticPr fontId="15" type="noConversion"/>
  </si>
  <si>
    <t>误差范围（%）</t>
    <phoneticPr fontId="15" type="noConversion"/>
  </si>
  <si>
    <t>检测工具</t>
    <phoneticPr fontId="15" type="noConversion"/>
  </si>
  <si>
    <t>测试项</t>
    <phoneticPr fontId="15" type="noConversion"/>
  </si>
  <si>
    <t>波长示值误差与重复性校验</t>
    <phoneticPr fontId="15" type="noConversion"/>
  </si>
  <si>
    <t>361.12</t>
    <phoneticPr fontId="15" type="noConversion"/>
  </si>
  <si>
    <t>产品型号</t>
    <phoneticPr fontId="15" type="noConversion"/>
  </si>
  <si>
    <t>产品编号</t>
    <phoneticPr fontId="15" type="noConversion"/>
  </si>
  <si>
    <t>U1601</t>
    <phoneticPr fontId="15" type="noConversion"/>
  </si>
  <si>
    <t>U1602</t>
    <phoneticPr fontId="15" type="noConversion"/>
  </si>
  <si>
    <t>U1603</t>
    <phoneticPr fontId="15" type="noConversion"/>
  </si>
  <si>
    <r>
      <t>U</t>
    </r>
    <r>
      <rPr>
        <sz val="11"/>
        <color theme="1"/>
        <rFont val="宋体"/>
        <family val="3"/>
        <charset val="134"/>
        <scheme val="minor"/>
      </rPr>
      <t>1604</t>
    </r>
    <phoneticPr fontId="15" type="noConversion"/>
  </si>
  <si>
    <r>
      <t>U</t>
    </r>
    <r>
      <rPr>
        <sz val="11"/>
        <color theme="1"/>
        <rFont val="宋体"/>
        <family val="3"/>
        <charset val="134"/>
        <scheme val="minor"/>
      </rPr>
      <t>1701</t>
    </r>
    <phoneticPr fontId="15" type="noConversion"/>
  </si>
  <si>
    <r>
      <t>U</t>
    </r>
    <r>
      <rPr>
        <sz val="11"/>
        <color theme="1"/>
        <rFont val="宋体"/>
        <family val="3"/>
        <charset val="134"/>
        <scheme val="minor"/>
      </rPr>
      <t>1702</t>
    </r>
    <phoneticPr fontId="15" type="noConversion"/>
  </si>
  <si>
    <r>
      <t>U</t>
    </r>
    <r>
      <rPr>
        <sz val="11"/>
        <color theme="1"/>
        <rFont val="宋体"/>
        <family val="3"/>
        <charset val="134"/>
        <scheme val="minor"/>
      </rPr>
      <t>1703</t>
    </r>
    <phoneticPr fontId="15" type="noConversion"/>
  </si>
  <si>
    <r>
      <t>U</t>
    </r>
    <r>
      <rPr>
        <sz val="11"/>
        <color theme="1"/>
        <rFont val="宋体"/>
        <family val="3"/>
        <charset val="134"/>
        <scheme val="minor"/>
      </rPr>
      <t>1704</t>
    </r>
    <phoneticPr fontId="15" type="noConversion"/>
  </si>
  <si>
    <t>T600B</t>
    <phoneticPr fontId="15" type="noConversion"/>
  </si>
  <si>
    <r>
      <t>T</t>
    </r>
    <r>
      <rPr>
        <sz val="11"/>
        <color theme="1"/>
        <rFont val="宋体"/>
        <family val="3"/>
        <charset val="134"/>
        <scheme val="minor"/>
      </rPr>
      <t>600A</t>
    </r>
    <phoneticPr fontId="15" type="noConversion"/>
  </si>
  <si>
    <r>
      <t>T</t>
    </r>
    <r>
      <rPr>
        <sz val="11"/>
        <color theme="1"/>
        <rFont val="宋体"/>
        <family val="3"/>
        <charset val="134"/>
        <scheme val="minor"/>
      </rPr>
      <t>600S</t>
    </r>
    <phoneticPr fontId="15" type="noConversion"/>
  </si>
  <si>
    <r>
      <t>T</t>
    </r>
    <r>
      <rPr>
        <sz val="11"/>
        <color theme="1"/>
        <rFont val="宋体"/>
        <family val="3"/>
        <charset val="134"/>
        <scheme val="minor"/>
      </rPr>
      <t>600AS</t>
    </r>
    <phoneticPr fontId="15" type="noConversion"/>
  </si>
  <si>
    <r>
      <t>T</t>
    </r>
    <r>
      <rPr>
        <sz val="11"/>
        <color theme="1"/>
        <rFont val="宋体"/>
        <family val="3"/>
        <charset val="134"/>
        <scheme val="minor"/>
      </rPr>
      <t>700B</t>
    </r>
    <phoneticPr fontId="15" type="noConversion"/>
  </si>
  <si>
    <t>T700A</t>
    <phoneticPr fontId="15" type="noConversion"/>
  </si>
  <si>
    <r>
      <t>T</t>
    </r>
    <r>
      <rPr>
        <sz val="11"/>
        <color theme="1"/>
        <rFont val="宋体"/>
        <family val="3"/>
        <charset val="134"/>
        <scheme val="minor"/>
      </rPr>
      <t>700S</t>
    </r>
    <phoneticPr fontId="15" type="noConversion"/>
  </si>
  <si>
    <r>
      <t>T</t>
    </r>
    <r>
      <rPr>
        <sz val="11"/>
        <color theme="1"/>
        <rFont val="宋体"/>
        <family val="3"/>
        <charset val="134"/>
        <scheme val="minor"/>
      </rPr>
      <t>700AS</t>
    </r>
    <phoneticPr fontId="15" type="noConversion"/>
  </si>
  <si>
    <t>氘灯2.0</t>
    <phoneticPr fontId="15" type="noConversion"/>
  </si>
  <si>
    <t>标准值</t>
    <phoneticPr fontId="15" type="noConversion"/>
  </si>
  <si>
    <r>
      <t>B</t>
    </r>
    <r>
      <rPr>
        <sz val="10.5"/>
        <color theme="1"/>
        <rFont val="宋体"/>
        <family val="3"/>
        <charset val="134"/>
      </rPr>
      <t>段</t>
    </r>
  </si>
  <si>
    <r>
      <t>A</t>
    </r>
    <r>
      <rPr>
        <sz val="10.5"/>
        <color theme="1"/>
        <rFont val="宋体"/>
        <family val="3"/>
        <charset val="134"/>
      </rPr>
      <t>段</t>
    </r>
  </si>
  <si>
    <r>
      <t>10%</t>
    </r>
    <r>
      <rPr>
        <sz val="10.5"/>
        <color theme="1"/>
        <rFont val="宋体"/>
        <family val="3"/>
        <charset val="134"/>
      </rPr>
      <t>中性滤光片、</t>
    </r>
    <r>
      <rPr>
        <sz val="10.5"/>
        <color theme="1"/>
        <rFont val="Times New Roman"/>
        <family val="1"/>
      </rPr>
      <t>20%</t>
    </r>
    <r>
      <rPr>
        <sz val="10.5"/>
        <color theme="1"/>
        <rFont val="宋体"/>
        <family val="3"/>
        <charset val="134"/>
      </rPr>
      <t>中性滤光片、</t>
    </r>
    <r>
      <rPr>
        <sz val="10.5"/>
        <color theme="1"/>
        <rFont val="Times New Roman"/>
        <family val="1"/>
      </rPr>
      <t>30%</t>
    </r>
    <r>
      <rPr>
        <sz val="10.5"/>
        <color theme="1"/>
        <rFont val="宋体"/>
        <family val="3"/>
        <charset val="134"/>
      </rPr>
      <t>中性滤光片
（以标定的标准值为准）</t>
    </r>
  </si>
  <si>
    <r>
      <t>10%</t>
    </r>
    <r>
      <rPr>
        <sz val="10.5"/>
        <color theme="1"/>
        <rFont val="宋体"/>
        <family val="3"/>
        <charset val="134"/>
      </rPr>
      <t>中性滤光片</t>
    </r>
  </si>
  <si>
    <r>
      <t>标准值（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）</t>
    </r>
  </si>
  <si>
    <r>
      <t>测量值（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）</t>
    </r>
  </si>
  <si>
    <r>
      <t>20%</t>
    </r>
    <r>
      <rPr>
        <sz val="10.5"/>
        <color theme="1"/>
        <rFont val="宋体"/>
        <family val="3"/>
        <charset val="134"/>
      </rPr>
      <t>中性滤光片</t>
    </r>
  </si>
  <si>
    <r>
      <t>30%</t>
    </r>
    <r>
      <rPr>
        <sz val="10.5"/>
        <color theme="1"/>
        <rFont val="宋体"/>
        <family val="3"/>
        <charset val="134"/>
      </rPr>
      <t>中性滤光片</t>
    </r>
  </si>
  <si>
    <r>
      <t>紫外分光光度计标准物质</t>
    </r>
    <r>
      <rPr>
        <sz val="10.5"/>
        <color theme="1"/>
        <rFont val="Calibri"/>
        <family val="2"/>
      </rPr>
      <t>GBW(E)130066</t>
    </r>
  </si>
  <si>
    <r>
      <t>&lt;</t>
    </r>
    <r>
      <rPr>
        <sz val="10.5"/>
        <color theme="1"/>
        <rFont val="Times New Roman"/>
        <family val="1"/>
      </rPr>
      <t>0.01%</t>
    </r>
  </si>
  <si>
    <r>
      <t>≤</t>
    </r>
    <r>
      <rPr>
        <sz val="10.5"/>
        <color theme="1"/>
        <rFont val="Times New Roman"/>
        <family val="1"/>
      </rPr>
      <t>0.02%</t>
    </r>
  </si>
  <si>
    <r>
      <t>≤</t>
    </r>
    <r>
      <rPr>
        <sz val="10.5"/>
        <color rgb="FF000000"/>
        <rFont val="Times New Roman"/>
        <family val="1"/>
      </rPr>
      <t>±0.0005</t>
    </r>
    <r>
      <rPr>
        <sz val="10.5"/>
        <color rgb="FF000000"/>
        <rFont val="宋体"/>
        <family val="3"/>
        <charset val="134"/>
      </rPr>
      <t>（</t>
    </r>
    <r>
      <rPr>
        <sz val="10.5"/>
        <color rgb="FF000000"/>
        <rFont val="Times New Roman"/>
        <family val="1"/>
      </rPr>
      <t>2.0nm</t>
    </r>
    <r>
      <rPr>
        <sz val="10.5"/>
        <color rgb="FF000000"/>
        <rFont val="宋体"/>
        <family val="3"/>
        <charset val="134"/>
      </rPr>
      <t>光谱带宽）</t>
    </r>
  </si>
  <si>
    <r>
      <t>≤±</t>
    </r>
    <r>
      <rPr>
        <sz val="10.5"/>
        <color theme="1"/>
        <rFont val="Times New Roman"/>
        <family val="1"/>
      </rPr>
      <t>0.1%</t>
    </r>
  </si>
  <si>
    <r>
      <t>光谱带宽（</t>
    </r>
    <r>
      <rPr>
        <sz val="10.5"/>
        <color rgb="FF000000"/>
        <rFont val="Times New Roman"/>
        <family val="1"/>
      </rPr>
      <t>nm</t>
    </r>
    <r>
      <rPr>
        <sz val="10.5"/>
        <color rgb="FF000000"/>
        <rFont val="宋体"/>
        <family val="3"/>
        <charset val="134"/>
      </rPr>
      <t>）</t>
    </r>
  </si>
  <si>
    <r>
      <t>偏差（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宋体"/>
        <family val="3"/>
        <charset val="134"/>
      </rPr>
      <t>）</t>
    </r>
  </si>
  <si>
    <r>
      <t>噪声</t>
    </r>
    <r>
      <rPr>
        <sz val="10.5"/>
        <color rgb="FF000000"/>
        <rFont val="Times New Roman"/>
        <family val="1"/>
      </rPr>
      <t>500nm</t>
    </r>
  </si>
  <si>
    <r>
      <t>测量值（</t>
    </r>
    <r>
      <rPr>
        <sz val="9"/>
        <color rgb="FF000000"/>
        <rFont val="Times New Roman"/>
        <family val="1"/>
      </rPr>
      <t>%</t>
    </r>
    <r>
      <rPr>
        <sz val="9"/>
        <color rgb="FF000000"/>
        <rFont val="宋体"/>
        <family val="3"/>
        <charset val="134"/>
      </rPr>
      <t>）</t>
    </r>
  </si>
  <si>
    <r>
      <t>噪声</t>
    </r>
    <r>
      <rPr>
        <sz val="10.5"/>
        <color rgb="FF000000"/>
        <rFont val="Times New Roman"/>
        <family val="1"/>
      </rPr>
      <t>250nm</t>
    </r>
  </si>
  <si>
    <r>
      <t xml:space="preserve">500nm </t>
    </r>
    <r>
      <rPr>
        <sz val="10.5"/>
        <color theme="1"/>
        <rFont val="宋体"/>
        <family val="3"/>
        <charset val="134"/>
      </rPr>
      <t>≤</t>
    </r>
    <r>
      <rPr>
        <sz val="10.5"/>
        <color rgb="FF000000"/>
        <rFont val="Times New Roman"/>
        <family val="1"/>
      </rPr>
      <t>0.1%/h</t>
    </r>
  </si>
  <si>
    <r>
      <t>测量值（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  <scheme val="minor"/>
      </rPr>
      <t>）</t>
    </r>
  </si>
  <si>
    <r>
      <t>±</t>
    </r>
    <r>
      <rPr>
        <sz val="10.5"/>
        <color rgb="FF000000"/>
        <rFont val="Times New Roman"/>
        <family val="1"/>
      </rPr>
      <t>0.2%</t>
    </r>
  </si>
  <si>
    <r>
      <t>500nm</t>
    </r>
    <r>
      <rPr>
        <sz val="10.5"/>
        <color rgb="FF000000"/>
        <rFont val="宋体"/>
        <family val="3"/>
        <charset val="134"/>
      </rPr>
      <t>测量值（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</si>
  <si>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r>
      <t>500nm</t>
    </r>
    <r>
      <rPr>
        <sz val="10.5"/>
        <color rgb="FF000000"/>
        <rFont val="宋体"/>
        <family val="3"/>
        <charset val="134"/>
      </rPr>
      <t>处的透射比变化（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</si>
  <si>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r>
      <t>250nm</t>
    </r>
    <r>
      <rPr>
        <sz val="10.5"/>
        <color rgb="FF000000"/>
        <rFont val="宋体"/>
        <family val="3"/>
        <charset val="134"/>
      </rPr>
      <t>测量值（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</si>
  <si>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r>
      <t>250nm</t>
    </r>
    <r>
      <rPr>
        <sz val="10.5"/>
        <color rgb="FF000000"/>
        <rFont val="宋体"/>
        <family val="3"/>
        <charset val="134"/>
      </rPr>
      <t>处的透射比变化（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宋体"/>
        <family val="3"/>
        <charset val="134"/>
      </rPr>
      <t>）</t>
    </r>
  </si>
  <si>
    <r>
      <t>正常条件≤</t>
    </r>
    <r>
      <rPr>
        <sz val="10.5"/>
        <color rgb="FF000000"/>
        <rFont val="Times New Roman"/>
        <family val="1"/>
      </rPr>
      <t>0.5mA</t>
    </r>
  </si>
  <si>
    <r>
      <t>测量值（</t>
    </r>
    <r>
      <rPr>
        <sz val="10.5"/>
        <color rgb="FF000000"/>
        <rFont val="Times New Roman"/>
        <family val="1"/>
      </rPr>
      <t>mA</t>
    </r>
    <r>
      <rPr>
        <sz val="10.5"/>
        <color rgb="FF000000"/>
        <rFont val="宋体"/>
        <family val="3"/>
        <charset val="134"/>
      </rPr>
      <t>）</t>
    </r>
  </si>
  <si>
    <r>
      <t>单一故障≤</t>
    </r>
    <r>
      <rPr>
        <sz val="10.5"/>
        <color rgb="FF000000"/>
        <rFont val="Times New Roman"/>
        <family val="1"/>
      </rPr>
      <t>3.5mA</t>
    </r>
  </si>
  <si>
    <r>
      <t>≥</t>
    </r>
    <r>
      <rPr>
        <sz val="10.5"/>
        <color rgb="FF000000"/>
        <rFont val="Times New Roman"/>
        <family val="1"/>
      </rPr>
      <t>20M</t>
    </r>
    <r>
      <rPr>
        <sz val="10.5"/>
        <color rgb="FF000000"/>
        <rFont val="宋体"/>
        <family val="3"/>
        <charset val="134"/>
      </rPr>
      <t>Ω</t>
    </r>
  </si>
  <si>
    <r>
      <t>测量值（</t>
    </r>
    <r>
      <rPr>
        <sz val="9"/>
        <color rgb="FF000000"/>
        <rFont val="Times New Roman"/>
        <family val="1"/>
      </rPr>
      <t>M</t>
    </r>
    <r>
      <rPr>
        <sz val="9"/>
        <color rgb="FF000000"/>
        <rFont val="宋体"/>
        <family val="3"/>
        <charset val="134"/>
      </rPr>
      <t>Ω）</t>
    </r>
  </si>
  <si>
    <r>
      <t>合格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□</t>
    </r>
    <r>
      <rPr>
        <sz val="10.5"/>
        <color rgb="FF000000"/>
        <rFont val="Times New Roman"/>
        <family val="1"/>
      </rPr>
      <t xml:space="preserve">                 </t>
    </r>
    <r>
      <rPr>
        <sz val="10.5"/>
        <color rgb="FF000000"/>
        <rFont val="宋体"/>
        <family val="3"/>
        <charset val="134"/>
      </rPr>
      <t>不合格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宋体"/>
        <family val="3"/>
        <charset val="134"/>
      </rPr>
      <t>□</t>
    </r>
  </si>
  <si>
    <r>
      <t xml:space="preserve">
1. </t>
    </r>
    <r>
      <rPr>
        <sz val="9"/>
        <color theme="1"/>
        <rFont val="宋体"/>
        <family val="3"/>
        <charset val="134"/>
      </rPr>
      <t>本表格依据</t>
    </r>
    <r>
      <rPr>
        <sz val="9"/>
        <color theme="1"/>
        <rFont val="Times New Roman"/>
        <family val="1"/>
      </rPr>
      <t>T600T700</t>
    </r>
    <r>
      <rPr>
        <sz val="9"/>
        <color theme="1"/>
        <rFont val="宋体"/>
        <family val="3"/>
        <charset val="134"/>
      </rPr>
      <t xml:space="preserve">系列紫外可见分光光度计整机检验工艺编制；
</t>
    </r>
    <r>
      <rPr>
        <sz val="9"/>
        <color theme="1"/>
        <rFont val="Times New Roman"/>
        <family val="1"/>
      </rPr>
      <t xml:space="preserve">2. </t>
    </r>
    <r>
      <rPr>
        <sz val="9"/>
        <color theme="1"/>
        <rFont val="宋体"/>
        <family val="3"/>
        <charset val="134"/>
      </rPr>
      <t xml:space="preserve">测量结果保留的小数点位数应与指标要求的小数点位数一致；
</t>
    </r>
    <r>
      <rPr>
        <sz val="9"/>
        <color theme="1"/>
        <rFont val="Times New Roman"/>
        <family val="1"/>
      </rPr>
      <t xml:space="preserve">3. </t>
    </r>
    <r>
      <rPr>
        <sz val="9"/>
        <color theme="1"/>
        <rFont val="宋体"/>
        <family val="3"/>
        <charset val="134"/>
      </rPr>
      <t xml:space="preserve">表格中的标准值依据有效期内的标准物质证书提供的标准值为准。
</t>
    </r>
  </si>
  <si>
    <t>仪器ID</t>
    <phoneticPr fontId="15" type="noConversion"/>
  </si>
  <si>
    <t>项目编号</t>
  </si>
  <si>
    <r>
      <rPr>
        <b/>
        <sz val="11"/>
        <color theme="1"/>
        <rFont val="宋体"/>
        <family val="3"/>
        <charset val="134"/>
        <scheme val="minor"/>
      </rPr>
      <t>测量值（</t>
    </r>
    <r>
      <rPr>
        <b/>
        <sz val="10.5"/>
        <color theme="1"/>
        <rFont val="Times New Roman"/>
        <family val="1"/>
      </rPr>
      <t>nm</t>
    </r>
    <r>
      <rPr>
        <b/>
        <sz val="10.5"/>
        <color theme="1"/>
        <rFont val="宋体"/>
        <family val="3"/>
        <charset val="134"/>
      </rPr>
      <t>）</t>
    </r>
  </si>
  <si>
    <t>平均值</t>
    <phoneticPr fontId="15" type="noConversion"/>
  </si>
  <si>
    <t>检验地点</t>
  </si>
  <si>
    <t>温度</t>
  </si>
  <si>
    <t>湿度</t>
  </si>
  <si>
    <t>其他</t>
  </si>
  <si>
    <t>检测序列表</t>
  </si>
  <si>
    <t>ID</t>
  </si>
  <si>
    <t>仪器序列号</t>
  </si>
  <si>
    <t>其他信息</t>
    <phoneticPr fontId="15" type="noConversion"/>
  </si>
  <si>
    <t>T700S</t>
  </si>
  <si>
    <t>28U1703-01-0014</t>
  </si>
  <si>
    <t>重复性</t>
    <phoneticPr fontId="15" type="noConversion"/>
  </si>
  <si>
    <t>父项目编号</t>
  </si>
  <si>
    <t>父项目名称</t>
  </si>
  <si>
    <t>子项目编号</t>
  </si>
  <si>
    <t>子项目名称</t>
  </si>
  <si>
    <t>特征值</t>
    <phoneticPr fontId="15" type="noConversion"/>
  </si>
  <si>
    <t>可允许误差范围</t>
  </si>
  <si>
    <t>435.8</t>
  </si>
  <si>
    <t>钬溶液</t>
  </si>
  <si>
    <t>640.79</t>
  </si>
  <si>
    <t>536.86</t>
  </si>
  <si>
    <t>416.57</t>
  </si>
  <si>
    <t>361.12</t>
  </si>
  <si>
    <t>287.52</t>
  </si>
  <si>
    <t>241.12</t>
  </si>
  <si>
    <r>
      <rPr>
        <sz val="10.5"/>
        <color theme="1"/>
        <rFont val="宋体"/>
        <family val="3"/>
        <charset val="134"/>
      </rPr>
      <t>紫外分光光度计标准物质</t>
    </r>
    <r>
      <rPr>
        <sz val="10.5"/>
        <color theme="1"/>
        <rFont val="Calibri"/>
        <family val="2"/>
      </rPr>
      <t>GBW(E)130066</t>
    </r>
  </si>
  <si>
    <r>
      <rPr>
        <sz val="10.5"/>
        <color theme="1"/>
        <rFont val="Times New Roman"/>
        <family val="1"/>
      </rPr>
      <t>10%</t>
    </r>
    <r>
      <rPr>
        <sz val="10.5"/>
        <color theme="1"/>
        <rFont val="宋体"/>
        <family val="3"/>
        <charset val="134"/>
      </rPr>
      <t>中性滤光片</t>
    </r>
  </si>
  <si>
    <r>
      <rPr>
        <sz val="10.5"/>
        <color theme="1"/>
        <rFont val="Times New Roman"/>
        <family val="1"/>
      </rPr>
      <t>20%</t>
    </r>
    <r>
      <rPr>
        <sz val="10.5"/>
        <color theme="1"/>
        <rFont val="宋体"/>
        <family val="3"/>
        <charset val="134"/>
      </rPr>
      <t>中性滤光片</t>
    </r>
  </si>
  <si>
    <r>
      <rPr>
        <sz val="10.5"/>
        <color theme="1"/>
        <rFont val="Times New Roman"/>
        <family val="1"/>
      </rPr>
      <t>30%</t>
    </r>
    <r>
      <rPr>
        <sz val="10.5"/>
        <color theme="1"/>
        <rFont val="宋体"/>
        <family val="3"/>
        <charset val="134"/>
      </rPr>
      <t>中性滤光片</t>
    </r>
  </si>
  <si>
    <t>误差值</t>
    <phoneticPr fontId="15" type="noConversion"/>
  </si>
  <si>
    <t>父项目名称</t>
    <phoneticPr fontId="15" type="noConversion"/>
  </si>
  <si>
    <t>父项目编号</t>
    <phoneticPr fontId="15" type="noConversion"/>
  </si>
  <si>
    <t>提示</t>
    <phoneticPr fontId="15" type="noConversion"/>
  </si>
  <si>
    <t>子项目编号</t>
    <phoneticPr fontId="15" type="noConversion"/>
  </si>
  <si>
    <t>修改标准值时，该仪器对应的模板文件必须未打开，同时修改后光标要在未修改的单元格内！方可保存成功！</t>
    <phoneticPr fontId="15" type="noConversion"/>
  </si>
  <si>
    <r>
      <t>350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313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257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235</t>
    </r>
    <phoneticPr fontId="15" type="noConversion"/>
  </si>
  <si>
    <r>
      <t>28U1703-01-001</t>
    </r>
    <r>
      <rPr>
        <sz val="11"/>
        <color theme="1"/>
        <rFont val="宋体"/>
        <family val="3"/>
        <charset val="134"/>
        <scheme val="minor"/>
      </rPr>
      <t>3</t>
    </r>
    <phoneticPr fontId="15" type="noConversion"/>
  </si>
  <si>
    <r>
      <t>特征值(</t>
    </r>
    <r>
      <rPr>
        <b/>
        <sz val="10.5"/>
        <color theme="1"/>
        <rFont val="宋体"/>
        <family val="3"/>
        <charset val="134"/>
      </rPr>
      <t>nm)</t>
    </r>
    <phoneticPr fontId="15" type="noConversion"/>
  </si>
  <si>
    <r>
      <t>1</t>
    </r>
    <r>
      <rPr>
        <sz val="11"/>
        <color theme="1"/>
        <rFont val="宋体"/>
        <family val="3"/>
        <charset val="134"/>
        <scheme val="minor"/>
      </rPr>
      <t>.0</t>
    </r>
    <phoneticPr fontId="15" type="noConversion"/>
  </si>
  <si>
    <r>
      <t>2</t>
    </r>
    <r>
      <rPr>
        <sz val="11"/>
        <color theme="1"/>
        <rFont val="宋体"/>
        <family val="3"/>
        <charset val="134"/>
        <scheme val="minor"/>
      </rPr>
      <t>.0</t>
    </r>
    <phoneticPr fontId="15" type="noConversion"/>
  </si>
  <si>
    <r>
      <t>5</t>
    </r>
    <r>
      <rPr>
        <sz val="11"/>
        <color theme="1"/>
        <rFont val="宋体"/>
        <family val="3"/>
        <charset val="134"/>
        <scheme val="minor"/>
      </rPr>
      <t>.0</t>
    </r>
    <phoneticPr fontId="15" type="noConversion"/>
  </si>
  <si>
    <t>2.0</t>
  </si>
  <si>
    <t>5.0</t>
  </si>
  <si>
    <t>1.0</t>
  </si>
  <si>
    <t>2.0</t>
    <phoneticPr fontId="15" type="noConversion"/>
  </si>
  <si>
    <t>响应时间</t>
    <phoneticPr fontId="15" type="noConversion"/>
  </si>
  <si>
    <t>响应时间</t>
    <phoneticPr fontId="15" type="noConversion"/>
  </si>
  <si>
    <t>响应时间</t>
    <phoneticPr fontId="15" type="noConversion"/>
  </si>
  <si>
    <t>ResponseTime</t>
    <phoneticPr fontId="15" type="noConversion"/>
  </si>
  <si>
    <t>波长点</t>
    <phoneticPr fontId="15" type="noConversion"/>
  </si>
  <si>
    <t>指标要求</t>
    <phoneticPr fontId="15" type="noConversion"/>
  </si>
  <si>
    <t>指标要求</t>
    <phoneticPr fontId="15" type="noConversion"/>
  </si>
  <si>
    <t>指标要求</t>
    <phoneticPr fontId="15" type="noConversion"/>
  </si>
  <si>
    <t>指标要求</t>
    <phoneticPr fontId="15" type="noConversion"/>
  </si>
  <si>
    <t>汞灯</t>
    <phoneticPr fontId="15" type="noConversion"/>
  </si>
  <si>
    <t>氘灯5.0</t>
    <phoneticPr fontId="15" type="noConversion"/>
  </si>
  <si>
    <t>氘灯2.0</t>
    <phoneticPr fontId="15" type="noConversion"/>
  </si>
  <si>
    <t>氘灯1.0</t>
    <phoneticPr fontId="15" type="noConversion"/>
  </si>
  <si>
    <t>氘灯1.0</t>
    <phoneticPr fontId="15" type="noConversion"/>
  </si>
  <si>
    <t>氘灯0.5</t>
    <phoneticPr fontId="15" type="noConversion"/>
  </si>
  <si>
    <t>氘灯0.5</t>
    <phoneticPr fontId="15" type="noConversion"/>
  </si>
  <si>
    <t>氘灯0.2</t>
    <phoneticPr fontId="15" type="noConversion"/>
  </si>
  <si>
    <t>氘灯0.2</t>
    <phoneticPr fontId="15" type="noConversion"/>
  </si>
  <si>
    <t>检验工具</t>
    <phoneticPr fontId="15" type="noConversion"/>
  </si>
  <si>
    <t>结果</t>
    <phoneticPr fontId="15" type="noConversion"/>
  </si>
  <si>
    <r>
      <t>测量值</t>
    </r>
    <r>
      <rPr>
        <sz val="10.5"/>
        <color rgb="FF000000"/>
        <rFont val="Times New Roman"/>
        <family val="1"/>
      </rPr>
      <t>(nm)</t>
    </r>
    <phoneticPr fontId="15" type="noConversion"/>
  </si>
  <si>
    <t>亚硝酸钠标准溶液</t>
    <phoneticPr fontId="15" type="noConversion"/>
  </si>
  <si>
    <t>碘化钠标准溶液</t>
    <phoneticPr fontId="15" type="noConversion"/>
  </si>
  <si>
    <r>
      <t>重复性</t>
    </r>
    <r>
      <rPr>
        <sz val="10.5"/>
        <color theme="1"/>
        <rFont val="Times New Roman"/>
        <family val="1"/>
      </rPr>
      <t>(%)</t>
    </r>
    <phoneticPr fontId="15" type="noConversion"/>
  </si>
  <si>
    <r>
      <t>误差值</t>
    </r>
    <r>
      <rPr>
        <sz val="10.5"/>
        <color theme="1"/>
        <rFont val="Times New Roman"/>
        <family val="1"/>
      </rPr>
      <t>(%)</t>
    </r>
    <phoneticPr fontId="15" type="noConversion"/>
  </si>
  <si>
    <r>
      <t>平均值</t>
    </r>
    <r>
      <rPr>
        <sz val="10.5"/>
        <color theme="1"/>
        <rFont val="Times New Roman"/>
        <family val="1"/>
      </rPr>
      <t>(%)</t>
    </r>
    <phoneticPr fontId="15" type="noConversion"/>
  </si>
  <si>
    <t>透射比示值误差与</t>
  </si>
  <si>
    <t xml:space="preserve">透射比示值误差与
重复性
（紫外区）
</t>
    <phoneticPr fontId="15" type="noConversion"/>
  </si>
  <si>
    <r>
      <t>重复性</t>
    </r>
    <r>
      <rPr>
        <sz val="10.5"/>
        <color theme="1"/>
        <rFont val="Times New Roman"/>
        <family val="1"/>
      </rPr>
      <t>(%)</t>
    </r>
    <phoneticPr fontId="15" type="noConversion"/>
  </si>
  <si>
    <r>
      <t>误差值</t>
    </r>
    <r>
      <rPr>
        <sz val="10.5"/>
        <color theme="1"/>
        <rFont val="Times New Roman"/>
        <family val="1"/>
      </rPr>
      <t>(%)</t>
    </r>
    <phoneticPr fontId="15" type="noConversion"/>
  </si>
  <si>
    <r>
      <t>测量值</t>
    </r>
    <r>
      <rPr>
        <sz val="10.5"/>
        <color theme="1"/>
        <rFont val="Times New Roman"/>
        <family val="1"/>
      </rPr>
      <t>(%)</t>
    </r>
    <phoneticPr fontId="15" type="noConversion"/>
  </si>
  <si>
    <r>
      <t>标准值</t>
    </r>
    <r>
      <rPr>
        <sz val="10.5"/>
        <color theme="1"/>
        <rFont val="Times New Roman"/>
        <family val="1"/>
      </rPr>
      <t>(%)</t>
    </r>
    <phoneticPr fontId="15" type="noConversion"/>
  </si>
  <si>
    <t>透射比示值误差与重复性
(可见区）</t>
    <phoneticPr fontId="15" type="noConversion"/>
  </si>
  <si>
    <t>重复性(nm)</t>
    <phoneticPr fontId="15" type="noConversion"/>
  </si>
  <si>
    <t>误差值(nm)</t>
    <phoneticPr fontId="15" type="noConversion"/>
  </si>
  <si>
    <t>平均值(nm)</t>
    <phoneticPr fontId="15" type="noConversion"/>
  </si>
  <si>
    <t>测量值（nm）</t>
    <phoneticPr fontId="15" type="noConversion"/>
  </si>
  <si>
    <t>标准值(nm)</t>
    <phoneticPr fontId="15" type="noConversion"/>
  </si>
  <si>
    <t>钬溶液</t>
    <phoneticPr fontId="15" type="noConversion"/>
  </si>
  <si>
    <t>检测工具</t>
    <phoneticPr fontId="15" type="noConversion"/>
  </si>
  <si>
    <t xml:space="preserve">
波长示值误差
钬溶液：
±0.3nm
波长重复性
≤0.1nm </t>
    <phoneticPr fontId="15" type="noConversion"/>
  </si>
  <si>
    <t xml:space="preserve">波长示值误差与重复性
</t>
    <phoneticPr fontId="15" type="noConversion"/>
  </si>
  <si>
    <r>
      <t>误差值</t>
    </r>
    <r>
      <rPr>
        <sz val="10.5"/>
        <color theme="1"/>
        <rFont val="Times New Roman"/>
        <family val="1"/>
      </rPr>
      <t>(nm)</t>
    </r>
    <phoneticPr fontId="15" type="noConversion"/>
  </si>
  <si>
    <r>
      <t>平均值</t>
    </r>
    <r>
      <rPr>
        <sz val="10.5"/>
        <color theme="1"/>
        <rFont val="Times New Roman"/>
        <family val="1"/>
      </rPr>
      <t>(nm)</t>
    </r>
    <phoneticPr fontId="15" type="noConversion"/>
  </si>
  <si>
    <r>
      <t>测量值（</t>
    </r>
    <r>
      <rPr>
        <sz val="10.5"/>
        <color theme="1"/>
        <rFont val="Times New Roman"/>
        <family val="1"/>
      </rPr>
      <t>nm</t>
    </r>
    <r>
      <rPr>
        <sz val="10.5"/>
        <color theme="1"/>
        <rFont val="宋体"/>
        <family val="3"/>
        <charset val="134"/>
      </rPr>
      <t>）</t>
    </r>
    <phoneticPr fontId="15" type="noConversion"/>
  </si>
  <si>
    <r>
      <t>标准值</t>
    </r>
    <r>
      <rPr>
        <sz val="10.5"/>
        <color theme="1"/>
        <rFont val="Times New Roman"/>
        <family val="1"/>
      </rPr>
      <t>(nm)</t>
    </r>
    <phoneticPr fontId="15" type="noConversion"/>
  </si>
  <si>
    <t>氘灯</t>
    <phoneticPr fontId="15" type="noConversion"/>
  </si>
  <si>
    <t xml:space="preserve">
波长示值误差
氘灯：
±0.1nm
汞灯、镨钕：
±0.3nm
波长重复性
≤0.1nm 
</t>
    <phoneticPr fontId="15" type="noConversion"/>
  </si>
  <si>
    <t>波长示值误差与重复性</t>
    <phoneticPr fontId="15" type="noConversion"/>
  </si>
  <si>
    <r>
      <t>相对湿度</t>
    </r>
    <r>
      <rPr>
        <sz val="10.5"/>
        <color theme="1"/>
        <rFont val="Times New Roman"/>
        <family val="1"/>
      </rPr>
      <t>(%)</t>
    </r>
    <phoneticPr fontId="15" type="noConversion"/>
  </si>
  <si>
    <t>温度(℃)</t>
    <phoneticPr fontId="15" type="noConversion"/>
  </si>
  <si>
    <t>汞灯</t>
    <phoneticPr fontId="15" type="noConversion"/>
  </si>
  <si>
    <t>365.0,435.8,546.1</t>
    <phoneticPr fontId="15" type="noConversion"/>
  </si>
  <si>
    <t>253.7</t>
    <phoneticPr fontId="15" type="noConversion"/>
  </si>
  <si>
    <t>汞灯(253.7)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</si>
</sst>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0.0"/>
    <numFmt numFmtId="177" formatCode="0.00_);[Red]\(0.00\)"/>
    <numFmt numFmtId="178" formatCode="0.0_);[Red]\(0.0\)"/>
    <numFmt numFmtId="179" formatCode="0.00_ "/>
    <numFmt numFmtId="180" formatCode="0.000_);[Red]\(0.000\)"/>
    <numFmt numFmtId="181" formatCode="0.00000_ "/>
    <numFmt numFmtId="182" formatCode="0.000_ "/>
    <numFmt numFmtId="183" formatCode="0.0000_);[Red]\(0.0000\)"/>
    <numFmt numFmtId="184" formatCode="0.0_ "/>
    <numFmt numFmtId="185" formatCode="[$-F800]dddd\,\ mmmm\ dd\,\ yyyy"/>
    <numFmt numFmtId="186" formatCode="0.00_ ;[Red]\-0.00\ "/>
    <numFmt numFmtId="187" formatCode="0.0000_ "/>
    <numFmt numFmtId="188" formatCode="0.000_ ;[Red]\-0.000\ "/>
  </numFmts>
  <fonts count="35" x14ac:knownFonts="1">
    <font>
      <sz val="11"/>
      <color theme="1"/>
      <name val="宋体"/>
      <charset val="134"/>
      <scheme val="minor"/>
    </font>
    <font>
      <b/>
      <sz val="10.5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b/>
      <sz val="10.5"/>
      <color rgb="FF000000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sz val="10.5"/>
      <color rgb="FF000000"/>
      <name val="宋体"/>
      <family val="3"/>
      <charset val="134"/>
      <scheme val="minor"/>
    </font>
    <font>
      <b/>
      <sz val="10.5"/>
      <color theme="1"/>
      <name val="Times New Roman"/>
      <family val="1"/>
    </font>
    <font>
      <sz val="16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4"/>
      <color theme="1"/>
      <name val="黑体"/>
      <family val="3"/>
      <charset val="134"/>
    </font>
    <font>
      <sz val="10.5"/>
      <color theme="1"/>
      <name val="Times New Roman"/>
      <family val="1"/>
    </font>
    <font>
      <b/>
      <sz val="10.5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.5"/>
      <color rgb="FF000000"/>
      <name val="宋体"/>
      <family val="3"/>
      <charset val="134"/>
      <scheme val="minor"/>
    </font>
    <font>
      <b/>
      <sz val="10.5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.5"/>
      <color theme="1"/>
      <name val="黑体"/>
      <family val="3"/>
      <charset val="134"/>
    </font>
    <font>
      <sz val="10.5"/>
      <color theme="1"/>
      <name val="Calibri"/>
      <family val="2"/>
    </font>
    <font>
      <sz val="10.5"/>
      <color rgb="FF000000"/>
      <name val="宋体"/>
      <family val="3"/>
      <charset val="134"/>
    </font>
    <font>
      <sz val="10.5"/>
      <color rgb="FF000000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2"/>
      <color theme="1"/>
      <name val="宋体"/>
      <family val="3"/>
      <charset val="134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11"/>
      <color theme="1"/>
      <name val="宋体"/>
      <family val="2"/>
      <scheme val="minor"/>
    </font>
    <font>
      <sz val="12"/>
      <color theme="1"/>
      <name val="黑体"/>
      <family val="3"/>
      <charset val="134"/>
    </font>
    <font>
      <sz val="16"/>
      <color theme="1"/>
      <name val="黑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6" fillId="0" borderId="0"/>
    <xf numFmtId="0" fontId="32" fillId="0" borderId="0"/>
  </cellStyleXfs>
  <cellXfs count="29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/>
    <xf numFmtId="0" fontId="1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79" fontId="0" fillId="0" borderId="1" xfId="0" applyNumberFormat="1" applyBorder="1"/>
    <xf numFmtId="179" fontId="6" fillId="0" borderId="1" xfId="0" applyNumberFormat="1" applyFont="1" applyBorder="1" applyAlignment="1">
      <alignment vertical="center" wrapText="1"/>
    </xf>
    <xf numFmtId="179" fontId="0" fillId="0" borderId="0" xfId="0" applyNumberFormat="1"/>
    <xf numFmtId="0" fontId="0" fillId="0" borderId="1" xfId="0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179" fontId="2" fillId="0" borderId="0" xfId="0" applyNumberFormat="1" applyFont="1"/>
    <xf numFmtId="0" fontId="16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177" fontId="6" fillId="0" borderId="0" xfId="0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81" fontId="1" fillId="2" borderId="1" xfId="0" applyNumberFormat="1" applyFont="1" applyFill="1" applyBorder="1" applyAlignment="1">
      <alignment horizontal="center" vertical="center" wrapText="1"/>
    </xf>
    <xf numFmtId="181" fontId="2" fillId="0" borderId="0" xfId="0" applyNumberFormat="1" applyFont="1"/>
    <xf numFmtId="181" fontId="0" fillId="0" borderId="0" xfId="0" applyNumberFormat="1"/>
    <xf numFmtId="177" fontId="18" fillId="2" borderId="1" xfId="0" applyNumberFormat="1" applyFont="1" applyFill="1" applyBorder="1" applyAlignment="1">
      <alignment horizontal="center" vertical="center" wrapText="1"/>
    </xf>
    <xf numFmtId="0" fontId="19" fillId="0" borderId="0" xfId="0" applyFont="1"/>
    <xf numFmtId="177" fontId="19" fillId="0" borderId="1" xfId="0" applyNumberFormat="1" applyFont="1" applyBorder="1"/>
    <xf numFmtId="0" fontId="19" fillId="0" borderId="1" xfId="0" applyFont="1" applyBorder="1"/>
    <xf numFmtId="179" fontId="19" fillId="0" borderId="1" xfId="0" applyNumberFormat="1" applyFont="1" applyBorder="1"/>
    <xf numFmtId="0" fontId="19" fillId="0" borderId="0" xfId="0" applyFont="1" applyAlignment="1">
      <alignment horizontal="center"/>
    </xf>
    <xf numFmtId="177" fontId="19" fillId="0" borderId="0" xfId="0" applyNumberFormat="1" applyFont="1"/>
    <xf numFmtId="179" fontId="19" fillId="0" borderId="0" xfId="0" applyNumberFormat="1" applyFont="1"/>
    <xf numFmtId="0" fontId="18" fillId="2" borderId="6" xfId="0" applyFont="1" applyFill="1" applyBorder="1" applyAlignment="1">
      <alignment horizontal="center" vertical="center" wrapText="1"/>
    </xf>
    <xf numFmtId="178" fontId="19" fillId="0" borderId="0" xfId="0" applyNumberFormat="1" applyFont="1"/>
    <xf numFmtId="177" fontId="19" fillId="0" borderId="1" xfId="0" applyNumberFormat="1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11" fontId="19" fillId="0" borderId="0" xfId="0" applyNumberFormat="1" applyFont="1"/>
    <xf numFmtId="0" fontId="19" fillId="0" borderId="0" xfId="0" applyNumberFormat="1" applyFont="1"/>
    <xf numFmtId="49" fontId="19" fillId="0" borderId="0" xfId="0" applyNumberFormat="1" applyFont="1"/>
    <xf numFmtId="177" fontId="19" fillId="0" borderId="0" xfId="0" applyNumberFormat="1" applyFont="1" applyBorder="1" applyAlignment="1">
      <alignment horizontal="center"/>
    </xf>
    <xf numFmtId="49" fontId="19" fillId="0" borderId="0" xfId="0" applyNumberFormat="1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21" fillId="0" borderId="0" xfId="0" applyFont="1"/>
    <xf numFmtId="180" fontId="19" fillId="0" borderId="0" xfId="0" applyNumberFormat="1" applyFont="1"/>
    <xf numFmtId="179" fontId="18" fillId="2" borderId="1" xfId="0" applyNumberFormat="1" applyFont="1" applyFill="1" applyBorder="1" applyAlignment="1">
      <alignment horizontal="center" vertical="center" wrapText="1"/>
    </xf>
    <xf numFmtId="179" fontId="19" fillId="0" borderId="1" xfId="0" applyNumberFormat="1" applyFont="1" applyBorder="1" applyAlignment="1">
      <alignment horizontal="center"/>
    </xf>
    <xf numFmtId="179" fontId="19" fillId="0" borderId="0" xfId="0" applyNumberFormat="1" applyFont="1" applyAlignment="1">
      <alignment horizontal="center"/>
    </xf>
    <xf numFmtId="178" fontId="1" fillId="2" borderId="1" xfId="0" applyNumberFormat="1" applyFont="1" applyFill="1" applyBorder="1" applyAlignment="1">
      <alignment horizontal="center" vertical="center" wrapText="1"/>
    </xf>
    <xf numFmtId="178" fontId="0" fillId="0" borderId="0" xfId="0" applyNumberFormat="1"/>
    <xf numFmtId="177" fontId="1" fillId="0" borderId="1" xfId="0" applyNumberFormat="1" applyFont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0" fontId="0" fillId="0" borderId="0" xfId="0" applyNumberFormat="1"/>
    <xf numFmtId="182" fontId="1" fillId="2" borderId="1" xfId="0" applyNumberFormat="1" applyFont="1" applyFill="1" applyBorder="1" applyAlignment="1">
      <alignment vertical="center" wrapText="1"/>
    </xf>
    <xf numFmtId="182" fontId="0" fillId="0" borderId="1" xfId="0" applyNumberFormat="1" applyBorder="1" applyAlignment="1"/>
    <xf numFmtId="182" fontId="0" fillId="0" borderId="0" xfId="0" applyNumberFormat="1"/>
    <xf numFmtId="177" fontId="1" fillId="2" borderId="1" xfId="0" applyNumberFormat="1" applyFont="1" applyFill="1" applyBorder="1" applyAlignment="1">
      <alignment vertical="center" wrapText="1"/>
    </xf>
    <xf numFmtId="177" fontId="0" fillId="0" borderId="0" xfId="0" applyNumberFormat="1"/>
    <xf numFmtId="182" fontId="1" fillId="2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1" fontId="19" fillId="0" borderId="1" xfId="0" applyNumberFormat="1" applyFont="1" applyBorder="1"/>
    <xf numFmtId="178" fontId="19" fillId="0" borderId="1" xfId="0" applyNumberFormat="1" applyFont="1" applyBorder="1"/>
    <xf numFmtId="179" fontId="19" fillId="0" borderId="1" xfId="0" applyNumberFormat="1" applyFont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8" fontId="18" fillId="2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19" fillId="0" borderId="0" xfId="0" applyNumberFormat="1" applyFont="1" applyAlignment="1">
      <alignment horizontal="center"/>
    </xf>
    <xf numFmtId="179" fontId="18" fillId="0" borderId="2" xfId="0" applyNumberFormat="1" applyFont="1" applyBorder="1" applyAlignment="1">
      <alignment horizontal="center" vertical="center" wrapText="1"/>
    </xf>
    <xf numFmtId="179" fontId="18" fillId="0" borderId="1" xfId="0" applyNumberFormat="1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3" fontId="16" fillId="0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5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183" fontId="19" fillId="0" borderId="1" xfId="0" applyNumberFormat="1" applyFont="1" applyBorder="1"/>
    <xf numFmtId="0" fontId="16" fillId="0" borderId="0" xfId="1"/>
    <xf numFmtId="0" fontId="16" fillId="0" borderId="0" xfId="1" applyAlignment="1">
      <alignment horizontal="center"/>
    </xf>
    <xf numFmtId="0" fontId="16" fillId="0" borderId="0" xfId="1" applyFill="1" applyBorder="1"/>
    <xf numFmtId="185" fontId="16" fillId="0" borderId="0" xfId="1" applyNumberFormat="1"/>
    <xf numFmtId="0" fontId="4" fillId="3" borderId="1" xfId="1" applyFont="1" applyFill="1" applyBorder="1" applyAlignment="1">
      <alignment horizontal="left" vertical="center"/>
    </xf>
    <xf numFmtId="0" fontId="4" fillId="3" borderId="1" xfId="1" applyFont="1" applyFill="1" applyBorder="1"/>
    <xf numFmtId="0" fontId="0" fillId="3" borderId="1" xfId="1" applyFont="1" applyFill="1" applyBorder="1" applyAlignment="1">
      <alignment horizontal="left"/>
    </xf>
    <xf numFmtId="0" fontId="0" fillId="3" borderId="1" xfId="1" applyFont="1" applyFill="1" applyBorder="1" applyAlignment="1">
      <alignment horizontal="left" vertical="center"/>
    </xf>
    <xf numFmtId="0" fontId="16" fillId="0" borderId="1" xfId="1" applyBorder="1"/>
    <xf numFmtId="0" fontId="4" fillId="0" borderId="1" xfId="1" applyFont="1" applyBorder="1"/>
    <xf numFmtId="0" fontId="0" fillId="3" borderId="1" xfId="2" applyFont="1" applyFill="1" applyBorder="1" applyAlignment="1">
      <alignment horizontal="left" vertical="center"/>
    </xf>
    <xf numFmtId="0" fontId="0" fillId="5" borderId="1" xfId="1" applyFont="1" applyFill="1" applyBorder="1" applyAlignment="1">
      <alignment horizontal="center"/>
    </xf>
    <xf numFmtId="0" fontId="9" fillId="5" borderId="1" xfId="2" applyFont="1" applyFill="1" applyBorder="1" applyAlignment="1">
      <alignment horizontal="center" vertical="center" wrapText="1"/>
    </xf>
    <xf numFmtId="49" fontId="13" fillId="5" borderId="1" xfId="2" applyNumberFormat="1" applyFont="1" applyFill="1" applyBorder="1" applyAlignment="1">
      <alignment horizontal="center" vertical="center" wrapText="1"/>
    </xf>
    <xf numFmtId="177" fontId="0" fillId="5" borderId="1" xfId="2" applyNumberFormat="1" applyFont="1" applyFill="1" applyBorder="1" applyAlignment="1">
      <alignment horizontal="center"/>
    </xf>
    <xf numFmtId="49" fontId="0" fillId="5" borderId="1" xfId="2" applyNumberFormat="1" applyFont="1" applyFill="1" applyBorder="1" applyAlignment="1">
      <alignment horizontal="center"/>
    </xf>
    <xf numFmtId="0" fontId="13" fillId="5" borderId="1" xfId="2" applyFont="1" applyFill="1" applyBorder="1" applyAlignment="1">
      <alignment horizontal="center" vertical="center" wrapText="1"/>
    </xf>
    <xf numFmtId="0" fontId="0" fillId="5" borderId="1" xfId="2" applyFont="1" applyFill="1" applyBorder="1" applyAlignment="1">
      <alignment horizontal="center"/>
    </xf>
    <xf numFmtId="0" fontId="25" fillId="5" borderId="1" xfId="2" applyFont="1" applyFill="1" applyBorder="1" applyAlignment="1">
      <alignment horizontal="center" vertical="center" wrapText="1"/>
    </xf>
    <xf numFmtId="0" fontId="27" fillId="5" borderId="1" xfId="2" applyFont="1" applyFill="1" applyBorder="1" applyAlignment="1">
      <alignment horizontal="center" vertical="center" wrapText="1"/>
    </xf>
    <xf numFmtId="177" fontId="27" fillId="5" borderId="1" xfId="2" applyNumberFormat="1" applyFont="1" applyFill="1" applyBorder="1" applyAlignment="1">
      <alignment horizontal="center" vertical="center" wrapText="1"/>
    </xf>
    <xf numFmtId="183" fontId="0" fillId="5" borderId="1" xfId="2" applyNumberFormat="1" applyFont="1" applyFill="1" applyBorder="1" applyAlignment="1">
      <alignment horizontal="center"/>
    </xf>
    <xf numFmtId="178" fontId="0" fillId="5" borderId="1" xfId="2" applyNumberFormat="1" applyFont="1" applyFill="1" applyBorder="1" applyAlignment="1">
      <alignment horizontal="center"/>
    </xf>
    <xf numFmtId="179" fontId="9" fillId="5" borderId="1" xfId="2" applyNumberFormat="1" applyFont="1" applyFill="1" applyBorder="1" applyAlignment="1">
      <alignment horizontal="center" vertical="center" wrapText="1"/>
    </xf>
    <xf numFmtId="176" fontId="27" fillId="5" borderId="1" xfId="2" applyNumberFormat="1" applyFont="1" applyFill="1" applyBorder="1" applyAlignment="1">
      <alignment horizontal="center" vertical="center" wrapText="1"/>
    </xf>
    <xf numFmtId="177" fontId="9" fillId="5" borderId="1" xfId="2" applyNumberFormat="1" applyFont="1" applyFill="1" applyBorder="1" applyAlignment="1">
      <alignment horizontal="center" vertical="center" wrapText="1"/>
    </xf>
    <xf numFmtId="180" fontId="9" fillId="5" borderId="1" xfId="2" applyNumberFormat="1" applyFont="1" applyFill="1" applyBorder="1" applyAlignment="1">
      <alignment horizontal="center" vertical="center" wrapText="1"/>
    </xf>
    <xf numFmtId="178" fontId="9" fillId="5" borderId="1" xfId="2" applyNumberFormat="1" applyFont="1" applyFill="1" applyBorder="1" applyAlignment="1">
      <alignment horizontal="center" vertical="center" wrapText="1"/>
    </xf>
    <xf numFmtId="0" fontId="0" fillId="5" borderId="1" xfId="1" applyFont="1" applyFill="1" applyBorder="1" applyAlignment="1">
      <alignment horizontal="center" vertical="center"/>
    </xf>
    <xf numFmtId="0" fontId="0" fillId="5" borderId="1" xfId="2" applyFont="1" applyFill="1" applyBorder="1" applyAlignment="1">
      <alignment horizontal="center" vertical="center"/>
    </xf>
    <xf numFmtId="178" fontId="0" fillId="5" borderId="1" xfId="2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0" fontId="0" fillId="0" borderId="0" xfId="1" applyFont="1" applyBorder="1" applyAlignment="1">
      <alignment horizontal="left"/>
    </xf>
    <xf numFmtId="185" fontId="0" fillId="0" borderId="0" xfId="1" applyNumberFormat="1" applyFont="1" applyBorder="1" applyAlignment="1">
      <alignment horizontal="left"/>
    </xf>
    <xf numFmtId="185" fontId="16" fillId="0" borderId="0" xfId="1" applyNumberFormat="1" applyBorder="1"/>
    <xf numFmtId="0" fontId="4" fillId="5" borderId="1" xfId="1" applyFont="1" applyFill="1" applyBorder="1" applyAlignment="1">
      <alignment horizontal="center"/>
    </xf>
    <xf numFmtId="0" fontId="4" fillId="5" borderId="1" xfId="2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0" fontId="1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22" fontId="0" fillId="0" borderId="1" xfId="0" applyNumberFormat="1" applyFill="1" applyBorder="1" applyAlignment="1">
      <alignment horizontal="left"/>
    </xf>
    <xf numFmtId="0" fontId="16" fillId="0" borderId="1" xfId="0" quotePrefix="1" applyFont="1" applyFill="1" applyBorder="1" applyAlignment="1">
      <alignment horizontal="left"/>
    </xf>
    <xf numFmtId="0" fontId="0" fillId="0" borderId="1" xfId="0" applyFont="1" applyFill="1" applyBorder="1" applyAlignment="1">
      <alignment horizontal="center"/>
    </xf>
    <xf numFmtId="0" fontId="4" fillId="6" borderId="1" xfId="1" applyFont="1" applyFill="1" applyBorder="1" applyAlignment="1">
      <alignment horizontal="left"/>
    </xf>
    <xf numFmtId="0" fontId="4" fillId="6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center" vertical="center"/>
    </xf>
    <xf numFmtId="185" fontId="4" fillId="6" borderId="1" xfId="1" applyNumberFormat="1" applyFont="1" applyFill="1" applyBorder="1" applyAlignment="1">
      <alignment horizontal="left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8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186" fontId="18" fillId="2" borderId="1" xfId="0" applyNumberFormat="1" applyFont="1" applyFill="1" applyBorder="1" applyAlignment="1">
      <alignment horizontal="center" vertical="center" wrapText="1"/>
    </xf>
    <xf numFmtId="186" fontId="19" fillId="0" borderId="1" xfId="0" applyNumberFormat="1" applyFont="1" applyBorder="1" applyAlignment="1">
      <alignment horizontal="center"/>
    </xf>
    <xf numFmtId="186" fontId="19" fillId="0" borderId="0" xfId="0" applyNumberFormat="1" applyFont="1" applyBorder="1" applyAlignment="1">
      <alignment horizontal="center"/>
    </xf>
    <xf numFmtId="186" fontId="19" fillId="0" borderId="0" xfId="0" applyNumberFormat="1" applyFont="1"/>
    <xf numFmtId="186" fontId="18" fillId="0" borderId="1" xfId="0" applyNumberFormat="1" applyFont="1" applyBorder="1" applyAlignment="1">
      <alignment vertical="center" wrapText="1"/>
    </xf>
    <xf numFmtId="187" fontId="0" fillId="0" borderId="1" xfId="0" applyNumberFormat="1" applyBorder="1" applyAlignment="1"/>
    <xf numFmtId="182" fontId="0" fillId="0" borderId="1" xfId="0" applyNumberFormat="1" applyBorder="1"/>
    <xf numFmtId="49" fontId="8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77" fontId="0" fillId="0" borderId="1" xfId="0" applyNumberFormat="1" applyFill="1" applyBorder="1" applyAlignment="1">
      <alignment horizontal="left"/>
    </xf>
    <xf numFmtId="0" fontId="16" fillId="3" borderId="1" xfId="1" applyFont="1" applyFill="1" applyBorder="1" applyAlignment="1">
      <alignment horizontal="left"/>
    </xf>
    <xf numFmtId="49" fontId="16" fillId="0" borderId="0" xfId="0" applyNumberFormat="1" applyFont="1" applyAlignment="1">
      <alignment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177" fontId="1" fillId="2" borderId="1" xfId="0" applyNumberFormat="1" applyFont="1" applyFill="1" applyBorder="1" applyAlignment="1">
      <alignment horizontal="center" vertical="center" wrapText="1"/>
    </xf>
    <xf numFmtId="182" fontId="19" fillId="0" borderId="1" xfId="0" applyNumberFormat="1" applyFont="1" applyBorder="1" applyAlignment="1">
      <alignment horizontal="center"/>
    </xf>
    <xf numFmtId="188" fontId="19" fillId="0" borderId="1" xfId="0" applyNumberFormat="1" applyFont="1" applyBorder="1"/>
    <xf numFmtId="0" fontId="16" fillId="0" borderId="0" xfId="1" applyBorder="1"/>
    <xf numFmtId="0" fontId="16" fillId="3" borderId="0" xfId="1" applyFill="1"/>
    <xf numFmtId="0" fontId="24" fillId="0" borderId="1" xfId="1" applyFont="1" applyBorder="1" applyAlignment="1">
      <alignment horizontal="center" vertical="center" wrapText="1"/>
    </xf>
    <xf numFmtId="0" fontId="27" fillId="0" borderId="1" xfId="1" applyFont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27" fillId="0" borderId="1" xfId="1" applyFont="1" applyBorder="1" applyAlignment="1">
      <alignment vertical="center" wrapText="1"/>
    </xf>
    <xf numFmtId="0" fontId="16" fillId="0" borderId="1" xfId="1" applyFont="1" applyBorder="1" applyAlignment="1"/>
    <xf numFmtId="0" fontId="13" fillId="0" borderId="1" xfId="1" applyFont="1" applyBorder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179" fontId="9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9" fontId="13" fillId="0" borderId="1" xfId="1" applyNumberFormat="1" applyFont="1" applyBorder="1" applyAlignment="1">
      <alignment vertical="center" wrapText="1"/>
    </xf>
    <xf numFmtId="182" fontId="9" fillId="0" borderId="1" xfId="1" applyNumberFormat="1" applyFont="1" applyBorder="1" applyAlignment="1">
      <alignment horizontal="center" vertical="center" wrapText="1"/>
    </xf>
    <xf numFmtId="184" fontId="27" fillId="0" borderId="1" xfId="1" applyNumberFormat="1" applyFont="1" applyBorder="1" applyAlignment="1">
      <alignment horizontal="center" vertical="center" wrapText="1"/>
    </xf>
    <xf numFmtId="182" fontId="27" fillId="0" borderId="1" xfId="1" applyNumberFormat="1" applyFont="1" applyBorder="1" applyAlignment="1">
      <alignment horizontal="center" vertical="center" wrapText="1"/>
    </xf>
    <xf numFmtId="176" fontId="27" fillId="0" borderId="1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0" fontId="27" fillId="0" borderId="1" xfId="1" applyFont="1" applyBorder="1" applyAlignment="1">
      <alignment vertical="center"/>
    </xf>
    <xf numFmtId="186" fontId="13" fillId="0" borderId="1" xfId="1" applyNumberFormat="1" applyFont="1" applyBorder="1" applyAlignment="1">
      <alignment horizontal="center" vertical="center" wrapText="1"/>
    </xf>
    <xf numFmtId="179" fontId="13" fillId="0" borderId="1" xfId="1" applyNumberFormat="1" applyFont="1" applyBorder="1" applyAlignment="1">
      <alignment horizontal="center" vertical="center" wrapText="1"/>
    </xf>
    <xf numFmtId="177" fontId="13" fillId="0" borderId="1" xfId="1" applyNumberFormat="1" applyFont="1" applyBorder="1" applyAlignment="1">
      <alignment horizontal="center" vertical="center" wrapText="1"/>
    </xf>
    <xf numFmtId="177" fontId="9" fillId="0" borderId="1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79" fontId="13" fillId="0" borderId="1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79" fontId="9" fillId="0" borderId="1" xfId="1" applyNumberFormat="1" applyFont="1" applyBorder="1" applyAlignment="1">
      <alignment horizontal="center" vertical="center" wrapText="1"/>
    </xf>
    <xf numFmtId="177" fontId="13" fillId="0" borderId="1" xfId="1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/>
    </xf>
    <xf numFmtId="0" fontId="34" fillId="0" borderId="1" xfId="1" applyFont="1" applyBorder="1" applyAlignment="1">
      <alignment horizontal="center" vertical="center" wrapText="1"/>
    </xf>
    <xf numFmtId="0" fontId="33" fillId="0" borderId="1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33" fillId="0" borderId="1" xfId="1" applyFont="1" applyBorder="1" applyAlignment="1">
      <alignment horizontal="center" vertical="center"/>
    </xf>
    <xf numFmtId="179" fontId="13" fillId="3" borderId="1" xfId="1" applyNumberFormat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 wrapText="1"/>
    </xf>
    <xf numFmtId="177" fontId="13" fillId="3" borderId="1" xfId="1" applyNumberFormat="1" applyFont="1" applyFill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0" fontId="26" fillId="0" borderId="1" xfId="1" applyFont="1" applyBorder="1" applyAlignment="1">
      <alignment horizontal="center" vertical="center" wrapText="1"/>
    </xf>
    <xf numFmtId="179" fontId="24" fillId="0" borderId="1" xfId="1" applyNumberFormat="1" applyFont="1" applyBorder="1" applyAlignment="1">
      <alignment horizontal="center" vertical="center" wrapText="1"/>
    </xf>
    <xf numFmtId="182" fontId="27" fillId="0" borderId="1" xfId="1" applyNumberFormat="1" applyFont="1" applyBorder="1" applyAlignment="1">
      <alignment horizontal="center" vertical="center" wrapText="1"/>
    </xf>
    <xf numFmtId="184" fontId="27" fillId="0" borderId="1" xfId="1" applyNumberFormat="1" applyFont="1" applyBorder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9" fontId="27" fillId="0" borderId="1" xfId="1" applyNumberFormat="1" applyFont="1" applyBorder="1" applyAlignment="1">
      <alignment horizontal="center" vertical="center" wrapText="1"/>
    </xf>
    <xf numFmtId="176" fontId="27" fillId="0" borderId="1" xfId="1" applyNumberFormat="1" applyFont="1" applyBorder="1" applyAlignment="1">
      <alignment horizontal="center" vertical="center" wrapText="1"/>
    </xf>
    <xf numFmtId="0" fontId="24" fillId="0" borderId="11" xfId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/>
    </xf>
    <xf numFmtId="0" fontId="24" fillId="0" borderId="13" xfId="1" applyFont="1" applyBorder="1" applyAlignment="1">
      <alignment horizontal="center" vertical="center" wrapText="1"/>
    </xf>
    <xf numFmtId="0" fontId="24" fillId="0" borderId="9" xfId="1" applyFont="1" applyBorder="1" applyAlignment="1">
      <alignment horizontal="center" vertical="center" wrapText="1"/>
    </xf>
    <xf numFmtId="0" fontId="24" fillId="0" borderId="12" xfId="1" applyFont="1" applyBorder="1" applyAlignment="1">
      <alignment horizontal="center" vertical="center" wrapText="1"/>
    </xf>
    <xf numFmtId="0" fontId="24" fillId="0" borderId="10" xfId="1" applyFont="1" applyBorder="1" applyAlignment="1">
      <alignment horizontal="center" vertical="center" wrapText="1"/>
    </xf>
    <xf numFmtId="184" fontId="27" fillId="0" borderId="3" xfId="1" applyNumberFormat="1" applyFont="1" applyBorder="1" applyAlignment="1">
      <alignment horizontal="center" vertical="center" wrapText="1"/>
    </xf>
    <xf numFmtId="184" fontId="27" fillId="0" borderId="5" xfId="1" applyNumberFormat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/>
    </xf>
    <xf numFmtId="0" fontId="27" fillId="0" borderId="1" xfId="1" applyFont="1" applyBorder="1" applyAlignment="1">
      <alignment horizontal="center" vertical="center" wrapText="1"/>
    </xf>
    <xf numFmtId="0" fontId="28" fillId="0" borderId="1" xfId="1" applyFont="1" applyBorder="1" applyAlignment="1">
      <alignment horizontal="justify" vertical="center" wrapText="1"/>
    </xf>
    <xf numFmtId="0" fontId="24" fillId="0" borderId="1" xfId="1" applyFont="1" applyBorder="1" applyAlignment="1">
      <alignment horizontal="justify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30" fillId="0" borderId="1" xfId="1" applyFont="1" applyBorder="1" applyAlignment="1">
      <alignment horizontal="left" vertical="center" wrapText="1"/>
    </xf>
    <xf numFmtId="0" fontId="13" fillId="0" borderId="1" xfId="1" applyFont="1" applyBorder="1" applyAlignment="1">
      <alignment vertical="center" wrapText="1"/>
    </xf>
    <xf numFmtId="0" fontId="12" fillId="0" borderId="1" xfId="1" applyFont="1" applyBorder="1" applyAlignment="1">
      <alignment horizontal="center" vertical="center" wrapText="1"/>
    </xf>
    <xf numFmtId="186" fontId="13" fillId="0" borderId="1" xfId="1" applyNumberFormat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181" fontId="24" fillId="0" borderId="1" xfId="1" applyNumberFormat="1" applyFont="1" applyBorder="1" applyAlignment="1">
      <alignment horizontal="center" vertical="center" wrapText="1"/>
    </xf>
    <xf numFmtId="0" fontId="16" fillId="0" borderId="3" xfId="1" applyBorder="1" applyAlignment="1">
      <alignment horizontal="center"/>
    </xf>
    <xf numFmtId="0" fontId="16" fillId="0" borderId="4" xfId="1" applyBorder="1" applyAlignment="1">
      <alignment horizontal="center"/>
    </xf>
    <xf numFmtId="0" fontId="16" fillId="0" borderId="5" xfId="1" applyBorder="1" applyAlignment="1">
      <alignment horizontal="center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179" fontId="18" fillId="2" borderId="3" xfId="0" applyNumberFormat="1" applyFont="1" applyFill="1" applyBorder="1" applyAlignment="1">
      <alignment horizontal="center" vertical="center" wrapText="1"/>
    </xf>
    <xf numFmtId="179" fontId="18" fillId="2" borderId="4" xfId="0" applyNumberFormat="1" applyFont="1" applyFill="1" applyBorder="1" applyAlignment="1">
      <alignment horizontal="center" vertical="center" wrapText="1"/>
    </xf>
    <xf numFmtId="179" fontId="18" fillId="2" borderId="5" xfId="0" applyNumberFormat="1" applyFont="1" applyFill="1" applyBorder="1" applyAlignment="1">
      <alignment horizontal="center" vertical="center" wrapText="1"/>
    </xf>
    <xf numFmtId="180" fontId="18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3">
    <cellStyle name="常规" xfId="0" builtinId="0"/>
    <cellStyle name="常规 2" xfId="1"/>
    <cellStyle name="常规 3" xfId="2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</xdr:colOff>
      <xdr:row>1</xdr:row>
      <xdr:rowOff>53788</xdr:rowOff>
    </xdr:from>
    <xdr:to>
      <xdr:col>2</xdr:col>
      <xdr:colOff>859971</xdr:colOff>
      <xdr:row>3</xdr:row>
      <xdr:rowOff>197224</xdr:rowOff>
    </xdr:to>
    <xdr:pic>
      <xdr:nvPicPr>
        <xdr:cNvPr id="2" name="图片 1" descr="新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54" r="3841"/>
        <a:stretch>
          <a:fillRect/>
        </a:stretch>
      </xdr:blipFill>
      <xdr:spPr>
        <a:xfrm>
          <a:off x="626184" y="236668"/>
          <a:ext cx="1224387" cy="493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9"/>
  <sheetViews>
    <sheetView topLeftCell="A37" zoomScale="70" zoomScaleNormal="70" workbookViewId="0">
      <selection activeCell="X60" sqref="X60"/>
    </sheetView>
  </sheetViews>
  <sheetFormatPr defaultColWidth="9" defaultRowHeight="14.4" x14ac:dyDescent="0.25"/>
  <cols>
    <col min="1" max="1" width="8" style="193" customWidth="1"/>
    <col min="2" max="2" width="5.33203125" style="111" customWidth="1"/>
    <col min="3" max="3" width="13.77734375" style="111" customWidth="1"/>
    <col min="4" max="4" width="8.109375" style="111" customWidth="1"/>
    <col min="5" max="5" width="8.44140625" style="111" customWidth="1"/>
    <col min="6" max="6" width="8.5546875" style="111" customWidth="1"/>
    <col min="7" max="7" width="3.33203125" style="111" customWidth="1"/>
    <col min="8" max="8" width="3.44140625" style="111" customWidth="1"/>
    <col min="9" max="9" width="7.109375" style="111" customWidth="1"/>
    <col min="10" max="10" width="1" style="111" customWidth="1"/>
    <col min="11" max="11" width="6.77734375" style="111" customWidth="1"/>
    <col min="12" max="12" width="7.44140625" style="111" customWidth="1"/>
    <col min="13" max="13" width="6.88671875" style="111" customWidth="1"/>
    <col min="14" max="14" width="8.44140625" style="111" customWidth="1"/>
    <col min="15" max="15" width="6.77734375" style="111" customWidth="1"/>
    <col min="16" max="16" width="8.21875" style="193" customWidth="1"/>
    <col min="17" max="17" width="3.88671875" style="192" customWidth="1"/>
    <col min="18" max="18" width="20.44140625" style="111" bestFit="1" customWidth="1"/>
    <col min="19" max="16384" width="9" style="111"/>
  </cols>
  <sheetData>
    <row r="1" spans="2:24" x14ac:dyDescent="0.25"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Q1" s="193"/>
      <c r="R1" s="193"/>
      <c r="S1" s="193"/>
      <c r="T1" s="193"/>
      <c r="U1" s="193"/>
      <c r="V1" s="193"/>
      <c r="W1" s="193"/>
      <c r="X1" s="193"/>
    </row>
    <row r="2" spans="2:24" ht="26.4" customHeight="1" x14ac:dyDescent="0.25">
      <c r="B2" s="251"/>
      <c r="C2" s="251"/>
      <c r="D2" s="220" t="s">
        <v>0</v>
      </c>
      <c r="E2" s="220"/>
      <c r="F2" s="220"/>
      <c r="G2" s="220"/>
      <c r="H2" s="220"/>
      <c r="I2" s="220"/>
      <c r="J2" s="220"/>
      <c r="K2" s="220"/>
      <c r="L2" s="220"/>
      <c r="M2" s="221" t="s">
        <v>1</v>
      </c>
      <c r="N2" s="221"/>
      <c r="O2" s="222"/>
      <c r="P2" s="222"/>
      <c r="Q2" s="193"/>
      <c r="R2" s="193"/>
      <c r="S2" s="193"/>
      <c r="T2" s="193"/>
      <c r="U2" s="193"/>
      <c r="V2" s="193"/>
      <c r="W2" s="193"/>
      <c r="X2" s="193"/>
    </row>
    <row r="3" spans="2:24" ht="19.2" customHeight="1" x14ac:dyDescent="0.25">
      <c r="B3" s="251"/>
      <c r="C3" s="251"/>
      <c r="D3" s="252" t="s">
        <v>2</v>
      </c>
      <c r="E3" s="252"/>
      <c r="F3" s="252"/>
      <c r="G3" s="252"/>
      <c r="H3" s="252"/>
      <c r="I3" s="252"/>
      <c r="J3" s="252"/>
      <c r="K3" s="252"/>
      <c r="L3" s="252"/>
      <c r="M3" s="221" t="s">
        <v>3</v>
      </c>
      <c r="N3" s="221"/>
      <c r="O3" s="222"/>
      <c r="P3" s="222"/>
      <c r="Q3" s="193"/>
      <c r="R3" s="193"/>
      <c r="S3" s="193"/>
      <c r="T3" s="193"/>
      <c r="U3" s="193"/>
      <c r="V3" s="193"/>
      <c r="W3" s="193"/>
      <c r="X3" s="193"/>
    </row>
    <row r="4" spans="2:24" ht="19.2" customHeight="1" x14ac:dyDescent="0.25">
      <c r="B4" s="251"/>
      <c r="C4" s="251"/>
      <c r="D4" s="252"/>
      <c r="E4" s="252"/>
      <c r="F4" s="252"/>
      <c r="G4" s="252"/>
      <c r="H4" s="252"/>
      <c r="I4" s="252"/>
      <c r="J4" s="252"/>
      <c r="K4" s="252"/>
      <c r="L4" s="252"/>
      <c r="M4" s="223" t="s">
        <v>4</v>
      </c>
      <c r="N4" s="223"/>
      <c r="O4" s="214"/>
      <c r="P4" s="214"/>
      <c r="Q4" s="193"/>
      <c r="R4" s="193"/>
      <c r="S4" s="193"/>
      <c r="T4" s="193"/>
      <c r="U4" s="193"/>
      <c r="V4" s="193"/>
      <c r="W4" s="193"/>
      <c r="X4" s="193"/>
    </row>
    <row r="5" spans="2:24" x14ac:dyDescent="0.25">
      <c r="B5" s="214" t="s">
        <v>5</v>
      </c>
      <c r="C5" s="214"/>
      <c r="D5" s="214"/>
      <c r="E5" s="214" t="s">
        <v>6</v>
      </c>
      <c r="F5" s="214"/>
      <c r="G5" s="214" t="s">
        <v>7</v>
      </c>
      <c r="H5" s="214"/>
      <c r="I5" s="214"/>
      <c r="J5" s="214"/>
      <c r="K5" s="214"/>
      <c r="L5" s="214"/>
      <c r="M5" s="214" t="s">
        <v>8</v>
      </c>
      <c r="N5" s="214"/>
      <c r="O5" s="214" t="s">
        <v>9</v>
      </c>
      <c r="P5" s="214"/>
      <c r="Q5" s="193"/>
      <c r="R5" s="193"/>
      <c r="S5" s="193"/>
      <c r="T5" s="193"/>
      <c r="U5" s="193"/>
      <c r="V5" s="193"/>
      <c r="W5" s="193"/>
      <c r="X5" s="193"/>
    </row>
    <row r="6" spans="2:24" ht="31.8" customHeight="1" x14ac:dyDescent="0.25">
      <c r="B6" s="216" t="str">
        <f>IFERROR(VLOOKUP(MID(E6,3,5),对应信息!A:B,2,0),"")</f>
        <v/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193"/>
      <c r="R6" s="193"/>
      <c r="S6" s="193"/>
      <c r="T6" s="193"/>
      <c r="U6" s="193"/>
      <c r="V6" s="193"/>
      <c r="W6" s="193"/>
      <c r="X6" s="193"/>
    </row>
    <row r="7" spans="2:24" x14ac:dyDescent="0.25">
      <c r="B7" s="214" t="s">
        <v>430</v>
      </c>
      <c r="C7" s="214"/>
      <c r="D7" s="214"/>
      <c r="E7" s="214"/>
      <c r="F7" s="214" t="s">
        <v>429</v>
      </c>
      <c r="G7" s="214"/>
      <c r="H7" s="214"/>
      <c r="I7" s="219"/>
      <c r="J7" s="219"/>
      <c r="K7" s="219"/>
      <c r="L7" s="219"/>
      <c r="M7" s="214" t="s">
        <v>10</v>
      </c>
      <c r="N7" s="216"/>
      <c r="O7" s="216"/>
      <c r="P7" s="216"/>
      <c r="Q7" s="193"/>
      <c r="R7" s="193"/>
      <c r="S7" s="193"/>
      <c r="T7" s="193"/>
      <c r="U7" s="193"/>
      <c r="V7" s="193"/>
      <c r="W7" s="193"/>
      <c r="X7" s="193"/>
    </row>
    <row r="8" spans="2:24" x14ac:dyDescent="0.25">
      <c r="B8" s="200" t="s">
        <v>11</v>
      </c>
      <c r="C8" s="214" t="s">
        <v>12</v>
      </c>
      <c r="D8" s="214"/>
      <c r="E8" s="214" t="s">
        <v>13</v>
      </c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193"/>
      <c r="R8" s="193"/>
      <c r="S8" s="193"/>
      <c r="T8" s="193"/>
      <c r="U8" s="193"/>
      <c r="V8" s="193"/>
      <c r="W8" s="193"/>
      <c r="X8" s="193"/>
    </row>
    <row r="9" spans="2:24" ht="15" customHeight="1" x14ac:dyDescent="0.25">
      <c r="B9" s="216">
        <v>1</v>
      </c>
      <c r="C9" s="214" t="s">
        <v>428</v>
      </c>
      <c r="D9" s="214" t="s">
        <v>427</v>
      </c>
      <c r="E9" s="214"/>
      <c r="F9" s="214" t="s">
        <v>14</v>
      </c>
      <c r="G9" s="214"/>
      <c r="H9" s="214"/>
      <c r="I9" s="216" t="s">
        <v>299</v>
      </c>
      <c r="J9" s="216"/>
      <c r="K9" s="216"/>
      <c r="L9" s="216"/>
      <c r="M9" s="216"/>
      <c r="N9" s="216"/>
      <c r="O9" s="216"/>
      <c r="P9" s="196" t="s">
        <v>300</v>
      </c>
      <c r="Q9" s="193"/>
      <c r="R9" s="193"/>
      <c r="S9" s="193"/>
      <c r="T9" s="193"/>
      <c r="U9" s="193"/>
      <c r="V9" s="193"/>
      <c r="W9" s="193"/>
      <c r="X9" s="193"/>
    </row>
    <row r="10" spans="2:24" ht="26.4" customHeight="1" x14ac:dyDescent="0.25">
      <c r="B10" s="216"/>
      <c r="C10" s="214"/>
      <c r="D10" s="214"/>
      <c r="E10" s="214"/>
      <c r="F10" s="214" t="s">
        <v>15</v>
      </c>
      <c r="G10" s="214"/>
      <c r="H10" s="214"/>
      <c r="I10" s="214" t="s">
        <v>16</v>
      </c>
      <c r="J10" s="214"/>
      <c r="K10" s="200" t="s">
        <v>426</v>
      </c>
      <c r="L10" s="200" t="s">
        <v>426</v>
      </c>
      <c r="M10" s="214" t="s">
        <v>18</v>
      </c>
      <c r="N10" s="214"/>
      <c r="O10" s="214"/>
      <c r="P10" s="214"/>
      <c r="Q10" s="193"/>
      <c r="R10" s="193"/>
      <c r="S10" s="193"/>
      <c r="T10" s="193"/>
      <c r="U10" s="193"/>
      <c r="V10" s="193"/>
      <c r="W10" s="193"/>
      <c r="X10" s="193"/>
    </row>
    <row r="11" spans="2:24" x14ac:dyDescent="0.25">
      <c r="B11" s="216"/>
      <c r="C11" s="214"/>
      <c r="D11" s="214"/>
      <c r="E11" s="214"/>
      <c r="F11" s="214" t="s">
        <v>425</v>
      </c>
      <c r="G11" s="214"/>
      <c r="H11" s="214"/>
      <c r="I11" s="218" t="str">
        <f>波长示值误差与重复性校验!B4</f>
        <v>807.4</v>
      </c>
      <c r="J11" s="218"/>
      <c r="K11" s="212" t="str">
        <f>波长示值误差与重复性校验!B2</f>
        <v>656.1</v>
      </c>
      <c r="L11" s="212" t="str">
        <f>波长示值误差与重复性校验!B3</f>
        <v>486</v>
      </c>
      <c r="M11" s="212" t="str">
        <f>波长示值误差与重复性校验!B5</f>
        <v>546.1</v>
      </c>
      <c r="N11" s="212" t="str">
        <f>波长示值误差与重复性校验!B6</f>
        <v>435.8</v>
      </c>
      <c r="O11" s="212" t="str">
        <f>波长示值误差与重复性校验!B7</f>
        <v>365</v>
      </c>
      <c r="P11" s="196" t="str">
        <f>波长示值误差与重复性校验!B8</f>
        <v>253.7</v>
      </c>
      <c r="Q11" s="193"/>
      <c r="R11" s="193"/>
      <c r="S11" s="193"/>
      <c r="T11" s="193"/>
      <c r="U11" s="193"/>
      <c r="V11" s="193"/>
      <c r="W11" s="193"/>
      <c r="X11" s="193"/>
    </row>
    <row r="12" spans="2:24" ht="15" customHeight="1" x14ac:dyDescent="0.25">
      <c r="B12" s="216"/>
      <c r="C12" s="214"/>
      <c r="D12" s="214"/>
      <c r="E12" s="214"/>
      <c r="F12" s="214" t="s">
        <v>424</v>
      </c>
      <c r="G12" s="214"/>
      <c r="H12" s="214"/>
      <c r="I12" s="215">
        <f>波长示值误差与重复性校验!C4</f>
        <v>0</v>
      </c>
      <c r="J12" s="215"/>
      <c r="K12" s="211">
        <f>波长示值误差与重复性校验!C2</f>
        <v>0</v>
      </c>
      <c r="L12" s="211">
        <f>波长示值误差与重复性校验!C3</f>
        <v>0</v>
      </c>
      <c r="M12" s="211">
        <f>波长示值误差与重复性校验!C5</f>
        <v>0</v>
      </c>
      <c r="N12" s="211">
        <f>波长示值误差与重复性校验!C6</f>
        <v>0</v>
      </c>
      <c r="O12" s="211">
        <f>波长示值误差与重复性校验!C7</f>
        <v>0</v>
      </c>
      <c r="P12" s="196">
        <f>波长示值误差与重复性校验!C8</f>
        <v>0</v>
      </c>
      <c r="Q12" s="193"/>
      <c r="R12" s="193"/>
      <c r="S12" s="193"/>
      <c r="T12" s="193"/>
      <c r="U12" s="193"/>
      <c r="V12" s="193"/>
      <c r="W12" s="193"/>
      <c r="X12" s="193"/>
    </row>
    <row r="13" spans="2:24" x14ac:dyDescent="0.25">
      <c r="B13" s="216"/>
      <c r="C13" s="214"/>
      <c r="D13" s="214"/>
      <c r="E13" s="214"/>
      <c r="F13" s="214"/>
      <c r="G13" s="214"/>
      <c r="H13" s="214"/>
      <c r="I13" s="215">
        <f>波长示值误差与重复性校验!D4</f>
        <v>0</v>
      </c>
      <c r="J13" s="215"/>
      <c r="K13" s="211">
        <f>波长示值误差与重复性校验!D2</f>
        <v>0</v>
      </c>
      <c r="L13" s="211">
        <f>波长示值误差与重复性校验!D3</f>
        <v>0</v>
      </c>
      <c r="M13" s="211">
        <f>波长示值误差与重复性校验!D5</f>
        <v>0</v>
      </c>
      <c r="N13" s="211">
        <f>波长示值误差与重复性校验!D6</f>
        <v>0</v>
      </c>
      <c r="O13" s="211">
        <f>波长示值误差与重复性校验!D7</f>
        <v>0</v>
      </c>
      <c r="P13" s="196">
        <f>波长示值误差与重复性校验!D8</f>
        <v>0</v>
      </c>
      <c r="Q13" s="193"/>
      <c r="R13" s="193"/>
      <c r="S13" s="193"/>
      <c r="T13" s="193"/>
      <c r="U13" s="193"/>
      <c r="V13" s="193"/>
      <c r="W13" s="193"/>
      <c r="X13" s="193"/>
    </row>
    <row r="14" spans="2:24" x14ac:dyDescent="0.25">
      <c r="B14" s="216"/>
      <c r="C14" s="214"/>
      <c r="D14" s="214"/>
      <c r="E14" s="214"/>
      <c r="F14" s="214"/>
      <c r="G14" s="214"/>
      <c r="H14" s="214"/>
      <c r="I14" s="215">
        <f>波长示值误差与重复性校验!E4</f>
        <v>0</v>
      </c>
      <c r="J14" s="215"/>
      <c r="K14" s="211">
        <f>波长示值误差与重复性校验!E2</f>
        <v>0</v>
      </c>
      <c r="L14" s="211">
        <f>波长示值误差与重复性校验!E3</f>
        <v>0</v>
      </c>
      <c r="M14" s="211">
        <f>波长示值误差与重复性校验!E5</f>
        <v>0</v>
      </c>
      <c r="N14" s="211">
        <f>波长示值误差与重复性校验!E6</f>
        <v>0</v>
      </c>
      <c r="O14" s="211">
        <f>波长示值误差与重复性校验!E7</f>
        <v>0</v>
      </c>
      <c r="P14" s="196">
        <f>波长示值误差与重复性校验!E8</f>
        <v>0</v>
      </c>
      <c r="Q14" s="193"/>
      <c r="R14" s="193"/>
      <c r="S14" s="193"/>
      <c r="T14" s="193"/>
      <c r="U14" s="193"/>
      <c r="V14" s="193"/>
      <c r="W14" s="193"/>
      <c r="X14" s="193"/>
    </row>
    <row r="15" spans="2:24" x14ac:dyDescent="0.25">
      <c r="B15" s="216"/>
      <c r="C15" s="214"/>
      <c r="D15" s="214"/>
      <c r="E15" s="214"/>
      <c r="F15" s="214" t="s">
        <v>423</v>
      </c>
      <c r="G15" s="214"/>
      <c r="H15" s="214"/>
      <c r="I15" s="215" t="str">
        <f>波长示值误差与重复性校验!F4</f>
        <v/>
      </c>
      <c r="J15" s="215"/>
      <c r="K15" s="211" t="str">
        <f>波长示值误差与重复性校验!F2</f>
        <v/>
      </c>
      <c r="L15" s="211" t="str">
        <f>波长示值误差与重复性校验!F3</f>
        <v/>
      </c>
      <c r="M15" s="211" t="str">
        <f>波长示值误差与重复性校验!F5</f>
        <v/>
      </c>
      <c r="N15" s="211" t="str">
        <f>波长示值误差与重复性校验!F6</f>
        <v/>
      </c>
      <c r="O15" s="211" t="str">
        <f>波长示值误差与重复性校验!F7</f>
        <v/>
      </c>
      <c r="P15" s="196" t="str">
        <f>波长示值误差与重复性校验!F8</f>
        <v/>
      </c>
      <c r="Q15" s="193"/>
      <c r="R15" s="193"/>
      <c r="S15" s="193"/>
      <c r="T15" s="193"/>
      <c r="U15" s="193"/>
      <c r="V15" s="193"/>
      <c r="W15" s="193"/>
      <c r="X15" s="193"/>
    </row>
    <row r="16" spans="2:24" x14ac:dyDescent="0.25">
      <c r="B16" s="216"/>
      <c r="C16" s="214"/>
      <c r="D16" s="214"/>
      <c r="E16" s="214"/>
      <c r="F16" s="214" t="s">
        <v>422</v>
      </c>
      <c r="G16" s="214"/>
      <c r="H16" s="214"/>
      <c r="I16" s="215" t="str">
        <f>波长示值误差与重复性校验!G4</f>
        <v/>
      </c>
      <c r="J16" s="215"/>
      <c r="K16" s="211" t="str">
        <f>波长示值误差与重复性校验!G2</f>
        <v/>
      </c>
      <c r="L16" s="211" t="str">
        <f>波长示值误差与重复性校验!G3</f>
        <v/>
      </c>
      <c r="M16" s="211" t="str">
        <f>波长示值误差与重复性校验!G5</f>
        <v/>
      </c>
      <c r="N16" s="211" t="str">
        <f>波长示值误差与重复性校验!G6</f>
        <v/>
      </c>
      <c r="O16" s="211" t="str">
        <f>波长示值误差与重复性校验!G7</f>
        <v/>
      </c>
      <c r="P16" s="196" t="str">
        <f>波长示值误差与重复性校验!G8</f>
        <v/>
      </c>
      <c r="Q16" s="193"/>
      <c r="R16" s="193"/>
      <c r="S16" s="193"/>
      <c r="T16" s="193"/>
      <c r="U16" s="193"/>
      <c r="V16" s="193"/>
      <c r="W16" s="193"/>
      <c r="X16" s="193"/>
    </row>
    <row r="17" spans="2:27" x14ac:dyDescent="0.25">
      <c r="B17" s="216"/>
      <c r="C17" s="214"/>
      <c r="D17" s="214"/>
      <c r="E17" s="214"/>
      <c r="F17" s="214" t="s">
        <v>413</v>
      </c>
      <c r="G17" s="214"/>
      <c r="H17" s="214"/>
      <c r="I17" s="253">
        <f>波长示值误差与重复性校验!H4</f>
        <v>0</v>
      </c>
      <c r="J17" s="253"/>
      <c r="K17" s="210">
        <f>波长示值误差与重复性校验!H2</f>
        <v>0</v>
      </c>
      <c r="L17" s="210">
        <f>波长示值误差与重复性校验!H3</f>
        <v>0</v>
      </c>
      <c r="M17" s="210">
        <f>波长示值误差与重复性校验!H5</f>
        <v>0</v>
      </c>
      <c r="N17" s="210">
        <f>波长示值误差与重复性校验!H6</f>
        <v>0</v>
      </c>
      <c r="O17" s="210">
        <f>波长示值误差与重复性校验!H7</f>
        <v>0</v>
      </c>
      <c r="P17" s="196">
        <f>波长示值误差与重复性校验!H8</f>
        <v>0</v>
      </c>
      <c r="Q17" s="193"/>
      <c r="R17" s="193"/>
      <c r="S17" s="193"/>
      <c r="T17" s="193"/>
      <c r="U17" s="193"/>
      <c r="V17" s="193"/>
      <c r="W17" s="193"/>
      <c r="X17" s="193"/>
    </row>
    <row r="18" spans="2:27" x14ac:dyDescent="0.25">
      <c r="B18" s="216"/>
      <c r="C18" s="214" t="s">
        <v>421</v>
      </c>
      <c r="D18" s="214" t="s">
        <v>420</v>
      </c>
      <c r="E18" s="214"/>
      <c r="F18" s="214" t="s">
        <v>419</v>
      </c>
      <c r="G18" s="214"/>
      <c r="H18" s="214"/>
      <c r="I18" s="216" t="s">
        <v>418</v>
      </c>
      <c r="J18" s="216"/>
      <c r="K18" s="216"/>
      <c r="L18" s="216"/>
      <c r="M18" s="216"/>
      <c r="N18" s="216"/>
      <c r="O18" s="216"/>
      <c r="P18" s="216"/>
      <c r="Q18" s="193"/>
      <c r="R18" s="193"/>
      <c r="S18" s="193"/>
      <c r="T18" s="193"/>
      <c r="U18" s="193"/>
      <c r="V18" s="193"/>
      <c r="W18" s="193"/>
      <c r="X18" s="193"/>
    </row>
    <row r="19" spans="2:27" x14ac:dyDescent="0.25">
      <c r="B19" s="216"/>
      <c r="C19" s="214"/>
      <c r="D19" s="214"/>
      <c r="E19" s="214"/>
      <c r="F19" s="214" t="s">
        <v>417</v>
      </c>
      <c r="G19" s="214"/>
      <c r="H19" s="214"/>
      <c r="I19" s="218" t="str">
        <f>波长示值误差与重复性校验!B9</f>
        <v>640.79</v>
      </c>
      <c r="J19" s="218"/>
      <c r="K19" s="212" t="str">
        <f>波长示值误差与重复性校验!B10</f>
        <v>536.86</v>
      </c>
      <c r="L19" s="212" t="str">
        <f>波长示值误差与重复性校验!B11</f>
        <v>416.57</v>
      </c>
      <c r="M19" s="212" t="str">
        <f>波长示值误差与重复性校验!B12</f>
        <v>361.12</v>
      </c>
      <c r="N19" s="212" t="str">
        <f>波长示值误差与重复性校验!B13</f>
        <v>287.52</v>
      </c>
      <c r="O19" s="218" t="str">
        <f>波长示值误差与重复性校验!B14</f>
        <v>241.12</v>
      </c>
      <c r="P19" s="218"/>
      <c r="Q19" s="193"/>
      <c r="R19" s="193"/>
      <c r="S19" s="193"/>
      <c r="T19" s="193"/>
      <c r="U19" s="193"/>
      <c r="V19" s="193"/>
      <c r="W19" s="193"/>
      <c r="X19" s="193"/>
    </row>
    <row r="20" spans="2:27" x14ac:dyDescent="0.25">
      <c r="B20" s="216"/>
      <c r="C20" s="214"/>
      <c r="D20" s="214"/>
      <c r="E20" s="214"/>
      <c r="F20" s="214" t="s">
        <v>416</v>
      </c>
      <c r="G20" s="214"/>
      <c r="H20" s="214"/>
      <c r="I20" s="215">
        <f>波长示值误差与重复性校验!C9</f>
        <v>0</v>
      </c>
      <c r="J20" s="215"/>
      <c r="K20" s="211">
        <f>波长示值误差与重复性校验!C10</f>
        <v>0</v>
      </c>
      <c r="L20" s="211">
        <f>波长示值误差与重复性校验!C11</f>
        <v>0</v>
      </c>
      <c r="M20" s="211">
        <f>波长示值误差与重复性校验!C12</f>
        <v>0</v>
      </c>
      <c r="N20" s="211">
        <f>波长示值误差与重复性校验!C13</f>
        <v>0</v>
      </c>
      <c r="O20" s="215">
        <f>波长示值误差与重复性校验!C14</f>
        <v>0</v>
      </c>
      <c r="P20" s="215"/>
      <c r="Q20" s="193"/>
      <c r="R20" s="193"/>
      <c r="S20" s="193"/>
      <c r="T20" s="193"/>
      <c r="U20" s="193"/>
      <c r="V20" s="193"/>
      <c r="W20" s="193"/>
      <c r="X20" s="193"/>
    </row>
    <row r="21" spans="2:27" ht="15" customHeight="1" x14ac:dyDescent="0.25">
      <c r="B21" s="216"/>
      <c r="C21" s="214"/>
      <c r="D21" s="214"/>
      <c r="E21" s="214"/>
      <c r="F21" s="214"/>
      <c r="G21" s="214"/>
      <c r="H21" s="214"/>
      <c r="I21" s="215">
        <f>波长示值误差与重复性校验!D9</f>
        <v>0</v>
      </c>
      <c r="J21" s="215"/>
      <c r="K21" s="211">
        <f>波长示值误差与重复性校验!D10</f>
        <v>0</v>
      </c>
      <c r="L21" s="211">
        <f>波长示值误差与重复性校验!D11</f>
        <v>0</v>
      </c>
      <c r="M21" s="211">
        <f>波长示值误差与重复性校验!D12</f>
        <v>0</v>
      </c>
      <c r="N21" s="211">
        <f>波长示值误差与重复性校验!D13</f>
        <v>0</v>
      </c>
      <c r="O21" s="217">
        <f>波长示值误差与重复性校验!D14</f>
        <v>0</v>
      </c>
      <c r="P21" s="217"/>
      <c r="Q21" s="193"/>
      <c r="R21" s="193"/>
      <c r="S21" s="193"/>
      <c r="T21" s="193"/>
      <c r="U21" s="193"/>
      <c r="V21" s="193"/>
      <c r="W21" s="193"/>
      <c r="X21" s="193"/>
    </row>
    <row r="22" spans="2:27" ht="15" customHeight="1" x14ac:dyDescent="0.25">
      <c r="B22" s="216"/>
      <c r="C22" s="214"/>
      <c r="D22" s="214"/>
      <c r="E22" s="214"/>
      <c r="F22" s="214"/>
      <c r="G22" s="214"/>
      <c r="H22" s="214"/>
      <c r="I22" s="215">
        <f>波长示值误差与重复性校验!E9</f>
        <v>0</v>
      </c>
      <c r="J22" s="215"/>
      <c r="K22" s="211">
        <f>波长示值误差与重复性校验!E10</f>
        <v>0</v>
      </c>
      <c r="L22" s="211">
        <f>波长示值误差与重复性校验!E11</f>
        <v>0</v>
      </c>
      <c r="M22" s="211">
        <f>波长示值误差与重复性校验!E12</f>
        <v>0</v>
      </c>
      <c r="N22" s="211">
        <f>波长示值误差与重复性校验!E13</f>
        <v>0</v>
      </c>
      <c r="O22" s="217">
        <f>波长示值误差与重复性校验!E14</f>
        <v>0</v>
      </c>
      <c r="P22" s="217"/>
      <c r="Q22" s="193"/>
      <c r="R22" s="193"/>
      <c r="S22" s="193"/>
      <c r="T22" s="193"/>
      <c r="U22" s="193"/>
      <c r="V22" s="193"/>
      <c r="W22" s="193"/>
      <c r="X22" s="193"/>
    </row>
    <row r="23" spans="2:27" x14ac:dyDescent="0.25">
      <c r="B23" s="216"/>
      <c r="C23" s="214"/>
      <c r="D23" s="214"/>
      <c r="E23" s="214"/>
      <c r="F23" s="214" t="s">
        <v>415</v>
      </c>
      <c r="G23" s="214"/>
      <c r="H23" s="214"/>
      <c r="I23" s="215" t="str">
        <f>波长示值误差与重复性校验!F9</f>
        <v/>
      </c>
      <c r="J23" s="215"/>
      <c r="K23" s="211" t="str">
        <f>波长示值误差与重复性校验!F10</f>
        <v/>
      </c>
      <c r="L23" s="211" t="str">
        <f>波长示值误差与重复性校验!F11</f>
        <v/>
      </c>
      <c r="M23" s="211" t="str">
        <f>波长示值误差与重复性校验!F12</f>
        <v/>
      </c>
      <c r="N23" s="211" t="str">
        <f>波长示值误差与重复性校验!F13</f>
        <v/>
      </c>
      <c r="O23" s="217" t="str">
        <f>波长示值误差与重复性校验!F14</f>
        <v/>
      </c>
      <c r="P23" s="217"/>
      <c r="Q23" s="193"/>
      <c r="R23" s="193"/>
      <c r="S23" s="193"/>
      <c r="T23" s="193"/>
      <c r="U23" s="193"/>
      <c r="V23" s="193"/>
      <c r="W23" s="193"/>
      <c r="X23" s="193"/>
    </row>
    <row r="24" spans="2:27" x14ac:dyDescent="0.25">
      <c r="B24" s="216"/>
      <c r="C24" s="214"/>
      <c r="D24" s="214"/>
      <c r="E24" s="214"/>
      <c r="F24" s="214" t="s">
        <v>414</v>
      </c>
      <c r="G24" s="214"/>
      <c r="H24" s="214"/>
      <c r="I24" s="215" t="str">
        <f>波长示值误差与重复性校验!G9</f>
        <v/>
      </c>
      <c r="J24" s="215"/>
      <c r="K24" s="211" t="str">
        <f>波长示值误差与重复性校验!G10</f>
        <v/>
      </c>
      <c r="L24" s="211" t="str">
        <f>波长示值误差与重复性校验!G11</f>
        <v/>
      </c>
      <c r="M24" s="211" t="str">
        <f>波长示值误差与重复性校验!G12</f>
        <v/>
      </c>
      <c r="N24" s="211" t="str">
        <f>波长示值误差与重复性校验!G13</f>
        <v/>
      </c>
      <c r="O24" s="217" t="str">
        <f>波长示值误差与重复性校验!G14</f>
        <v/>
      </c>
      <c r="P24" s="217"/>
      <c r="Q24" s="193"/>
      <c r="R24" s="193"/>
      <c r="S24" s="193"/>
      <c r="T24" s="193"/>
      <c r="U24" s="193"/>
      <c r="V24" s="193"/>
      <c r="W24" s="193"/>
      <c r="X24" s="193"/>
    </row>
    <row r="25" spans="2:27" x14ac:dyDescent="0.25">
      <c r="B25" s="216"/>
      <c r="C25" s="214"/>
      <c r="D25" s="214"/>
      <c r="E25" s="214"/>
      <c r="F25" s="214" t="s">
        <v>413</v>
      </c>
      <c r="G25" s="214"/>
      <c r="H25" s="214"/>
      <c r="I25" s="253">
        <f>波长示值误差与重复性校验!H9</f>
        <v>0</v>
      </c>
      <c r="J25" s="253"/>
      <c r="K25" s="210">
        <f>波长示值误差与重复性校验!H10</f>
        <v>0</v>
      </c>
      <c r="L25" s="210">
        <f>波长示值误差与重复性校验!H11</f>
        <v>0</v>
      </c>
      <c r="M25" s="210">
        <f>波长示值误差与重复性校验!H12</f>
        <v>0</v>
      </c>
      <c r="N25" s="210">
        <f>波长示值误差与重复性校验!H13</f>
        <v>0</v>
      </c>
      <c r="O25" s="253">
        <f>波长示值误差与重复性校验!H14</f>
        <v>0</v>
      </c>
      <c r="P25" s="253"/>
      <c r="Q25" s="193"/>
      <c r="R25" s="193"/>
      <c r="S25" s="193"/>
      <c r="T25" s="193"/>
      <c r="U25" s="193"/>
      <c r="V25" s="193"/>
      <c r="W25" s="193"/>
      <c r="X25" s="193"/>
    </row>
    <row r="26" spans="2:27" ht="14.4" customHeight="1" x14ac:dyDescent="0.25">
      <c r="B26" s="216">
        <v>2</v>
      </c>
      <c r="C26" s="214" t="s">
        <v>412</v>
      </c>
      <c r="D26" s="214" t="s">
        <v>19</v>
      </c>
      <c r="E26" s="214"/>
      <c r="F26" s="214" t="s">
        <v>15</v>
      </c>
      <c r="G26" s="214"/>
      <c r="H26" s="214"/>
      <c r="I26" s="216" t="s">
        <v>301</v>
      </c>
      <c r="J26" s="216"/>
      <c r="K26" s="216"/>
      <c r="L26" s="216"/>
      <c r="M26" s="216"/>
      <c r="N26" s="216"/>
      <c r="O26" s="216"/>
      <c r="P26" s="216"/>
      <c r="Q26" s="193"/>
      <c r="R26" s="193"/>
      <c r="S26" s="193"/>
      <c r="T26" s="193"/>
      <c r="U26" s="193"/>
      <c r="V26" s="193"/>
      <c r="W26" s="193"/>
      <c r="X26" s="193"/>
      <c r="AA26" s="193"/>
    </row>
    <row r="27" spans="2:27" ht="15" customHeight="1" x14ac:dyDescent="0.25">
      <c r="B27" s="216"/>
      <c r="C27" s="214"/>
      <c r="D27" s="214"/>
      <c r="E27" s="214"/>
      <c r="F27" s="214"/>
      <c r="G27" s="214"/>
      <c r="H27" s="214"/>
      <c r="I27" s="216"/>
      <c r="J27" s="216"/>
      <c r="K27" s="216"/>
      <c r="L27" s="216"/>
      <c r="M27" s="216"/>
      <c r="N27" s="216"/>
      <c r="O27" s="216"/>
      <c r="P27" s="216"/>
      <c r="Q27" s="193"/>
      <c r="R27" s="193"/>
      <c r="S27" s="193"/>
      <c r="T27" s="193"/>
      <c r="U27" s="193"/>
      <c r="V27" s="193"/>
      <c r="W27" s="193"/>
      <c r="X27" s="193"/>
    </row>
    <row r="28" spans="2:27" ht="15" customHeight="1" x14ac:dyDescent="0.25">
      <c r="B28" s="216"/>
      <c r="C28" s="214"/>
      <c r="D28" s="214"/>
      <c r="E28" s="214"/>
      <c r="F28" s="214" t="s">
        <v>20</v>
      </c>
      <c r="G28" s="214"/>
      <c r="H28" s="214" t="s">
        <v>21</v>
      </c>
      <c r="I28" s="214"/>
      <c r="J28" s="216">
        <f>透射比示值误差与重复性校验!B6</f>
        <v>635</v>
      </c>
      <c r="K28" s="216"/>
      <c r="L28" s="216"/>
      <c r="M28" s="216">
        <f>透射比示值误差与重复性校验!B7</f>
        <v>546</v>
      </c>
      <c r="N28" s="216"/>
      <c r="O28" s="216">
        <f>透射比示值误差与重复性校验!B8</f>
        <v>440</v>
      </c>
      <c r="P28" s="216"/>
      <c r="Q28" s="193"/>
      <c r="R28" s="193"/>
      <c r="S28" s="193"/>
      <c r="T28" s="193"/>
      <c r="U28" s="193"/>
      <c r="V28" s="193"/>
      <c r="W28" s="193"/>
      <c r="X28" s="193"/>
    </row>
    <row r="29" spans="2:27" x14ac:dyDescent="0.25">
      <c r="B29" s="216"/>
      <c r="C29" s="214"/>
      <c r="D29" s="214"/>
      <c r="E29" s="214"/>
      <c r="F29" s="216" t="s">
        <v>302</v>
      </c>
      <c r="G29" s="216"/>
      <c r="H29" s="214" t="s">
        <v>411</v>
      </c>
      <c r="I29" s="214"/>
      <c r="J29" s="218">
        <f>透射比示值误差与重复性校验!C6</f>
        <v>13.34</v>
      </c>
      <c r="K29" s="218"/>
      <c r="L29" s="218"/>
      <c r="M29" s="218">
        <f>透射比示值误差与重复性校验!C7</f>
        <v>15.91</v>
      </c>
      <c r="N29" s="218"/>
      <c r="O29" s="218">
        <f>透射比示值误差与重复性校验!C8</f>
        <v>15.34</v>
      </c>
      <c r="P29" s="218"/>
      <c r="Q29" s="193"/>
      <c r="R29" s="193"/>
      <c r="S29" s="193"/>
      <c r="T29" s="193"/>
      <c r="U29" s="193"/>
      <c r="V29" s="193"/>
      <c r="W29" s="193"/>
      <c r="X29" s="193"/>
    </row>
    <row r="30" spans="2:27" x14ac:dyDescent="0.25">
      <c r="B30" s="216"/>
      <c r="C30" s="214"/>
      <c r="D30" s="214"/>
      <c r="E30" s="214"/>
      <c r="F30" s="216"/>
      <c r="G30" s="216"/>
      <c r="H30" s="214" t="s">
        <v>410</v>
      </c>
      <c r="I30" s="214"/>
      <c r="J30" s="215">
        <f>透射比示值误差与重复性校验!D6</f>
        <v>0</v>
      </c>
      <c r="K30" s="215"/>
      <c r="L30" s="215"/>
      <c r="M30" s="215">
        <f>透射比示值误差与重复性校验!D7</f>
        <v>0</v>
      </c>
      <c r="N30" s="215"/>
      <c r="O30" s="215">
        <f>透射比示值误差与重复性校验!D8</f>
        <v>0</v>
      </c>
      <c r="P30" s="215"/>
      <c r="Q30" s="193"/>
      <c r="R30" s="193"/>
      <c r="S30" s="193"/>
      <c r="T30" s="193"/>
      <c r="U30" s="193"/>
      <c r="V30" s="193"/>
      <c r="W30" s="193"/>
      <c r="X30" s="193"/>
    </row>
    <row r="31" spans="2:27" x14ac:dyDescent="0.25">
      <c r="B31" s="216"/>
      <c r="C31" s="214"/>
      <c r="D31" s="214"/>
      <c r="E31" s="214"/>
      <c r="F31" s="216"/>
      <c r="G31" s="216"/>
      <c r="H31" s="214"/>
      <c r="I31" s="214"/>
      <c r="J31" s="215">
        <f>透射比示值误差与重复性校验!E6</f>
        <v>0</v>
      </c>
      <c r="K31" s="215"/>
      <c r="L31" s="215"/>
      <c r="M31" s="215">
        <f>波长示值误差与重复性校验!D2</f>
        <v>0</v>
      </c>
      <c r="N31" s="215"/>
      <c r="O31" s="215">
        <f>透射比示值误差与重复性校验!E8</f>
        <v>0</v>
      </c>
      <c r="P31" s="215"/>
      <c r="Q31" s="193"/>
      <c r="R31" s="193"/>
      <c r="S31" s="193"/>
      <c r="T31" s="193"/>
      <c r="U31" s="193"/>
      <c r="V31" s="193"/>
      <c r="W31" s="193"/>
      <c r="X31" s="193"/>
    </row>
    <row r="32" spans="2:27" x14ac:dyDescent="0.25">
      <c r="B32" s="216"/>
      <c r="C32" s="214"/>
      <c r="D32" s="214"/>
      <c r="E32" s="214"/>
      <c r="F32" s="216"/>
      <c r="G32" s="216"/>
      <c r="H32" s="214"/>
      <c r="I32" s="214"/>
      <c r="J32" s="215">
        <f>透射比示值误差与重复性校验!F6</f>
        <v>0</v>
      </c>
      <c r="K32" s="215"/>
      <c r="L32" s="215"/>
      <c r="M32" s="215">
        <f>透射比示值误差与重复性校验!F7</f>
        <v>0</v>
      </c>
      <c r="N32" s="215"/>
      <c r="O32" s="215">
        <f>透射比示值误差与重复性校验!F8</f>
        <v>0</v>
      </c>
      <c r="P32" s="215"/>
      <c r="Q32" s="193"/>
      <c r="R32" s="193"/>
      <c r="S32" s="193"/>
      <c r="T32" s="193"/>
      <c r="U32" s="193"/>
      <c r="V32" s="193"/>
      <c r="W32" s="193"/>
      <c r="X32" s="193"/>
    </row>
    <row r="33" spans="2:24" x14ac:dyDescent="0.25">
      <c r="B33" s="216"/>
      <c r="C33" s="214"/>
      <c r="D33" s="214"/>
      <c r="E33" s="214"/>
      <c r="F33" s="216"/>
      <c r="G33" s="216"/>
      <c r="H33" s="214" t="s">
        <v>405</v>
      </c>
      <c r="I33" s="214"/>
      <c r="J33" s="217" t="str">
        <f>透射比示值误差与重复性校验!G6</f>
        <v/>
      </c>
      <c r="K33" s="217"/>
      <c r="L33" s="217"/>
      <c r="M33" s="217" t="str">
        <f>透射比示值误差与重复性校验!G7</f>
        <v/>
      </c>
      <c r="N33" s="217"/>
      <c r="O33" s="217" t="str">
        <f>透射比示值误差与重复性校验!G8</f>
        <v/>
      </c>
      <c r="P33" s="217"/>
      <c r="Q33" s="193"/>
      <c r="R33" s="193"/>
      <c r="S33" s="193"/>
      <c r="T33" s="193"/>
      <c r="U33" s="193"/>
      <c r="V33" s="193"/>
      <c r="W33" s="193"/>
      <c r="X33" s="193"/>
    </row>
    <row r="34" spans="2:24" x14ac:dyDescent="0.25">
      <c r="B34" s="216"/>
      <c r="C34" s="214"/>
      <c r="D34" s="214"/>
      <c r="E34" s="214"/>
      <c r="F34" s="216"/>
      <c r="G34" s="216"/>
      <c r="H34" s="214" t="s">
        <v>409</v>
      </c>
      <c r="I34" s="214"/>
      <c r="J34" s="217" t="str">
        <f>透射比示值误差与重复性校验!H6</f>
        <v/>
      </c>
      <c r="K34" s="217"/>
      <c r="L34" s="217"/>
      <c r="M34" s="217" t="str">
        <f>透射比示值误差与重复性校验!H7</f>
        <v/>
      </c>
      <c r="N34" s="217"/>
      <c r="O34" s="215" t="str">
        <f>透射比示值误差与重复性校验!H8</f>
        <v/>
      </c>
      <c r="P34" s="215"/>
      <c r="Q34" s="193"/>
      <c r="R34" s="193"/>
      <c r="S34" s="193"/>
      <c r="T34" s="193"/>
      <c r="U34" s="193"/>
      <c r="V34" s="193"/>
      <c r="W34" s="193"/>
      <c r="X34" s="193"/>
    </row>
    <row r="35" spans="2:24" x14ac:dyDescent="0.25">
      <c r="B35" s="216"/>
      <c r="C35" s="214"/>
      <c r="D35" s="214"/>
      <c r="E35" s="214"/>
      <c r="F35" s="216"/>
      <c r="G35" s="216"/>
      <c r="H35" s="214" t="s">
        <v>408</v>
      </c>
      <c r="I35" s="214"/>
      <c r="J35" s="213">
        <f>透射比示值误差与重复性校验!I6</f>
        <v>0</v>
      </c>
      <c r="K35" s="213"/>
      <c r="L35" s="213"/>
      <c r="M35" s="213">
        <f>透射比示值误差与重复性校验!I7</f>
        <v>0</v>
      </c>
      <c r="N35" s="213"/>
      <c r="O35" s="213">
        <f>透射比示值误差与重复性校验!I8</f>
        <v>0</v>
      </c>
      <c r="P35" s="213"/>
      <c r="Q35" s="193"/>
      <c r="R35" s="193"/>
      <c r="S35" s="193"/>
      <c r="T35" s="193"/>
      <c r="U35" s="193"/>
      <c r="V35" s="193"/>
      <c r="W35" s="193"/>
      <c r="X35" s="193"/>
    </row>
    <row r="36" spans="2:24" x14ac:dyDescent="0.25">
      <c r="B36" s="216"/>
      <c r="C36" s="214"/>
      <c r="D36" s="214"/>
      <c r="E36" s="214"/>
      <c r="F36" s="216" t="s">
        <v>305</v>
      </c>
      <c r="G36" s="216"/>
      <c r="H36" s="214" t="s">
        <v>411</v>
      </c>
      <c r="I36" s="214"/>
      <c r="J36" s="218">
        <f>透射比示值误差与重复性校验!C9</f>
        <v>22.78</v>
      </c>
      <c r="K36" s="218"/>
      <c r="L36" s="218"/>
      <c r="M36" s="213">
        <f>透射比示值误差与重复性校验!C10</f>
        <v>29.12</v>
      </c>
      <c r="N36" s="213"/>
      <c r="O36" s="218">
        <f>透射比示值误差与重复性校验!C11</f>
        <v>29.76</v>
      </c>
      <c r="P36" s="218"/>
      <c r="Q36" s="193"/>
      <c r="R36" s="193"/>
      <c r="S36" s="193"/>
      <c r="T36" s="193"/>
      <c r="U36" s="193"/>
      <c r="V36" s="193"/>
      <c r="W36" s="193"/>
      <c r="X36" s="193"/>
    </row>
    <row r="37" spans="2:24" x14ac:dyDescent="0.25">
      <c r="B37" s="216"/>
      <c r="C37" s="214"/>
      <c r="D37" s="214"/>
      <c r="E37" s="214"/>
      <c r="F37" s="216"/>
      <c r="G37" s="216"/>
      <c r="H37" s="214" t="s">
        <v>410</v>
      </c>
      <c r="I37" s="214"/>
      <c r="J37" s="215">
        <f>透射比示值误差与重复性校验!D9</f>
        <v>0</v>
      </c>
      <c r="K37" s="215"/>
      <c r="L37" s="215"/>
      <c r="M37" s="217">
        <f>透射比示值误差与重复性校验!D10</f>
        <v>0</v>
      </c>
      <c r="N37" s="217"/>
      <c r="O37" s="215">
        <f>透射比示值误差与重复性校验!D11</f>
        <v>0</v>
      </c>
      <c r="P37" s="215"/>
      <c r="Q37" s="193"/>
      <c r="R37" s="193"/>
      <c r="S37" s="193"/>
      <c r="T37" s="193"/>
      <c r="U37" s="193"/>
      <c r="V37" s="193"/>
      <c r="W37" s="193"/>
      <c r="X37" s="193"/>
    </row>
    <row r="38" spans="2:24" x14ac:dyDescent="0.25">
      <c r="B38" s="216"/>
      <c r="C38" s="214"/>
      <c r="D38" s="214"/>
      <c r="E38" s="214"/>
      <c r="F38" s="216"/>
      <c r="G38" s="216"/>
      <c r="H38" s="214"/>
      <c r="I38" s="214"/>
      <c r="J38" s="215">
        <f>透射比示值误差与重复性校验!E9</f>
        <v>0</v>
      </c>
      <c r="K38" s="215"/>
      <c r="L38" s="215"/>
      <c r="M38" s="217">
        <f>透射比示值误差与重复性校验!E10</f>
        <v>0</v>
      </c>
      <c r="N38" s="217"/>
      <c r="O38" s="215">
        <f>透射比示值误差与重复性校验!E11</f>
        <v>0</v>
      </c>
      <c r="P38" s="215"/>
      <c r="Q38" s="193"/>
      <c r="R38" s="193"/>
      <c r="S38" s="193"/>
      <c r="T38" s="193"/>
      <c r="U38" s="193"/>
      <c r="V38" s="193"/>
      <c r="W38" s="193"/>
      <c r="X38" s="193"/>
    </row>
    <row r="39" spans="2:24" x14ac:dyDescent="0.25">
      <c r="B39" s="216"/>
      <c r="C39" s="214"/>
      <c r="D39" s="214"/>
      <c r="E39" s="214"/>
      <c r="F39" s="216"/>
      <c r="G39" s="216"/>
      <c r="H39" s="214"/>
      <c r="I39" s="214"/>
      <c r="J39" s="215">
        <f>透射比示值误差与重复性校验!F9</f>
        <v>0</v>
      </c>
      <c r="K39" s="215"/>
      <c r="L39" s="215"/>
      <c r="M39" s="217">
        <f>透射比示值误差与重复性校验!F10</f>
        <v>0</v>
      </c>
      <c r="N39" s="217"/>
      <c r="O39" s="215">
        <f>透射比示值误差与重复性校验!F11</f>
        <v>0</v>
      </c>
      <c r="P39" s="215"/>
      <c r="Q39" s="193"/>
      <c r="R39" s="193"/>
      <c r="S39" s="193"/>
      <c r="T39" s="193"/>
      <c r="U39" s="193"/>
      <c r="V39" s="193"/>
      <c r="W39" s="193"/>
      <c r="X39" s="193"/>
    </row>
    <row r="40" spans="2:24" x14ac:dyDescent="0.25">
      <c r="B40" s="216"/>
      <c r="C40" s="214"/>
      <c r="D40" s="214"/>
      <c r="E40" s="214"/>
      <c r="F40" s="216"/>
      <c r="G40" s="216"/>
      <c r="H40" s="214" t="s">
        <v>405</v>
      </c>
      <c r="I40" s="214"/>
      <c r="J40" s="217" t="str">
        <f>透射比示值误差与重复性校验!G9</f>
        <v/>
      </c>
      <c r="K40" s="217"/>
      <c r="L40" s="217"/>
      <c r="M40" s="217" t="str">
        <f>透射比示值误差与重复性校验!G10</f>
        <v/>
      </c>
      <c r="N40" s="217"/>
      <c r="O40" s="217" t="str">
        <f>透射比示值误差与重复性校验!G11</f>
        <v/>
      </c>
      <c r="P40" s="217"/>
      <c r="Q40" s="193"/>
      <c r="R40" s="193"/>
      <c r="S40" s="193"/>
      <c r="T40" s="193"/>
      <c r="U40" s="193"/>
      <c r="V40" s="193"/>
      <c r="W40" s="193"/>
      <c r="X40" s="193"/>
    </row>
    <row r="41" spans="2:24" x14ac:dyDescent="0.25">
      <c r="B41" s="216"/>
      <c r="C41" s="214"/>
      <c r="D41" s="214"/>
      <c r="E41" s="214"/>
      <c r="F41" s="216"/>
      <c r="G41" s="216"/>
      <c r="H41" s="214" t="s">
        <v>409</v>
      </c>
      <c r="I41" s="214"/>
      <c r="J41" s="217" t="str">
        <f>透射比示值误差与重复性校验!H9</f>
        <v/>
      </c>
      <c r="K41" s="217"/>
      <c r="L41" s="217"/>
      <c r="M41" s="217" t="str">
        <f>透射比示值误差与重复性校验!H10</f>
        <v/>
      </c>
      <c r="N41" s="217"/>
      <c r="O41" s="215" t="str">
        <f>透射比示值误差与重复性校验!H11</f>
        <v/>
      </c>
      <c r="P41" s="215"/>
      <c r="Q41" s="193"/>
      <c r="R41" s="193"/>
      <c r="S41" s="193"/>
      <c r="T41" s="193"/>
      <c r="U41" s="193"/>
      <c r="V41" s="193"/>
      <c r="W41" s="193"/>
      <c r="X41" s="193"/>
    </row>
    <row r="42" spans="2:24" x14ac:dyDescent="0.25">
      <c r="B42" s="216"/>
      <c r="C42" s="214"/>
      <c r="D42" s="214"/>
      <c r="E42" s="214"/>
      <c r="F42" s="216"/>
      <c r="G42" s="216"/>
      <c r="H42" s="214" t="s">
        <v>408</v>
      </c>
      <c r="I42" s="214"/>
      <c r="J42" s="213">
        <f>透射比示值误差与重复性校验!I9</f>
        <v>0</v>
      </c>
      <c r="K42" s="213"/>
      <c r="L42" s="213"/>
      <c r="M42" s="213">
        <f>透射比示值误差与重复性校验!I10</f>
        <v>0</v>
      </c>
      <c r="N42" s="213"/>
      <c r="O42" s="213">
        <f>透射比示值误差与重复性校验!I11</f>
        <v>0</v>
      </c>
      <c r="P42" s="213"/>
      <c r="Q42" s="193"/>
      <c r="R42" s="193"/>
      <c r="S42" s="193"/>
      <c r="T42" s="193"/>
      <c r="U42" s="193"/>
      <c r="V42" s="193"/>
      <c r="W42" s="193"/>
      <c r="X42" s="193"/>
    </row>
    <row r="43" spans="2:24" x14ac:dyDescent="0.25">
      <c r="B43" s="216"/>
      <c r="C43" s="214"/>
      <c r="D43" s="214"/>
      <c r="E43" s="214"/>
      <c r="F43" s="216" t="s">
        <v>306</v>
      </c>
      <c r="G43" s="216"/>
      <c r="H43" s="214" t="s">
        <v>411</v>
      </c>
      <c r="I43" s="214"/>
      <c r="J43" s="218">
        <f>透射比示值误差与重复性校验!C12</f>
        <v>34.020000000000003</v>
      </c>
      <c r="K43" s="218"/>
      <c r="L43" s="218"/>
      <c r="M43" s="213">
        <f>透射比示值误差与重复性校验!C13</f>
        <v>40.5</v>
      </c>
      <c r="N43" s="213"/>
      <c r="O43" s="218">
        <f>透射比示值误差与重复性校验!C14</f>
        <v>41</v>
      </c>
      <c r="P43" s="218"/>
      <c r="Q43" s="193"/>
      <c r="R43" s="193"/>
      <c r="S43" s="193"/>
      <c r="T43" s="193"/>
      <c r="U43" s="193"/>
      <c r="V43" s="193"/>
      <c r="W43" s="193"/>
      <c r="X43" s="193"/>
    </row>
    <row r="44" spans="2:24" x14ac:dyDescent="0.25">
      <c r="B44" s="216"/>
      <c r="C44" s="214"/>
      <c r="D44" s="214"/>
      <c r="E44" s="214"/>
      <c r="F44" s="216"/>
      <c r="G44" s="216"/>
      <c r="H44" s="214" t="s">
        <v>410</v>
      </c>
      <c r="I44" s="214"/>
      <c r="J44" s="215">
        <f>透射比示值误差与重复性校验!D12</f>
        <v>0</v>
      </c>
      <c r="K44" s="215"/>
      <c r="L44" s="215"/>
      <c r="M44" s="217">
        <f>透射比示值误差与重复性校验!D13</f>
        <v>0</v>
      </c>
      <c r="N44" s="217"/>
      <c r="O44" s="215">
        <f>透射比示值误差与重复性校验!D14</f>
        <v>0</v>
      </c>
      <c r="P44" s="215"/>
      <c r="Q44" s="193"/>
      <c r="R44" s="193"/>
      <c r="S44" s="193"/>
      <c r="T44" s="193"/>
      <c r="U44" s="193"/>
      <c r="V44" s="193"/>
      <c r="W44" s="193"/>
      <c r="X44" s="193"/>
    </row>
    <row r="45" spans="2:24" x14ac:dyDescent="0.25">
      <c r="B45" s="216"/>
      <c r="C45" s="214"/>
      <c r="D45" s="214"/>
      <c r="E45" s="214"/>
      <c r="F45" s="216"/>
      <c r="G45" s="216"/>
      <c r="H45" s="214"/>
      <c r="I45" s="214"/>
      <c r="J45" s="215">
        <f>透射比示值误差与重复性校验!E12</f>
        <v>0</v>
      </c>
      <c r="K45" s="215"/>
      <c r="L45" s="215"/>
      <c r="M45" s="217">
        <f>透射比示值误差与重复性校验!E13</f>
        <v>0</v>
      </c>
      <c r="N45" s="217"/>
      <c r="O45" s="215">
        <f>透射比示值误差与重复性校验!E14</f>
        <v>0</v>
      </c>
      <c r="P45" s="215"/>
      <c r="Q45" s="193"/>
      <c r="R45" s="193"/>
      <c r="S45" s="193"/>
      <c r="T45" s="193"/>
      <c r="U45" s="193"/>
      <c r="V45" s="193"/>
      <c r="W45" s="193"/>
      <c r="X45" s="193"/>
    </row>
    <row r="46" spans="2:24" x14ac:dyDescent="0.25">
      <c r="B46" s="216"/>
      <c r="C46" s="214"/>
      <c r="D46" s="214"/>
      <c r="E46" s="214"/>
      <c r="F46" s="216"/>
      <c r="G46" s="216"/>
      <c r="H46" s="214"/>
      <c r="I46" s="214"/>
      <c r="J46" s="215">
        <f>透射比示值误差与重复性校验!F2</f>
        <v>0</v>
      </c>
      <c r="K46" s="215"/>
      <c r="L46" s="215"/>
      <c r="M46" s="217">
        <f>透射比示值误差与重复性校验!F13</f>
        <v>0</v>
      </c>
      <c r="N46" s="217"/>
      <c r="O46" s="215">
        <f>透射比示值误差与重复性校验!F14</f>
        <v>0</v>
      </c>
      <c r="P46" s="215"/>
      <c r="Q46" s="193"/>
      <c r="R46" s="193"/>
      <c r="S46" s="193"/>
      <c r="T46" s="193"/>
      <c r="U46" s="193"/>
      <c r="V46" s="193"/>
      <c r="W46" s="193"/>
      <c r="X46" s="193"/>
    </row>
    <row r="47" spans="2:24" x14ac:dyDescent="0.25">
      <c r="B47" s="216"/>
      <c r="C47" s="214"/>
      <c r="D47" s="214"/>
      <c r="E47" s="214"/>
      <c r="F47" s="216"/>
      <c r="G47" s="216"/>
      <c r="H47" s="214" t="s">
        <v>405</v>
      </c>
      <c r="I47" s="214"/>
      <c r="J47" s="217" t="str">
        <f>透射比示值误差与重复性校验!G12</f>
        <v/>
      </c>
      <c r="K47" s="217"/>
      <c r="L47" s="217"/>
      <c r="M47" s="217" t="str">
        <f>透射比示值误差与重复性校验!G13</f>
        <v/>
      </c>
      <c r="N47" s="217"/>
      <c r="O47" s="217" t="str">
        <f>透射比示值误差与重复性校验!G14</f>
        <v/>
      </c>
      <c r="P47" s="217"/>
      <c r="Q47" s="193"/>
      <c r="R47" s="193"/>
      <c r="S47" s="193"/>
      <c r="T47" s="193"/>
      <c r="U47" s="193"/>
      <c r="V47" s="193"/>
      <c r="W47" s="193"/>
      <c r="X47" s="193"/>
    </row>
    <row r="48" spans="2:24" x14ac:dyDescent="0.25">
      <c r="B48" s="216"/>
      <c r="C48" s="214"/>
      <c r="D48" s="214"/>
      <c r="E48" s="214"/>
      <c r="F48" s="216"/>
      <c r="G48" s="216"/>
      <c r="H48" s="214" t="s">
        <v>409</v>
      </c>
      <c r="I48" s="214"/>
      <c r="J48" s="217" t="str">
        <f>透射比示值误差与重复性校验!H12</f>
        <v/>
      </c>
      <c r="K48" s="217"/>
      <c r="L48" s="217"/>
      <c r="M48" s="217" t="str">
        <f>透射比示值误差与重复性校验!H13</f>
        <v/>
      </c>
      <c r="N48" s="217"/>
      <c r="O48" s="215" t="str">
        <f>透射比示值误差与重复性校验!H14</f>
        <v/>
      </c>
      <c r="P48" s="215"/>
      <c r="Q48" s="193"/>
      <c r="R48" s="193"/>
      <c r="S48" s="193"/>
      <c r="T48" s="193"/>
      <c r="U48" s="193"/>
      <c r="V48" s="193"/>
      <c r="W48" s="193"/>
      <c r="X48" s="193"/>
    </row>
    <row r="49" spans="2:24" x14ac:dyDescent="0.25">
      <c r="B49" s="216"/>
      <c r="C49" s="214"/>
      <c r="D49" s="214"/>
      <c r="E49" s="214"/>
      <c r="F49" s="216"/>
      <c r="G49" s="216"/>
      <c r="H49" s="214" t="s">
        <v>408</v>
      </c>
      <c r="I49" s="214"/>
      <c r="J49" s="213">
        <f>透射比示值误差与重复性校验!I12</f>
        <v>0</v>
      </c>
      <c r="K49" s="213"/>
      <c r="L49" s="213"/>
      <c r="M49" s="213">
        <f>透射比示值误差与重复性校验!I13</f>
        <v>0</v>
      </c>
      <c r="N49" s="213"/>
      <c r="O49" s="213">
        <f>透射比示值误差与重复性校验!I14</f>
        <v>0</v>
      </c>
      <c r="P49" s="213"/>
      <c r="Q49" s="193"/>
      <c r="R49" s="193"/>
      <c r="S49" s="193"/>
      <c r="T49" s="193"/>
      <c r="U49" s="193"/>
      <c r="V49" s="193"/>
      <c r="W49" s="193"/>
      <c r="X49" s="193"/>
    </row>
    <row r="50" spans="2:24" ht="14.4" customHeight="1" x14ac:dyDescent="0.25">
      <c r="B50" s="247">
        <v>3</v>
      </c>
      <c r="C50" s="260" t="s">
        <v>407</v>
      </c>
      <c r="D50" s="254" t="s">
        <v>22</v>
      </c>
      <c r="E50" s="255"/>
      <c r="F50" s="214" t="s">
        <v>15</v>
      </c>
      <c r="G50" s="214"/>
      <c r="H50" s="214"/>
      <c r="I50" s="214" t="s">
        <v>307</v>
      </c>
      <c r="J50" s="214"/>
      <c r="K50" s="214"/>
      <c r="L50" s="214"/>
      <c r="M50" s="214"/>
      <c r="N50" s="214"/>
      <c r="O50" s="214"/>
      <c r="P50" s="214"/>
      <c r="Q50" s="193"/>
      <c r="R50" s="193"/>
      <c r="S50" s="193"/>
      <c r="T50" s="193"/>
      <c r="U50" s="193"/>
      <c r="V50" s="193"/>
      <c r="W50" s="193"/>
      <c r="X50" s="193"/>
    </row>
    <row r="51" spans="2:24" ht="15" customHeight="1" x14ac:dyDescent="0.25">
      <c r="B51" s="248"/>
      <c r="C51" s="261"/>
      <c r="D51" s="256"/>
      <c r="E51" s="257"/>
      <c r="F51" s="214" t="s">
        <v>303</v>
      </c>
      <c r="G51" s="214"/>
      <c r="H51" s="214"/>
      <c r="I51" s="216">
        <f>透射比示值误差与重复性校验!B2</f>
        <v>350</v>
      </c>
      <c r="J51" s="216"/>
      <c r="K51" s="216">
        <f>透射比示值误差与重复性校验!B3</f>
        <v>313</v>
      </c>
      <c r="L51" s="216"/>
      <c r="M51" s="225">
        <f>透射比示值误差与重复性校验!B4</f>
        <v>257</v>
      </c>
      <c r="N51" s="225"/>
      <c r="O51" s="225">
        <f>透射比示值误差与重复性校验!B5</f>
        <v>235</v>
      </c>
      <c r="P51" s="225"/>
      <c r="Q51" s="193"/>
      <c r="R51" s="193"/>
      <c r="S51" s="193"/>
      <c r="T51" s="193"/>
      <c r="U51" s="193"/>
      <c r="V51" s="193"/>
      <c r="W51" s="193"/>
      <c r="X51" s="193"/>
    </row>
    <row r="52" spans="2:24" ht="15" customHeight="1" x14ac:dyDescent="0.25">
      <c r="B52" s="248"/>
      <c r="C52" s="261"/>
      <c r="D52" s="256"/>
      <c r="E52" s="257"/>
      <c r="F52" s="214"/>
      <c r="G52" s="214"/>
      <c r="H52" s="214"/>
      <c r="I52" s="218">
        <f>透射比示值误差与重复性校验!C2</f>
        <v>23.35</v>
      </c>
      <c r="J52" s="218"/>
      <c r="K52" s="218">
        <f>透射比示值误差与重复性校验!C3</f>
        <v>51.54</v>
      </c>
      <c r="L52" s="218"/>
      <c r="M52" s="226">
        <f>透射比示值误差与重复性校验!C4</f>
        <v>14.09</v>
      </c>
      <c r="N52" s="226"/>
      <c r="O52" s="226">
        <f>透射比示值误差与重复性校验!C5</f>
        <v>18.53</v>
      </c>
      <c r="P52" s="226"/>
      <c r="Q52" s="193"/>
      <c r="R52" s="193"/>
      <c r="S52" s="193"/>
      <c r="T52" s="193"/>
      <c r="U52" s="193"/>
      <c r="V52" s="193"/>
      <c r="W52" s="193"/>
      <c r="X52" s="193"/>
    </row>
    <row r="53" spans="2:24" ht="15" customHeight="1" x14ac:dyDescent="0.25">
      <c r="B53" s="248"/>
      <c r="C53" s="261"/>
      <c r="D53" s="256"/>
      <c r="E53" s="257"/>
      <c r="F53" s="214" t="s">
        <v>304</v>
      </c>
      <c r="G53" s="214"/>
      <c r="H53" s="214"/>
      <c r="I53" s="215">
        <f>透射比示值误差与重复性校验!D2</f>
        <v>0</v>
      </c>
      <c r="J53" s="215"/>
      <c r="K53" s="215">
        <f>透射比示值误差与重复性校验!D3</f>
        <v>0</v>
      </c>
      <c r="L53" s="215"/>
      <c r="M53" s="224">
        <f>透射比示值误差与重复性校验!D4</f>
        <v>0</v>
      </c>
      <c r="N53" s="224"/>
      <c r="O53" s="224">
        <f>透射比示值误差与重复性校验!D5</f>
        <v>0</v>
      </c>
      <c r="P53" s="224"/>
      <c r="Q53" s="193"/>
      <c r="R53" s="193"/>
      <c r="S53" s="193"/>
      <c r="T53" s="193"/>
      <c r="U53" s="193"/>
      <c r="V53" s="193"/>
      <c r="W53" s="193"/>
      <c r="X53" s="193"/>
    </row>
    <row r="54" spans="2:24" ht="15" customHeight="1" x14ac:dyDescent="0.25">
      <c r="B54" s="248"/>
      <c r="C54" s="261"/>
      <c r="D54" s="256"/>
      <c r="E54" s="257"/>
      <c r="F54" s="214"/>
      <c r="G54" s="214"/>
      <c r="H54" s="214"/>
      <c r="I54" s="215">
        <f>透射比示值误差与重复性校验!E2</f>
        <v>0</v>
      </c>
      <c r="J54" s="215"/>
      <c r="K54" s="215">
        <f>透射比示值误差与重复性校验!E3</f>
        <v>0</v>
      </c>
      <c r="L54" s="215"/>
      <c r="M54" s="224">
        <f>透射比示值误差与重复性校验!E4</f>
        <v>0</v>
      </c>
      <c r="N54" s="224"/>
      <c r="O54" s="224">
        <f>透射比示值误差与重复性校验!E5</f>
        <v>0</v>
      </c>
      <c r="P54" s="224"/>
      <c r="Q54" s="193"/>
      <c r="R54" s="193"/>
      <c r="S54" s="193"/>
      <c r="T54" s="193"/>
      <c r="U54" s="193"/>
      <c r="V54" s="193"/>
      <c r="W54" s="193"/>
      <c r="X54" s="193"/>
    </row>
    <row r="55" spans="2:24" ht="19.2" customHeight="1" x14ac:dyDescent="0.25">
      <c r="B55" s="249"/>
      <c r="C55" s="262"/>
      <c r="D55" s="258"/>
      <c r="E55" s="259"/>
      <c r="F55" s="214"/>
      <c r="G55" s="214"/>
      <c r="H55" s="214"/>
      <c r="I55" s="215">
        <f>透射比示值误差与重复性校验!F2</f>
        <v>0</v>
      </c>
      <c r="J55" s="215"/>
      <c r="K55" s="215">
        <f>透射比示值误差与重复性校验!F3</f>
        <v>0</v>
      </c>
      <c r="L55" s="215"/>
      <c r="M55" s="224">
        <f>透射比示值误差与重复性校验!F4</f>
        <v>0</v>
      </c>
      <c r="N55" s="224"/>
      <c r="O55" s="224">
        <f>透射比示值误差与重复性校验!F5</f>
        <v>0</v>
      </c>
      <c r="P55" s="224"/>
      <c r="Q55" s="193"/>
      <c r="R55" s="193"/>
      <c r="S55" s="193"/>
      <c r="T55" s="193"/>
      <c r="U55" s="193"/>
      <c r="V55" s="193"/>
      <c r="W55" s="193"/>
      <c r="X55" s="193"/>
    </row>
    <row r="56" spans="2:24" ht="1.8" customHeight="1" x14ac:dyDescent="0.25">
      <c r="B56" s="264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P56" s="266"/>
      <c r="Q56" s="193"/>
      <c r="R56" s="193"/>
      <c r="S56" s="193"/>
      <c r="T56" s="193"/>
      <c r="U56" s="193"/>
      <c r="V56" s="193"/>
      <c r="W56" s="193"/>
      <c r="X56" s="193"/>
    </row>
    <row r="57" spans="2:24" ht="14.4" customHeight="1" x14ac:dyDescent="0.25">
      <c r="B57" s="247">
        <v>3</v>
      </c>
      <c r="C57" s="260" t="s">
        <v>406</v>
      </c>
      <c r="D57" s="254" t="s">
        <v>22</v>
      </c>
      <c r="E57" s="255"/>
      <c r="F57" s="214" t="s">
        <v>405</v>
      </c>
      <c r="G57" s="214"/>
      <c r="H57" s="214"/>
      <c r="I57" s="215" t="str">
        <f>透射比示值误差与重复性校验!G2</f>
        <v/>
      </c>
      <c r="J57" s="215"/>
      <c r="K57" s="215" t="str">
        <f>透射比示值误差与重复性校验!G3</f>
        <v/>
      </c>
      <c r="L57" s="215"/>
      <c r="M57" s="215" t="str">
        <f>透射比示值误差与重复性校验!G4</f>
        <v/>
      </c>
      <c r="N57" s="215"/>
      <c r="O57" s="215" t="str">
        <f>透射比示值误差与重复性校验!G5</f>
        <v/>
      </c>
      <c r="P57" s="215"/>
      <c r="Q57" s="193"/>
      <c r="R57" s="193"/>
      <c r="S57" s="193"/>
      <c r="T57" s="193"/>
      <c r="U57" s="193"/>
      <c r="V57" s="193"/>
      <c r="W57" s="193"/>
      <c r="X57" s="193"/>
    </row>
    <row r="58" spans="2:24" ht="32.4" customHeight="1" x14ac:dyDescent="0.25">
      <c r="B58" s="248"/>
      <c r="C58" s="261"/>
      <c r="D58" s="256"/>
      <c r="E58" s="257"/>
      <c r="F58" s="214" t="s">
        <v>404</v>
      </c>
      <c r="G58" s="214"/>
      <c r="H58" s="214"/>
      <c r="I58" s="215" t="str">
        <f>透射比示值误差与重复性校验!H2</f>
        <v/>
      </c>
      <c r="J58" s="215"/>
      <c r="K58" s="215" t="str">
        <f>透射比示值误差与重复性校验!H3</f>
        <v/>
      </c>
      <c r="L58" s="215"/>
      <c r="M58" s="215" t="str">
        <f>透射比示值误差与重复性校验!H4</f>
        <v/>
      </c>
      <c r="N58" s="215"/>
      <c r="O58" s="215" t="str">
        <f>透射比示值误差与重复性校验!H5</f>
        <v/>
      </c>
      <c r="P58" s="215"/>
      <c r="Q58" s="193"/>
      <c r="R58" s="193"/>
      <c r="S58" s="193"/>
      <c r="T58" s="193"/>
      <c r="U58" s="193"/>
      <c r="V58" s="193"/>
      <c r="W58" s="193"/>
      <c r="X58" s="193"/>
    </row>
    <row r="59" spans="2:24" ht="28.2" customHeight="1" x14ac:dyDescent="0.25">
      <c r="B59" s="249"/>
      <c r="C59" s="262"/>
      <c r="D59" s="258"/>
      <c r="E59" s="259"/>
      <c r="F59" s="214" t="s">
        <v>403</v>
      </c>
      <c r="G59" s="214"/>
      <c r="H59" s="214"/>
      <c r="I59" s="218">
        <f>透射比示值误差与重复性校验!I2</f>
        <v>0</v>
      </c>
      <c r="J59" s="218"/>
      <c r="K59" s="218">
        <f>透射比示值误差与重复性校验!I3</f>
        <v>0</v>
      </c>
      <c r="L59" s="218"/>
      <c r="M59" s="218">
        <f>透射比示值误差与重复性校验!I4</f>
        <v>0</v>
      </c>
      <c r="N59" s="218"/>
      <c r="O59" s="218">
        <f>透射比示值误差与重复性校验!I5</f>
        <v>0</v>
      </c>
      <c r="P59" s="218"/>
      <c r="Q59" s="193"/>
      <c r="R59" s="193"/>
      <c r="S59" s="193"/>
      <c r="T59" s="193"/>
      <c r="U59" s="193"/>
      <c r="V59" s="193"/>
      <c r="W59" s="193"/>
      <c r="X59" s="193"/>
    </row>
    <row r="60" spans="2:24" ht="18" customHeight="1" x14ac:dyDescent="0.25">
      <c r="B60" s="216">
        <v>4</v>
      </c>
      <c r="C60" s="232" t="s">
        <v>23</v>
      </c>
      <c r="D60" s="216"/>
      <c r="E60" s="216"/>
      <c r="F60" s="227" t="s">
        <v>24</v>
      </c>
      <c r="G60" s="227"/>
      <c r="H60" s="227"/>
      <c r="I60" s="228"/>
      <c r="J60" s="228"/>
      <c r="K60" s="228"/>
      <c r="L60" s="228"/>
      <c r="M60" s="208">
        <v>1</v>
      </c>
      <c r="N60" s="208">
        <v>2</v>
      </c>
      <c r="O60" s="208">
        <v>3</v>
      </c>
      <c r="P60" s="196" t="s">
        <v>13</v>
      </c>
      <c r="Q60" s="193"/>
      <c r="R60" s="193"/>
      <c r="S60" s="193"/>
      <c r="T60" s="193"/>
      <c r="U60" s="193"/>
      <c r="V60" s="193"/>
      <c r="W60" s="193"/>
      <c r="X60" s="193"/>
    </row>
    <row r="61" spans="2:24" x14ac:dyDescent="0.25">
      <c r="B61" s="216"/>
      <c r="C61" s="232"/>
      <c r="D61" s="209" t="s">
        <v>25</v>
      </c>
      <c r="E61" s="202" t="s">
        <v>308</v>
      </c>
      <c r="F61" s="227" t="s">
        <v>402</v>
      </c>
      <c r="G61" s="227"/>
      <c r="H61" s="227"/>
      <c r="I61" s="214" t="s">
        <v>304</v>
      </c>
      <c r="J61" s="214"/>
      <c r="K61" s="214"/>
      <c r="L61" s="214"/>
      <c r="M61" s="204">
        <f>杂散光校验!C2</f>
        <v>0</v>
      </c>
      <c r="N61" s="204">
        <f>杂散光校验!D2</f>
        <v>0</v>
      </c>
      <c r="O61" s="204">
        <f>杂散光校验!E2</f>
        <v>0</v>
      </c>
      <c r="P61" s="196" t="str">
        <f>杂散光校验!G2</f>
        <v/>
      </c>
      <c r="Q61" s="193"/>
      <c r="R61" s="193"/>
      <c r="S61" s="193"/>
      <c r="T61" s="193"/>
      <c r="U61" s="193"/>
      <c r="V61" s="193"/>
      <c r="W61" s="193"/>
      <c r="X61" s="193"/>
    </row>
    <row r="62" spans="2:24" ht="30.6" customHeight="1" x14ac:dyDescent="0.25">
      <c r="B62" s="216"/>
      <c r="C62" s="232"/>
      <c r="D62" s="209" t="s">
        <v>27</v>
      </c>
      <c r="E62" s="202" t="s">
        <v>309</v>
      </c>
      <c r="F62" s="227" t="s">
        <v>401</v>
      </c>
      <c r="G62" s="227"/>
      <c r="H62" s="227"/>
      <c r="I62" s="214"/>
      <c r="J62" s="214"/>
      <c r="K62" s="214"/>
      <c r="L62" s="214"/>
      <c r="M62" s="204">
        <f>杂散光校验!C3</f>
        <v>0</v>
      </c>
      <c r="N62" s="204">
        <f>杂散光校验!D3</f>
        <v>0</v>
      </c>
      <c r="O62" s="204">
        <f>杂散光校验!E3</f>
        <v>0</v>
      </c>
      <c r="P62" s="196" t="str">
        <f>杂散光校验!G3</f>
        <v/>
      </c>
      <c r="Q62" s="193"/>
      <c r="R62" s="193"/>
      <c r="S62" s="193"/>
      <c r="T62" s="193"/>
      <c r="U62" s="193"/>
      <c r="V62" s="193"/>
      <c r="W62" s="193"/>
      <c r="X62" s="193"/>
    </row>
    <row r="63" spans="2:24" x14ac:dyDescent="0.25">
      <c r="B63" s="208">
        <v>5</v>
      </c>
      <c r="C63" s="194" t="s">
        <v>29</v>
      </c>
      <c r="D63" s="214" t="s">
        <v>310</v>
      </c>
      <c r="E63" s="214"/>
      <c r="F63" s="214"/>
      <c r="G63" s="214"/>
      <c r="H63" s="214"/>
      <c r="I63" s="214" t="s">
        <v>30</v>
      </c>
      <c r="J63" s="214"/>
      <c r="K63" s="214"/>
      <c r="L63" s="214"/>
      <c r="M63" s="214"/>
      <c r="N63" s="263">
        <f>基线平直度检验!B2</f>
        <v>0</v>
      </c>
      <c r="O63" s="263"/>
      <c r="P63" s="263"/>
      <c r="Q63" s="193"/>
      <c r="R63" s="193"/>
      <c r="S63" s="193"/>
      <c r="T63" s="193"/>
      <c r="U63" s="193"/>
      <c r="V63" s="193"/>
      <c r="W63" s="193"/>
      <c r="X63" s="193"/>
    </row>
    <row r="64" spans="2:24" ht="39" customHeight="1" x14ac:dyDescent="0.25">
      <c r="B64" s="195">
        <v>6</v>
      </c>
      <c r="C64" s="194" t="s">
        <v>31</v>
      </c>
      <c r="D64" s="214" t="s">
        <v>311</v>
      </c>
      <c r="E64" s="214"/>
      <c r="F64" s="214"/>
      <c r="G64" s="214"/>
      <c r="H64" s="214"/>
      <c r="I64" s="214" t="s">
        <v>32</v>
      </c>
      <c r="J64" s="214"/>
      <c r="K64" s="214"/>
      <c r="L64" s="214"/>
      <c r="M64" s="214"/>
      <c r="N64" s="229">
        <f>基线暗噪声检验!B2</f>
        <v>0</v>
      </c>
      <c r="O64" s="229"/>
      <c r="P64" s="229"/>
      <c r="Q64" s="193"/>
      <c r="R64" s="193"/>
      <c r="S64" s="193"/>
      <c r="T64" s="193"/>
      <c r="U64" s="193"/>
      <c r="V64" s="193"/>
      <c r="W64" s="193"/>
      <c r="X64" s="193"/>
    </row>
    <row r="65" spans="2:24" ht="27.6" x14ac:dyDescent="0.25">
      <c r="B65" s="244">
        <v>7</v>
      </c>
      <c r="C65" s="246" t="s">
        <v>33</v>
      </c>
      <c r="D65" s="214" t="s">
        <v>34</v>
      </c>
      <c r="E65" s="214"/>
      <c r="F65" s="232" t="s">
        <v>312</v>
      </c>
      <c r="G65" s="232"/>
      <c r="H65" s="232"/>
      <c r="I65" s="207" t="str">
        <f>光谱带宽与仪器最小光谱带宽!A2</f>
        <v>氘灯5.0</v>
      </c>
      <c r="J65" s="234" t="str">
        <f>光谱带宽与仪器最小光谱带宽!A3</f>
        <v>氘灯2.0</v>
      </c>
      <c r="K65" s="234"/>
      <c r="L65" s="207" t="str">
        <f>光谱带宽与仪器最小光谱带宽!A4</f>
        <v>氘灯1.0</v>
      </c>
      <c r="M65" s="207" t="str">
        <f>光谱带宽与仪器最小光谱带宽!A5</f>
        <v>氘灯0.5</v>
      </c>
      <c r="N65" s="207" t="str">
        <f>光谱带宽与仪器最小光谱带宽!A6</f>
        <v>氘灯0.2</v>
      </c>
      <c r="O65" s="235"/>
      <c r="P65" s="236"/>
      <c r="Q65" s="193"/>
      <c r="R65" s="193"/>
      <c r="S65" s="193"/>
      <c r="T65" s="193"/>
      <c r="U65" s="193"/>
      <c r="V65" s="193"/>
      <c r="W65" s="193"/>
      <c r="X65" s="193"/>
    </row>
    <row r="66" spans="2:24" x14ac:dyDescent="0.25">
      <c r="B66" s="244"/>
      <c r="C66" s="246"/>
      <c r="D66" s="214"/>
      <c r="E66" s="214"/>
      <c r="F66" s="232" t="s">
        <v>400</v>
      </c>
      <c r="G66" s="232"/>
      <c r="H66" s="232"/>
      <c r="I66" s="206">
        <f>光谱带宽与仪器最小光谱带宽!D2</f>
        <v>0</v>
      </c>
      <c r="J66" s="230">
        <f>光谱带宽与仪器最小光谱带宽!D3</f>
        <v>0</v>
      </c>
      <c r="K66" s="230"/>
      <c r="L66" s="206">
        <f>光谱带宽与仪器最小光谱带宽!D4</f>
        <v>0</v>
      </c>
      <c r="M66" s="206">
        <f>光谱带宽与仪器最小光谱带宽!D5</f>
        <v>0</v>
      </c>
      <c r="N66" s="206">
        <f>光谱带宽与仪器最小光谱带宽!D6</f>
        <v>0</v>
      </c>
      <c r="O66" s="237"/>
      <c r="P66" s="238"/>
      <c r="Q66" s="193"/>
      <c r="R66" s="193"/>
      <c r="S66" s="193"/>
      <c r="T66" s="193"/>
      <c r="U66" s="193"/>
      <c r="V66" s="193"/>
      <c r="W66" s="193"/>
      <c r="X66" s="193"/>
    </row>
    <row r="67" spans="2:24" x14ac:dyDescent="0.25">
      <c r="B67" s="244"/>
      <c r="C67" s="246"/>
      <c r="D67" s="214"/>
      <c r="E67" s="214"/>
      <c r="F67" s="214" t="s">
        <v>313</v>
      </c>
      <c r="G67" s="214"/>
      <c r="H67" s="214"/>
      <c r="I67" s="205">
        <f>光谱带宽与仪器最小光谱带宽!E2</f>
        <v>-100</v>
      </c>
      <c r="J67" s="231">
        <f>光谱带宽与仪器最小光谱带宽!E3</f>
        <v>-100</v>
      </c>
      <c r="K67" s="231"/>
      <c r="L67" s="205">
        <f>光谱带宽与仪器最小光谱带宽!E4</f>
        <v>-100</v>
      </c>
      <c r="M67" s="205">
        <f>光谱带宽与仪器最小光谱带宽!E5</f>
        <v>-100</v>
      </c>
      <c r="N67" s="205">
        <f>光谱带宽与仪器最小光谱带宽!E6</f>
        <v>-100</v>
      </c>
      <c r="O67" s="237"/>
      <c r="P67" s="238"/>
      <c r="Q67" s="193"/>
      <c r="R67" s="193"/>
      <c r="S67" s="193"/>
      <c r="T67" s="193"/>
      <c r="U67" s="193"/>
      <c r="V67" s="193"/>
      <c r="W67" s="193"/>
      <c r="X67" s="193"/>
    </row>
    <row r="68" spans="2:24" x14ac:dyDescent="0.25">
      <c r="B68" s="244"/>
      <c r="C68" s="246"/>
      <c r="D68" s="214"/>
      <c r="E68" s="214"/>
      <c r="F68" s="214" t="s">
        <v>399</v>
      </c>
      <c r="G68" s="214"/>
      <c r="H68" s="214"/>
      <c r="I68" s="205" t="str">
        <f>光谱带宽与仪器最小光谱带宽!G2</f>
        <v>不合格</v>
      </c>
      <c r="J68" s="241" t="str">
        <f>光谱带宽与仪器最小光谱带宽!G3</f>
        <v>不合格</v>
      </c>
      <c r="K68" s="242"/>
      <c r="L68" s="205" t="str">
        <f>光谱带宽与仪器最小光谱带宽!G4</f>
        <v>不合格</v>
      </c>
      <c r="M68" s="205" t="str">
        <f>光谱带宽与仪器最小光谱带宽!G5</f>
        <v>不合格</v>
      </c>
      <c r="N68" s="205" t="str">
        <f>光谱带宽与仪器最小光谱带宽!G6</f>
        <v>不合格</v>
      </c>
      <c r="O68" s="239"/>
      <c r="P68" s="240"/>
      <c r="Q68" s="193"/>
      <c r="R68" s="193"/>
      <c r="S68" s="193"/>
      <c r="T68" s="193"/>
      <c r="U68" s="193"/>
      <c r="V68" s="193"/>
      <c r="W68" s="193"/>
      <c r="X68" s="193"/>
    </row>
    <row r="69" spans="2:24" x14ac:dyDescent="0.25">
      <c r="B69" s="244">
        <v>8</v>
      </c>
      <c r="C69" s="194" t="s">
        <v>314</v>
      </c>
      <c r="D69" s="203">
        <v>1</v>
      </c>
      <c r="E69" s="202" t="s">
        <v>35</v>
      </c>
      <c r="F69" s="232" t="s">
        <v>315</v>
      </c>
      <c r="G69" s="232"/>
      <c r="H69" s="232"/>
      <c r="I69" s="204">
        <f>噪声检验!C2</f>
        <v>0</v>
      </c>
      <c r="J69" s="233">
        <v>0</v>
      </c>
      <c r="K69" s="233"/>
      <c r="L69" s="214" t="s">
        <v>36</v>
      </c>
      <c r="M69" s="214"/>
      <c r="N69" s="214" t="s">
        <v>32</v>
      </c>
      <c r="O69" s="214"/>
      <c r="P69" s="196">
        <f>噪声检验!C3</f>
        <v>0</v>
      </c>
      <c r="Q69" s="193"/>
      <c r="R69" s="193"/>
      <c r="S69" s="193"/>
      <c r="T69" s="193"/>
      <c r="U69" s="193"/>
      <c r="V69" s="193"/>
      <c r="W69" s="193"/>
      <c r="X69" s="193"/>
    </row>
    <row r="70" spans="2:24" x14ac:dyDescent="0.25">
      <c r="B70" s="244"/>
      <c r="C70" s="194" t="s">
        <v>316</v>
      </c>
      <c r="D70" s="203">
        <v>1</v>
      </c>
      <c r="E70" s="202" t="s">
        <v>35</v>
      </c>
      <c r="F70" s="232" t="s">
        <v>315</v>
      </c>
      <c r="G70" s="232"/>
      <c r="H70" s="232"/>
      <c r="I70" s="204">
        <f>噪声检验!C4</f>
        <v>0</v>
      </c>
      <c r="J70" s="233">
        <v>0</v>
      </c>
      <c r="K70" s="233"/>
      <c r="L70" s="214" t="s">
        <v>36</v>
      </c>
      <c r="M70" s="214"/>
      <c r="N70" s="214" t="s">
        <v>32</v>
      </c>
      <c r="O70" s="214"/>
      <c r="P70" s="196">
        <f>噪声检验!C5</f>
        <v>0</v>
      </c>
      <c r="Q70" s="193"/>
      <c r="R70" s="193"/>
      <c r="S70" s="193"/>
      <c r="T70" s="193"/>
      <c r="U70" s="193"/>
      <c r="V70" s="193"/>
      <c r="W70" s="193"/>
      <c r="X70" s="193"/>
    </row>
    <row r="71" spans="2:24" ht="28.8" x14ac:dyDescent="0.25">
      <c r="B71" s="244"/>
      <c r="C71" s="194" t="s">
        <v>37</v>
      </c>
      <c r="D71" s="203">
        <v>1</v>
      </c>
      <c r="E71" s="202" t="s">
        <v>38</v>
      </c>
      <c r="F71" s="232" t="s">
        <v>315</v>
      </c>
      <c r="G71" s="232"/>
      <c r="H71" s="232"/>
      <c r="I71" s="201">
        <f>波长边缘噪声!C2</f>
        <v>0</v>
      </c>
      <c r="J71" s="233">
        <v>0</v>
      </c>
      <c r="K71" s="233"/>
      <c r="L71" s="214" t="s">
        <v>39</v>
      </c>
      <c r="M71" s="214"/>
      <c r="N71" s="214" t="s">
        <v>32</v>
      </c>
      <c r="O71" s="214"/>
      <c r="P71" s="196">
        <f>波长边缘噪声!C3</f>
        <v>0</v>
      </c>
      <c r="Q71" s="193"/>
      <c r="R71" s="193"/>
      <c r="S71" s="193"/>
      <c r="T71" s="193"/>
      <c r="U71" s="193"/>
      <c r="V71" s="193"/>
      <c r="W71" s="193"/>
      <c r="X71" s="193"/>
    </row>
    <row r="72" spans="2:24" ht="28.8" x14ac:dyDescent="0.25">
      <c r="B72" s="244"/>
      <c r="C72" s="194" t="s">
        <v>40</v>
      </c>
      <c r="D72" s="203">
        <v>1</v>
      </c>
      <c r="E72" s="202" t="s">
        <v>38</v>
      </c>
      <c r="F72" s="232" t="s">
        <v>315</v>
      </c>
      <c r="G72" s="232"/>
      <c r="H72" s="232"/>
      <c r="I72" s="201">
        <f>波长边缘噪声!C4</f>
        <v>0</v>
      </c>
      <c r="J72" s="233">
        <v>0</v>
      </c>
      <c r="K72" s="233"/>
      <c r="L72" s="214" t="s">
        <v>39</v>
      </c>
      <c r="M72" s="214"/>
      <c r="N72" s="214" t="s">
        <v>32</v>
      </c>
      <c r="O72" s="214"/>
      <c r="P72" s="196">
        <f>波长边缘噪声!C5</f>
        <v>0</v>
      </c>
      <c r="Q72" s="193"/>
      <c r="R72" s="193"/>
      <c r="S72" s="193"/>
      <c r="T72" s="193"/>
      <c r="U72" s="193"/>
      <c r="V72" s="193"/>
      <c r="W72" s="193"/>
      <c r="X72" s="193"/>
    </row>
    <row r="73" spans="2:24" ht="15" customHeight="1" x14ac:dyDescent="0.25">
      <c r="B73" s="195">
        <v>9</v>
      </c>
      <c r="C73" s="194" t="s">
        <v>41</v>
      </c>
      <c r="D73" s="244" t="s">
        <v>317</v>
      </c>
      <c r="E73" s="244"/>
      <c r="F73" s="244"/>
      <c r="G73" s="244"/>
      <c r="H73" s="244"/>
      <c r="I73" s="243" t="s">
        <v>318</v>
      </c>
      <c r="J73" s="243"/>
      <c r="K73" s="243"/>
      <c r="L73" s="243"/>
      <c r="M73" s="243"/>
      <c r="N73" s="232">
        <f>漂移检验!C2</f>
        <v>0</v>
      </c>
      <c r="O73" s="232"/>
      <c r="P73" s="232"/>
      <c r="Q73" s="193"/>
      <c r="R73" s="193"/>
      <c r="S73" s="193"/>
      <c r="T73" s="193"/>
      <c r="U73" s="193"/>
      <c r="V73" s="193"/>
      <c r="W73" s="193"/>
      <c r="X73" s="193"/>
    </row>
    <row r="74" spans="2:24" ht="27.6" customHeight="1" x14ac:dyDescent="0.25">
      <c r="B74" s="244">
        <v>10</v>
      </c>
      <c r="C74" s="232" t="s">
        <v>42</v>
      </c>
      <c r="D74" s="232" t="s">
        <v>319</v>
      </c>
      <c r="E74" s="200" t="s">
        <v>398</v>
      </c>
      <c r="F74" s="232" t="s">
        <v>43</v>
      </c>
      <c r="G74" s="232"/>
      <c r="H74" s="232"/>
      <c r="I74" s="232"/>
      <c r="J74" s="232"/>
      <c r="K74" s="232"/>
      <c r="L74" s="232"/>
      <c r="M74" s="232" t="s">
        <v>44</v>
      </c>
      <c r="N74" s="232"/>
      <c r="O74" s="199" t="s">
        <v>45</v>
      </c>
      <c r="P74" s="196" t="s">
        <v>46</v>
      </c>
      <c r="Q74" s="193"/>
      <c r="R74" s="193"/>
      <c r="S74" s="193"/>
      <c r="T74" s="193"/>
      <c r="U74" s="193"/>
      <c r="V74" s="193"/>
      <c r="W74" s="193"/>
      <c r="X74" s="193"/>
    </row>
    <row r="75" spans="2:24" ht="15" customHeight="1" x14ac:dyDescent="0.25">
      <c r="B75" s="244"/>
      <c r="C75" s="232"/>
      <c r="D75" s="232"/>
      <c r="E75" s="214" t="s">
        <v>47</v>
      </c>
      <c r="F75" s="244" t="s">
        <v>320</v>
      </c>
      <c r="G75" s="244"/>
      <c r="H75" s="244"/>
      <c r="I75" s="244"/>
      <c r="J75" s="244"/>
      <c r="K75" s="244"/>
      <c r="L75" s="244"/>
      <c r="M75" s="244"/>
      <c r="N75" s="244"/>
      <c r="O75" s="197"/>
      <c r="P75" s="196"/>
      <c r="Q75" s="193"/>
      <c r="R75" s="193"/>
      <c r="S75" s="193"/>
      <c r="T75" s="193"/>
      <c r="U75" s="193"/>
      <c r="V75" s="193"/>
      <c r="W75" s="193"/>
      <c r="X75" s="193"/>
    </row>
    <row r="76" spans="2:24" ht="15" customHeight="1" x14ac:dyDescent="0.25">
      <c r="B76" s="244"/>
      <c r="C76" s="232"/>
      <c r="D76" s="232"/>
      <c r="E76" s="214"/>
      <c r="F76" s="244" t="s">
        <v>321</v>
      </c>
      <c r="G76" s="244"/>
      <c r="H76" s="244"/>
      <c r="I76" s="244"/>
      <c r="J76" s="244"/>
      <c r="K76" s="244"/>
      <c r="L76" s="244"/>
      <c r="M76" s="219"/>
      <c r="N76" s="219"/>
      <c r="O76" s="198"/>
      <c r="P76" s="196"/>
      <c r="Q76" s="193"/>
      <c r="R76" s="193"/>
      <c r="S76" s="193"/>
      <c r="T76" s="193"/>
      <c r="U76" s="193"/>
      <c r="V76" s="193"/>
      <c r="W76" s="193"/>
      <c r="X76" s="193"/>
    </row>
    <row r="77" spans="2:24" ht="15" customHeight="1" x14ac:dyDescent="0.25">
      <c r="B77" s="244"/>
      <c r="C77" s="232"/>
      <c r="D77" s="232"/>
      <c r="E77" s="214"/>
      <c r="F77" s="244" t="s">
        <v>322</v>
      </c>
      <c r="G77" s="244"/>
      <c r="H77" s="244"/>
      <c r="I77" s="244"/>
      <c r="J77" s="244"/>
      <c r="K77" s="244"/>
      <c r="L77" s="244"/>
      <c r="M77" s="244"/>
      <c r="N77" s="244"/>
      <c r="O77" s="197"/>
      <c r="P77" s="196"/>
      <c r="Q77" s="193"/>
      <c r="R77" s="193"/>
      <c r="S77" s="193"/>
      <c r="T77" s="193"/>
      <c r="U77" s="193"/>
      <c r="V77" s="193"/>
      <c r="W77" s="193"/>
      <c r="X77" s="193"/>
    </row>
    <row r="78" spans="2:24" ht="42" customHeight="1" x14ac:dyDescent="0.25">
      <c r="B78" s="244"/>
      <c r="C78" s="232"/>
      <c r="D78" s="232"/>
      <c r="E78" s="214"/>
      <c r="F78" s="244" t="s">
        <v>323</v>
      </c>
      <c r="G78" s="244"/>
      <c r="H78" s="244"/>
      <c r="I78" s="244"/>
      <c r="J78" s="244"/>
      <c r="K78" s="244"/>
      <c r="L78" s="244"/>
      <c r="M78" s="244"/>
      <c r="N78" s="244"/>
      <c r="O78" s="197"/>
      <c r="P78" s="196"/>
      <c r="Q78" s="193"/>
      <c r="R78" s="193"/>
      <c r="S78" s="193"/>
      <c r="T78" s="193"/>
      <c r="U78" s="193"/>
      <c r="V78" s="193"/>
      <c r="W78" s="193"/>
      <c r="X78" s="193"/>
    </row>
    <row r="79" spans="2:24" x14ac:dyDescent="0.25">
      <c r="B79" s="195">
        <v>11</v>
      </c>
      <c r="C79" s="194" t="s">
        <v>48</v>
      </c>
      <c r="D79" s="232" t="s">
        <v>49</v>
      </c>
      <c r="E79" s="232"/>
      <c r="F79" s="232"/>
      <c r="G79" s="232" t="s">
        <v>50</v>
      </c>
      <c r="H79" s="232"/>
      <c r="I79" s="232"/>
      <c r="J79" s="232"/>
      <c r="K79" s="232"/>
      <c r="L79" s="232"/>
      <c r="M79" s="232" t="s">
        <v>51</v>
      </c>
      <c r="N79" s="232"/>
      <c r="O79" s="232"/>
      <c r="P79" s="232"/>
      <c r="Q79" s="193"/>
      <c r="R79" s="193"/>
      <c r="S79" s="193"/>
      <c r="T79" s="193"/>
      <c r="U79" s="193"/>
      <c r="V79" s="193"/>
      <c r="W79" s="193"/>
      <c r="X79" s="193"/>
    </row>
    <row r="80" spans="2:24" ht="15" customHeight="1" x14ac:dyDescent="0.25">
      <c r="B80" s="244">
        <v>12</v>
      </c>
      <c r="C80" s="232" t="s">
        <v>52</v>
      </c>
      <c r="D80" s="232" t="s">
        <v>324</v>
      </c>
      <c r="E80" s="232"/>
      <c r="F80" s="232"/>
      <c r="G80" s="232" t="s">
        <v>53</v>
      </c>
      <c r="H80" s="232"/>
      <c r="I80" s="232"/>
      <c r="J80" s="232"/>
      <c r="K80" s="232"/>
      <c r="L80" s="232"/>
      <c r="M80" s="232" t="s">
        <v>325</v>
      </c>
      <c r="N80" s="232"/>
      <c r="O80" s="232"/>
      <c r="P80" s="232"/>
      <c r="Q80" s="193"/>
      <c r="R80" s="193"/>
      <c r="S80" s="193"/>
      <c r="T80" s="193"/>
      <c r="U80" s="193"/>
      <c r="V80" s="193"/>
      <c r="W80" s="193"/>
      <c r="X80" s="193"/>
    </row>
    <row r="81" spans="2:24" ht="15" customHeight="1" x14ac:dyDescent="0.25">
      <c r="B81" s="244"/>
      <c r="C81" s="232"/>
      <c r="D81" s="232" t="s">
        <v>326</v>
      </c>
      <c r="E81" s="232"/>
      <c r="F81" s="232"/>
      <c r="G81" s="232"/>
      <c r="H81" s="232"/>
      <c r="I81" s="232"/>
      <c r="J81" s="232"/>
      <c r="K81" s="232"/>
      <c r="L81" s="232"/>
      <c r="M81" s="232" t="s">
        <v>325</v>
      </c>
      <c r="N81" s="232"/>
      <c r="O81" s="232"/>
      <c r="P81" s="232"/>
      <c r="Q81" s="193"/>
      <c r="R81" s="193"/>
      <c r="S81" s="193"/>
      <c r="T81" s="193"/>
      <c r="U81" s="193"/>
      <c r="V81" s="193"/>
      <c r="W81" s="193"/>
      <c r="X81" s="193"/>
    </row>
    <row r="82" spans="2:24" x14ac:dyDescent="0.25">
      <c r="B82" s="195">
        <v>13</v>
      </c>
      <c r="C82" s="194" t="s">
        <v>54</v>
      </c>
      <c r="D82" s="232" t="s">
        <v>55</v>
      </c>
      <c r="E82" s="232"/>
      <c r="F82" s="232"/>
      <c r="G82" s="232" t="s">
        <v>56</v>
      </c>
      <c r="H82" s="232"/>
      <c r="I82" s="232"/>
      <c r="J82" s="232"/>
      <c r="K82" s="232"/>
      <c r="L82" s="232"/>
      <c r="M82" s="232" t="s">
        <v>57</v>
      </c>
      <c r="N82" s="232"/>
      <c r="O82" s="232"/>
      <c r="P82" s="232"/>
      <c r="Q82" s="193"/>
      <c r="R82" s="193"/>
      <c r="S82" s="193"/>
      <c r="T82" s="193"/>
      <c r="U82" s="193"/>
      <c r="V82" s="193"/>
      <c r="W82" s="193"/>
      <c r="X82" s="193"/>
    </row>
    <row r="83" spans="2:24" ht="33" customHeight="1" x14ac:dyDescent="0.25">
      <c r="B83" s="195">
        <v>14</v>
      </c>
      <c r="C83" s="194" t="s">
        <v>58</v>
      </c>
      <c r="D83" s="232" t="s">
        <v>327</v>
      </c>
      <c r="E83" s="232"/>
      <c r="F83" s="232"/>
      <c r="G83" s="232" t="s">
        <v>59</v>
      </c>
      <c r="H83" s="232"/>
      <c r="I83" s="232"/>
      <c r="J83" s="232"/>
      <c r="K83" s="232"/>
      <c r="L83" s="232"/>
      <c r="M83" s="228" t="s">
        <v>328</v>
      </c>
      <c r="N83" s="228"/>
      <c r="O83" s="232"/>
      <c r="P83" s="232"/>
      <c r="Q83" s="193"/>
      <c r="R83" s="193"/>
      <c r="S83" s="193"/>
      <c r="T83" s="193"/>
      <c r="U83" s="193"/>
      <c r="V83" s="193"/>
      <c r="W83" s="193"/>
      <c r="X83" s="193"/>
    </row>
    <row r="84" spans="2:24" ht="28.2" customHeight="1" x14ac:dyDescent="0.25">
      <c r="B84" s="244">
        <v>15</v>
      </c>
      <c r="C84" s="245" t="s">
        <v>60</v>
      </c>
      <c r="D84" s="232" t="s">
        <v>61</v>
      </c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 t="s">
        <v>62</v>
      </c>
      <c r="P84" s="232"/>
      <c r="Q84" s="193"/>
      <c r="R84" s="193"/>
      <c r="S84" s="193"/>
      <c r="T84" s="193"/>
      <c r="U84" s="193"/>
      <c r="V84" s="193"/>
      <c r="W84" s="193"/>
      <c r="X84" s="193"/>
    </row>
    <row r="85" spans="2:24" ht="99.6" customHeight="1" x14ac:dyDescent="0.25">
      <c r="B85" s="244"/>
      <c r="C85" s="245"/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193"/>
      <c r="R85" s="193"/>
      <c r="S85" s="193"/>
      <c r="T85" s="193"/>
      <c r="U85" s="193"/>
      <c r="V85" s="193"/>
      <c r="W85" s="193"/>
      <c r="X85" s="193"/>
    </row>
    <row r="86" spans="2:24" ht="27.6" customHeight="1" x14ac:dyDescent="0.25">
      <c r="B86" s="232" t="s">
        <v>63</v>
      </c>
      <c r="C86" s="232"/>
      <c r="D86" s="232" t="s">
        <v>329</v>
      </c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193"/>
      <c r="R86" s="193"/>
      <c r="S86" s="193"/>
      <c r="T86" s="193"/>
      <c r="U86" s="193"/>
      <c r="V86" s="193"/>
      <c r="W86" s="193"/>
      <c r="X86" s="193"/>
    </row>
    <row r="87" spans="2:24" ht="14.4" customHeight="1" x14ac:dyDescent="0.25">
      <c r="B87" s="214" t="s">
        <v>64</v>
      </c>
      <c r="C87" s="214"/>
      <c r="D87" s="250" t="s">
        <v>330</v>
      </c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193"/>
      <c r="R87" s="193"/>
      <c r="S87" s="193"/>
      <c r="T87" s="193"/>
      <c r="U87" s="193"/>
      <c r="V87" s="193"/>
      <c r="W87" s="193"/>
      <c r="X87" s="193"/>
    </row>
    <row r="88" spans="2:24" ht="14.4" customHeight="1" x14ac:dyDescent="0.25">
      <c r="B88" s="214"/>
      <c r="C88" s="214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193"/>
      <c r="R88" s="193"/>
      <c r="S88" s="193"/>
      <c r="T88" s="193"/>
      <c r="U88" s="193"/>
      <c r="V88" s="193"/>
      <c r="W88" s="193"/>
      <c r="X88" s="193"/>
    </row>
    <row r="89" spans="2:24" ht="15" customHeight="1" x14ac:dyDescent="0.25">
      <c r="B89" s="214"/>
      <c r="C89" s="214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193"/>
      <c r="R89" s="193"/>
      <c r="S89" s="193"/>
      <c r="T89" s="193"/>
      <c r="U89" s="193"/>
      <c r="V89" s="193"/>
      <c r="W89" s="193"/>
      <c r="X89" s="193"/>
    </row>
  </sheetData>
  <mergeCells count="295">
    <mergeCell ref="B57:B59"/>
    <mergeCell ref="B56:P56"/>
    <mergeCell ref="I19:J19"/>
    <mergeCell ref="I20:J20"/>
    <mergeCell ref="I21:J21"/>
    <mergeCell ref="I22:J22"/>
    <mergeCell ref="I23:J23"/>
    <mergeCell ref="I24:J24"/>
    <mergeCell ref="D50:E55"/>
    <mergeCell ref="C50:C55"/>
    <mergeCell ref="B2:C4"/>
    <mergeCell ref="D3:L4"/>
    <mergeCell ref="F36:G42"/>
    <mergeCell ref="C9:C17"/>
    <mergeCell ref="H41:I41"/>
    <mergeCell ref="J41:L41"/>
    <mergeCell ref="H36:I36"/>
    <mergeCell ref="J37:L37"/>
    <mergeCell ref="F25:H25"/>
    <mergeCell ref="F20:H22"/>
    <mergeCell ref="F17:H17"/>
    <mergeCell ref="F16:H16"/>
    <mergeCell ref="I12:J12"/>
    <mergeCell ref="F19:H19"/>
    <mergeCell ref="I17:J17"/>
    <mergeCell ref="F23:H23"/>
    <mergeCell ref="F24:H24"/>
    <mergeCell ref="J39:L39"/>
    <mergeCell ref="F10:H10"/>
    <mergeCell ref="I9:O9"/>
    <mergeCell ref="F9:H9"/>
    <mergeCell ref="I10:J10"/>
    <mergeCell ref="F26:H27"/>
    <mergeCell ref="I26:P27"/>
    <mergeCell ref="D87:P89"/>
    <mergeCell ref="G80:L81"/>
    <mergeCell ref="O84:P85"/>
    <mergeCell ref="H37:I39"/>
    <mergeCell ref="B87:C89"/>
    <mergeCell ref="D84:N85"/>
    <mergeCell ref="F53:H55"/>
    <mergeCell ref="F51:H52"/>
    <mergeCell ref="B86:C86"/>
    <mergeCell ref="J42:L42"/>
    <mergeCell ref="M41:N41"/>
    <mergeCell ref="O41:P41"/>
    <mergeCell ref="H40:I40"/>
    <mergeCell ref="J40:L40"/>
    <mergeCell ref="M40:N40"/>
    <mergeCell ref="O40:P40"/>
    <mergeCell ref="H48:I48"/>
    <mergeCell ref="J48:L48"/>
    <mergeCell ref="H42:I42"/>
    <mergeCell ref="M39:N39"/>
    <mergeCell ref="O39:P39"/>
    <mergeCell ref="O43:P43"/>
    <mergeCell ref="D57:E59"/>
    <mergeCell ref="C57:C59"/>
    <mergeCell ref="H49:I49"/>
    <mergeCell ref="J49:L49"/>
    <mergeCell ref="M49:N49"/>
    <mergeCell ref="O49:P49"/>
    <mergeCell ref="F43:G49"/>
    <mergeCell ref="B50:B55"/>
    <mergeCell ref="K54:L54"/>
    <mergeCell ref="M54:N54"/>
    <mergeCell ref="I51:J51"/>
    <mergeCell ref="K51:L51"/>
    <mergeCell ref="H43:I43"/>
    <mergeCell ref="J43:L43"/>
    <mergeCell ref="M43:N43"/>
    <mergeCell ref="M48:N48"/>
    <mergeCell ref="O48:P48"/>
    <mergeCell ref="J45:L45"/>
    <mergeCell ref="M45:N45"/>
    <mergeCell ref="O45:P45"/>
    <mergeCell ref="I55:J55"/>
    <mergeCell ref="K55:L55"/>
    <mergeCell ref="M55:N55"/>
    <mergeCell ref="O55:P55"/>
    <mergeCell ref="D86:P86"/>
    <mergeCell ref="B60:B62"/>
    <mergeCell ref="B65:B68"/>
    <mergeCell ref="B69:B72"/>
    <mergeCell ref="B74:B78"/>
    <mergeCell ref="B80:B81"/>
    <mergeCell ref="B84:B85"/>
    <mergeCell ref="C60:C62"/>
    <mergeCell ref="D65:E68"/>
    <mergeCell ref="C65:C68"/>
    <mergeCell ref="M75:N75"/>
    <mergeCell ref="M76:N76"/>
    <mergeCell ref="N63:P63"/>
    <mergeCell ref="G83:L83"/>
    <mergeCell ref="M83:N83"/>
    <mergeCell ref="O83:P83"/>
    <mergeCell ref="D81:F81"/>
    <mergeCell ref="M81:N81"/>
    <mergeCell ref="C74:C78"/>
    <mergeCell ref="C80:C81"/>
    <mergeCell ref="C84:C85"/>
    <mergeCell ref="O81:P81"/>
    <mergeCell ref="D82:F82"/>
    <mergeCell ref="G82:L82"/>
    <mergeCell ref="M82:N82"/>
    <mergeCell ref="O82:P82"/>
    <mergeCell ref="D83:F83"/>
    <mergeCell ref="O80:P80"/>
    <mergeCell ref="D79:F79"/>
    <mergeCell ref="G79:L79"/>
    <mergeCell ref="M79:P79"/>
    <mergeCell ref="D80:F80"/>
    <mergeCell ref="M80:N80"/>
    <mergeCell ref="N71:O71"/>
    <mergeCell ref="D74:D78"/>
    <mergeCell ref="E75:E78"/>
    <mergeCell ref="F77:L77"/>
    <mergeCell ref="D73:H73"/>
    <mergeCell ref="N73:P73"/>
    <mergeCell ref="F74:L74"/>
    <mergeCell ref="M74:N74"/>
    <mergeCell ref="F75:L75"/>
    <mergeCell ref="F76:L76"/>
    <mergeCell ref="F72:H72"/>
    <mergeCell ref="J72:K72"/>
    <mergeCell ref="L72:M72"/>
    <mergeCell ref="N72:O72"/>
    <mergeCell ref="F66:H66"/>
    <mergeCell ref="I73:M73"/>
    <mergeCell ref="F78:L78"/>
    <mergeCell ref="M77:N77"/>
    <mergeCell ref="M78:N78"/>
    <mergeCell ref="L69:M69"/>
    <mergeCell ref="N69:O69"/>
    <mergeCell ref="L70:M70"/>
    <mergeCell ref="N70:O70"/>
    <mergeCell ref="F71:H71"/>
    <mergeCell ref="J71:K71"/>
    <mergeCell ref="L71:M71"/>
    <mergeCell ref="D64:H64"/>
    <mergeCell ref="I64:M64"/>
    <mergeCell ref="N64:P64"/>
    <mergeCell ref="F58:H58"/>
    <mergeCell ref="I58:J58"/>
    <mergeCell ref="K58:L58"/>
    <mergeCell ref="M58:N58"/>
    <mergeCell ref="O58:P58"/>
    <mergeCell ref="F59:H59"/>
    <mergeCell ref="J66:K66"/>
    <mergeCell ref="F67:H67"/>
    <mergeCell ref="J67:K67"/>
    <mergeCell ref="F69:H69"/>
    <mergeCell ref="J69:K69"/>
    <mergeCell ref="F70:H70"/>
    <mergeCell ref="J70:K70"/>
    <mergeCell ref="F65:H65"/>
    <mergeCell ref="J65:K65"/>
    <mergeCell ref="O65:P68"/>
    <mergeCell ref="F68:H68"/>
    <mergeCell ref="J68:K68"/>
    <mergeCell ref="D63:H63"/>
    <mergeCell ref="I63:M63"/>
    <mergeCell ref="I54:J54"/>
    <mergeCell ref="O54:P54"/>
    <mergeCell ref="F57:H57"/>
    <mergeCell ref="I57:J57"/>
    <mergeCell ref="K57:L57"/>
    <mergeCell ref="M57:N57"/>
    <mergeCell ref="O57:P57"/>
    <mergeCell ref="K59:L59"/>
    <mergeCell ref="M59:N59"/>
    <mergeCell ref="O59:P59"/>
    <mergeCell ref="I61:L62"/>
    <mergeCell ref="D60:E60"/>
    <mergeCell ref="F60:H60"/>
    <mergeCell ref="I60:L60"/>
    <mergeCell ref="F61:H61"/>
    <mergeCell ref="F62:H62"/>
    <mergeCell ref="I59:J59"/>
    <mergeCell ref="I53:J53"/>
    <mergeCell ref="K53:L53"/>
    <mergeCell ref="M53:N53"/>
    <mergeCell ref="O53:P53"/>
    <mergeCell ref="F50:H50"/>
    <mergeCell ref="I50:P50"/>
    <mergeCell ref="M51:N51"/>
    <mergeCell ref="O51:P51"/>
    <mergeCell ref="I52:J52"/>
    <mergeCell ref="K52:L52"/>
    <mergeCell ref="M52:N52"/>
    <mergeCell ref="O52:P52"/>
    <mergeCell ref="J46:L46"/>
    <mergeCell ref="M46:N46"/>
    <mergeCell ref="O46:P46"/>
    <mergeCell ref="H47:I47"/>
    <mergeCell ref="J47:L47"/>
    <mergeCell ref="M47:N47"/>
    <mergeCell ref="O47:P47"/>
    <mergeCell ref="H44:I46"/>
    <mergeCell ref="J44:L44"/>
    <mergeCell ref="M44:N44"/>
    <mergeCell ref="O44:P44"/>
    <mergeCell ref="J38:L38"/>
    <mergeCell ref="M38:N38"/>
    <mergeCell ref="O38:P38"/>
    <mergeCell ref="J33:L33"/>
    <mergeCell ref="M33:N33"/>
    <mergeCell ref="O33:P33"/>
    <mergeCell ref="J36:L36"/>
    <mergeCell ref="M36:N36"/>
    <mergeCell ref="O36:P36"/>
    <mergeCell ref="M42:N42"/>
    <mergeCell ref="O42:P42"/>
    <mergeCell ref="M37:N37"/>
    <mergeCell ref="O37:P37"/>
    <mergeCell ref="D2:L2"/>
    <mergeCell ref="M2:N2"/>
    <mergeCell ref="O2:P2"/>
    <mergeCell ref="M3:N3"/>
    <mergeCell ref="O3:P3"/>
    <mergeCell ref="M4:N4"/>
    <mergeCell ref="O4:P4"/>
    <mergeCell ref="I13:J13"/>
    <mergeCell ref="F18:H18"/>
    <mergeCell ref="I18:P18"/>
    <mergeCell ref="D18:E25"/>
    <mergeCell ref="F12:H14"/>
    <mergeCell ref="D9:E17"/>
    <mergeCell ref="O22:P22"/>
    <mergeCell ref="O23:P23"/>
    <mergeCell ref="O24:P24"/>
    <mergeCell ref="O19:P19"/>
    <mergeCell ref="O25:P25"/>
    <mergeCell ref="O20:P20"/>
    <mergeCell ref="O21:P21"/>
    <mergeCell ref="M10:P10"/>
    <mergeCell ref="F15:H15"/>
    <mergeCell ref="B5:D5"/>
    <mergeCell ref="E5:F5"/>
    <mergeCell ref="G5:L5"/>
    <mergeCell ref="M5:N5"/>
    <mergeCell ref="O5:P5"/>
    <mergeCell ref="D26:E49"/>
    <mergeCell ref="C26:C49"/>
    <mergeCell ref="B26:B49"/>
    <mergeCell ref="F28:G28"/>
    <mergeCell ref="H28:I28"/>
    <mergeCell ref="J28:L28"/>
    <mergeCell ref="M28:N28"/>
    <mergeCell ref="O28:P28"/>
    <mergeCell ref="H29:I29"/>
    <mergeCell ref="J29:L29"/>
    <mergeCell ref="M29:N29"/>
    <mergeCell ref="O29:P29"/>
    <mergeCell ref="B6:D6"/>
    <mergeCell ref="E6:F6"/>
    <mergeCell ref="G6:L6"/>
    <mergeCell ref="M6:N6"/>
    <mergeCell ref="O6:P6"/>
    <mergeCell ref="F11:H11"/>
    <mergeCell ref="I11:J11"/>
    <mergeCell ref="I16:J16"/>
    <mergeCell ref="B7:C7"/>
    <mergeCell ref="H34:I34"/>
    <mergeCell ref="J34:L34"/>
    <mergeCell ref="M34:N34"/>
    <mergeCell ref="O34:P34"/>
    <mergeCell ref="O31:P31"/>
    <mergeCell ref="J32:L32"/>
    <mergeCell ref="M32:N32"/>
    <mergeCell ref="M7:N7"/>
    <mergeCell ref="O7:P7"/>
    <mergeCell ref="I15:J15"/>
    <mergeCell ref="I14:J14"/>
    <mergeCell ref="D7:E7"/>
    <mergeCell ref="F7:H7"/>
    <mergeCell ref="I7:L7"/>
    <mergeCell ref="C8:D8"/>
    <mergeCell ref="E8:P8"/>
    <mergeCell ref="B9:B25"/>
    <mergeCell ref="C18:C25"/>
    <mergeCell ref="I25:J25"/>
    <mergeCell ref="J35:L35"/>
    <mergeCell ref="M35:N35"/>
    <mergeCell ref="O35:P35"/>
    <mergeCell ref="H35:I35"/>
    <mergeCell ref="O32:P32"/>
    <mergeCell ref="H33:I33"/>
    <mergeCell ref="F29:G35"/>
    <mergeCell ref="H30:I32"/>
    <mergeCell ref="J30:L30"/>
    <mergeCell ref="M30:N30"/>
    <mergeCell ref="O30:P30"/>
    <mergeCell ref="J31:L31"/>
    <mergeCell ref="M31:N31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11"/>
  <sheetViews>
    <sheetView topLeftCell="D1" workbookViewId="0">
      <selection activeCell="O19" sqref="O19"/>
    </sheetView>
  </sheetViews>
  <sheetFormatPr defaultColWidth="8.88671875" defaultRowHeight="14.4" x14ac:dyDescent="0.25"/>
  <cols>
    <col min="1" max="1" width="18.33203125" style="24" customWidth="1"/>
    <col min="2" max="2" width="19.33203125" style="24" customWidth="1"/>
    <col min="3" max="3" width="21.5546875" style="24" customWidth="1"/>
    <col min="4" max="4" width="7.88671875" style="24" customWidth="1"/>
    <col min="5" max="7" width="14.109375" style="24" customWidth="1"/>
    <col min="8" max="12" width="11" style="24" customWidth="1"/>
    <col min="13" max="13" width="16.33203125" style="24" customWidth="1"/>
    <col min="14" max="14" width="11" style="24" customWidth="1"/>
    <col min="15" max="15" width="20.109375" style="24" customWidth="1"/>
    <col min="16" max="16" width="16.33203125" style="183" customWidth="1"/>
    <col min="17" max="16384" width="8.88671875" style="24"/>
  </cols>
  <sheetData>
    <row r="1" spans="1:18" s="23" customFormat="1" ht="32.4" customHeight="1" x14ac:dyDescent="0.25">
      <c r="A1" s="19" t="s">
        <v>65</v>
      </c>
      <c r="B1" s="19" t="s">
        <v>66</v>
      </c>
      <c r="C1" s="19" t="s">
        <v>67</v>
      </c>
      <c r="D1" s="19"/>
      <c r="E1" s="25" t="s">
        <v>68</v>
      </c>
      <c r="F1" s="39" t="s">
        <v>236</v>
      </c>
      <c r="G1" s="39" t="s">
        <v>244</v>
      </c>
      <c r="H1" s="25" t="s">
        <v>69</v>
      </c>
      <c r="I1" s="25" t="s">
        <v>70</v>
      </c>
      <c r="J1" s="25" t="s">
        <v>70</v>
      </c>
      <c r="K1" s="25" t="s">
        <v>71</v>
      </c>
      <c r="L1" s="25" t="s">
        <v>71</v>
      </c>
      <c r="M1" s="25" t="s">
        <v>72</v>
      </c>
      <c r="N1" s="25" t="s">
        <v>73</v>
      </c>
      <c r="O1" s="25" t="s">
        <v>74</v>
      </c>
      <c r="P1" s="181" t="s">
        <v>75</v>
      </c>
      <c r="Q1" s="25" t="s">
        <v>76</v>
      </c>
      <c r="R1" s="25" t="s">
        <v>381</v>
      </c>
    </row>
    <row r="2" spans="1:18" x14ac:dyDescent="0.25">
      <c r="A2" s="26" t="s">
        <v>17</v>
      </c>
      <c r="B2" s="26">
        <v>656.1</v>
      </c>
      <c r="C2" s="26">
        <v>656.1</v>
      </c>
      <c r="D2" s="26"/>
      <c r="E2" s="2" t="s">
        <v>77</v>
      </c>
      <c r="F2" s="40" t="s">
        <v>237</v>
      </c>
      <c r="G2" s="40">
        <v>0</v>
      </c>
      <c r="H2" s="2"/>
      <c r="I2" s="2" t="s">
        <v>78</v>
      </c>
      <c r="J2" s="2">
        <v>0</v>
      </c>
      <c r="K2" s="2" t="s">
        <v>79</v>
      </c>
      <c r="L2" s="2">
        <v>0</v>
      </c>
      <c r="N2" s="2">
        <v>1</v>
      </c>
      <c r="P2" s="182">
        <v>0.2</v>
      </c>
      <c r="Q2" s="182"/>
      <c r="R2" s="2"/>
    </row>
    <row r="3" spans="1:18" x14ac:dyDescent="0.25">
      <c r="A3" s="26" t="s">
        <v>80</v>
      </c>
      <c r="B3" s="26">
        <v>253.7</v>
      </c>
      <c r="C3" s="26">
        <v>253.7</v>
      </c>
      <c r="D3" s="26"/>
      <c r="E3" s="2" t="s">
        <v>81</v>
      </c>
      <c r="F3" s="40" t="s">
        <v>243</v>
      </c>
      <c r="G3" s="40">
        <v>1</v>
      </c>
      <c r="H3" s="2" t="s">
        <v>82</v>
      </c>
      <c r="I3" s="2" t="s">
        <v>83</v>
      </c>
      <c r="J3" s="2">
        <v>1</v>
      </c>
      <c r="K3" s="2" t="s">
        <v>84</v>
      </c>
      <c r="L3" s="2">
        <v>1</v>
      </c>
      <c r="M3" s="2">
        <v>0.1</v>
      </c>
      <c r="N3" s="2">
        <v>2</v>
      </c>
      <c r="O3" s="2">
        <v>1</v>
      </c>
      <c r="P3" s="182">
        <v>0.5</v>
      </c>
      <c r="Q3" s="2">
        <v>1</v>
      </c>
      <c r="R3" s="2">
        <v>0.5</v>
      </c>
    </row>
    <row r="4" spans="1:18" x14ac:dyDescent="0.25">
      <c r="A4" s="26" t="s">
        <v>85</v>
      </c>
      <c r="B4" s="26" t="s">
        <v>86</v>
      </c>
      <c r="C4" s="26" t="s">
        <v>86</v>
      </c>
      <c r="D4" s="26"/>
      <c r="E4" s="2"/>
      <c r="F4" s="40" t="s">
        <v>238</v>
      </c>
      <c r="G4" s="40">
        <v>2</v>
      </c>
      <c r="H4" s="2"/>
      <c r="I4" s="2" t="s">
        <v>87</v>
      </c>
      <c r="J4" s="2">
        <v>2</v>
      </c>
      <c r="K4" s="2" t="s">
        <v>88</v>
      </c>
      <c r="L4" s="2">
        <v>2</v>
      </c>
      <c r="M4" s="2">
        <v>0.2</v>
      </c>
      <c r="N4" s="2">
        <v>3</v>
      </c>
      <c r="O4" s="2">
        <v>2</v>
      </c>
      <c r="P4" s="184" t="s">
        <v>373</v>
      </c>
      <c r="Q4" s="2">
        <v>2</v>
      </c>
      <c r="R4" s="2">
        <v>1</v>
      </c>
    </row>
    <row r="5" spans="1:18" x14ac:dyDescent="0.25">
      <c r="A5" s="26" t="s">
        <v>16</v>
      </c>
      <c r="B5" s="26" t="s">
        <v>89</v>
      </c>
      <c r="C5" s="26" t="s">
        <v>89</v>
      </c>
      <c r="D5" s="26"/>
      <c r="E5" s="2"/>
      <c r="F5" s="2"/>
      <c r="G5" s="2"/>
      <c r="H5" s="2"/>
      <c r="I5" s="2" t="s">
        <v>90</v>
      </c>
      <c r="J5" s="2">
        <v>3</v>
      </c>
      <c r="K5" s="2" t="s">
        <v>91</v>
      </c>
      <c r="L5" s="2">
        <v>3</v>
      </c>
      <c r="M5" s="2">
        <v>0.5</v>
      </c>
      <c r="N5" s="2">
        <v>4</v>
      </c>
      <c r="O5" s="2"/>
      <c r="P5" s="184" t="s">
        <v>374</v>
      </c>
      <c r="Q5" s="2">
        <v>3</v>
      </c>
      <c r="R5" s="2">
        <v>2</v>
      </c>
    </row>
    <row r="6" spans="1:18" x14ac:dyDescent="0.25">
      <c r="A6" s="26" t="s">
        <v>92</v>
      </c>
      <c r="B6" s="26" t="s">
        <v>93</v>
      </c>
      <c r="C6" s="26"/>
      <c r="D6" s="26"/>
      <c r="E6" s="2"/>
      <c r="F6" s="2"/>
      <c r="G6" s="2"/>
      <c r="H6" s="2"/>
      <c r="I6" s="2" t="s">
        <v>94</v>
      </c>
      <c r="J6" s="2">
        <v>4</v>
      </c>
      <c r="K6" s="2" t="s">
        <v>95</v>
      </c>
      <c r="L6" s="2">
        <v>4</v>
      </c>
      <c r="M6" s="2">
        <v>1</v>
      </c>
      <c r="N6" s="2">
        <v>5</v>
      </c>
      <c r="O6" s="2"/>
      <c r="P6" s="184" t="s">
        <v>375</v>
      </c>
      <c r="Q6" s="2">
        <v>4</v>
      </c>
      <c r="R6" s="2"/>
    </row>
    <row r="7" spans="1:18" x14ac:dyDescent="0.25">
      <c r="A7" s="26" t="s">
        <v>96</v>
      </c>
      <c r="B7" s="26" t="s">
        <v>97</v>
      </c>
      <c r="C7" s="26"/>
      <c r="D7" s="26"/>
      <c r="E7" s="2"/>
      <c r="F7" s="2"/>
      <c r="G7" s="2"/>
      <c r="H7" s="2"/>
      <c r="I7" s="2"/>
      <c r="J7" s="2"/>
      <c r="K7" s="2" t="s">
        <v>98</v>
      </c>
      <c r="L7" s="2"/>
      <c r="M7" s="2">
        <v>2</v>
      </c>
      <c r="N7" s="2"/>
      <c r="O7" s="2"/>
      <c r="P7" s="182"/>
      <c r="Q7" s="2">
        <v>5</v>
      </c>
      <c r="R7" s="2"/>
    </row>
    <row r="8" spans="1:18" x14ac:dyDescent="0.25">
      <c r="A8" s="26" t="s">
        <v>99</v>
      </c>
      <c r="B8" s="26" t="s">
        <v>100</v>
      </c>
      <c r="C8" s="26"/>
      <c r="D8" s="26"/>
      <c r="E8" s="2"/>
      <c r="F8" s="2"/>
      <c r="G8" s="2"/>
      <c r="H8" s="2"/>
      <c r="I8" s="2"/>
      <c r="J8" s="2"/>
      <c r="K8" s="2"/>
      <c r="L8" s="2"/>
      <c r="M8" s="2">
        <v>5</v>
      </c>
      <c r="N8" s="2"/>
      <c r="O8" s="2"/>
      <c r="P8" s="182"/>
      <c r="Q8" s="2"/>
      <c r="R8" s="2"/>
    </row>
    <row r="9" spans="1:18" x14ac:dyDescent="0.25">
      <c r="A9" s="27" t="s">
        <v>101</v>
      </c>
      <c r="B9" s="28">
        <v>350313257235</v>
      </c>
      <c r="C9" s="26" t="s">
        <v>102</v>
      </c>
      <c r="D9" s="2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82"/>
      <c r="Q9" s="2"/>
      <c r="R9" s="2"/>
    </row>
    <row r="10" spans="1:18" x14ac:dyDescent="0.25">
      <c r="A10" s="26" t="s">
        <v>103</v>
      </c>
      <c r="B10" s="26">
        <v>220</v>
      </c>
      <c r="C10" s="26"/>
      <c r="D10" s="2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82"/>
      <c r="Q10" s="2"/>
      <c r="R10" s="2"/>
    </row>
    <row r="11" spans="1:18" x14ac:dyDescent="0.25">
      <c r="A11" s="26" t="s">
        <v>104</v>
      </c>
      <c r="B11" s="28">
        <v>340360</v>
      </c>
      <c r="C11" s="26"/>
      <c r="D11" s="2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82"/>
      <c r="Q11" s="2"/>
      <c r="R11" s="2"/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45"/>
  <sheetViews>
    <sheetView zoomScale="130" zoomScaleNormal="130" workbookViewId="0">
      <pane ySplit="1" topLeftCell="A12" activePane="bottomLeft" state="frozen"/>
      <selection pane="bottomLeft" activeCell="E23" sqref="E23"/>
    </sheetView>
  </sheetViews>
  <sheetFormatPr defaultRowHeight="14.4" x14ac:dyDescent="0.25"/>
  <cols>
    <col min="1" max="1" width="10" style="6" bestFit="1" customWidth="1"/>
    <col min="2" max="2" width="10.21875" style="6" bestFit="1" customWidth="1"/>
    <col min="3" max="3" width="7.88671875" style="6" bestFit="1" customWidth="1"/>
    <col min="4" max="4" width="15.33203125" style="151" bestFit="1" customWidth="1"/>
    <col min="9" max="9" width="17.21875" bestFit="1" customWidth="1"/>
    <col min="11" max="11" width="10" bestFit="1" customWidth="1"/>
    <col min="14" max="14" width="10" style="6" bestFit="1" customWidth="1"/>
    <col min="15" max="15" width="5.77734375" bestFit="1" customWidth="1"/>
    <col min="17" max="17" width="11.6640625" bestFit="1" customWidth="1"/>
  </cols>
  <sheetData>
    <row r="1" spans="1:17" x14ac:dyDescent="0.25">
      <c r="A1" s="160" t="s">
        <v>332</v>
      </c>
      <c r="B1" s="160" t="s">
        <v>331</v>
      </c>
      <c r="C1" s="160" t="s">
        <v>67</v>
      </c>
      <c r="D1" s="159" t="s">
        <v>333</v>
      </c>
      <c r="E1" s="159" t="s">
        <v>334</v>
      </c>
      <c r="F1" s="159" t="s">
        <v>364</v>
      </c>
      <c r="G1" s="159" t="s">
        <v>345</v>
      </c>
      <c r="H1" s="158" t="s">
        <v>7</v>
      </c>
      <c r="I1" s="161" t="s">
        <v>8</v>
      </c>
      <c r="J1" s="158" t="s">
        <v>9</v>
      </c>
      <c r="K1" s="158" t="s">
        <v>335</v>
      </c>
      <c r="L1" s="158" t="s">
        <v>336</v>
      </c>
      <c r="M1" s="158" t="s">
        <v>337</v>
      </c>
      <c r="N1" s="160" t="s">
        <v>197</v>
      </c>
      <c r="O1" s="159" t="s">
        <v>338</v>
      </c>
      <c r="Q1" s="107"/>
    </row>
    <row r="2" spans="1:17" x14ac:dyDescent="0.25">
      <c r="A2" s="153">
        <v>1001</v>
      </c>
      <c r="B2" s="153" t="str">
        <f ca="1">MID(CELL("filename"),FIND("[",CELL("filename"),1)+1,FIND(".",CELL("filename"),1)-FIND("[",CELL("filename"),1)-1)</f>
        <v>T600T700</v>
      </c>
      <c r="C2" s="154"/>
      <c r="D2" s="152" t="str">
        <f>波长示值误差与重复性校验!$C2&amp;";"&amp;波长示值误差与重复性校验!$D2&amp;";"&amp;波长示值误差与重复性校验!$E2</f>
        <v>;;</v>
      </c>
      <c r="E2" s="152" t="str">
        <f>波长示值误差与重复性校验!$F2</f>
        <v/>
      </c>
      <c r="F2" s="152" t="str">
        <f>波长示值误差与重复性校验!$G2</f>
        <v/>
      </c>
      <c r="G2" s="152">
        <f>波长示值误差与重复性校验!$H2</f>
        <v>0</v>
      </c>
      <c r="H2" s="152" t="e">
        <f>#REF!</f>
        <v>#REF!</v>
      </c>
      <c r="I2" s="155">
        <f ca="1">NOW()</f>
        <v>44687.515574421297</v>
      </c>
      <c r="J2" s="152" t="e">
        <f>#REF!</f>
        <v>#REF!</v>
      </c>
      <c r="K2" s="152"/>
      <c r="L2" s="152" t="e">
        <f>#REF!</f>
        <v>#REF!</v>
      </c>
      <c r="M2" s="152" t="e">
        <f>#REF!</f>
        <v>#REF!</v>
      </c>
      <c r="N2" s="154" t="str">
        <f>波长示值误差与重复性校验!$K2</f>
        <v/>
      </c>
      <c r="O2" s="152"/>
    </row>
    <row r="3" spans="1:17" x14ac:dyDescent="0.25">
      <c r="A3" s="157">
        <v>1002</v>
      </c>
      <c r="B3" s="153" t="str">
        <f t="shared" ref="B3:B45" ca="1" si="0">MID(CELL("filename"),FIND("[",CELL("filename"),1)+1,FIND(".",CELL("filename"),1)-FIND("[",CELL("filename"),1)-1)</f>
        <v>T600T700</v>
      </c>
      <c r="C3" s="154"/>
      <c r="D3" s="152" t="str">
        <f>波长示值误差与重复性校验!$C3&amp;";"&amp;波长示值误差与重复性校验!$D3&amp;";"&amp;波长示值误差与重复性校验!$E3</f>
        <v>;;</v>
      </c>
      <c r="E3" s="152" t="str">
        <f>波长示值误差与重复性校验!$F3</f>
        <v/>
      </c>
      <c r="F3" s="152" t="str">
        <f>波长示值误差与重复性校验!$G3</f>
        <v/>
      </c>
      <c r="G3" s="152">
        <f>波长示值误差与重复性校验!$H3</f>
        <v>0</v>
      </c>
      <c r="H3" s="152" t="e">
        <f>#REF!</f>
        <v>#REF!</v>
      </c>
      <c r="I3" s="155">
        <f t="shared" ref="I3:I45" ca="1" si="1">NOW()</f>
        <v>44687.515574421297</v>
      </c>
      <c r="J3" s="152" t="e">
        <f>#REF!</f>
        <v>#REF!</v>
      </c>
      <c r="K3" s="152"/>
      <c r="L3" s="152" t="e">
        <f>#REF!</f>
        <v>#REF!</v>
      </c>
      <c r="M3" s="152" t="e">
        <f>#REF!</f>
        <v>#REF!</v>
      </c>
      <c r="N3" s="154" t="str">
        <f>波长示值误差与重复性校验!$K3</f>
        <v/>
      </c>
      <c r="O3" s="152"/>
    </row>
    <row r="4" spans="1:17" x14ac:dyDescent="0.25">
      <c r="A4" s="157">
        <v>1003</v>
      </c>
      <c r="B4" s="153" t="str">
        <f t="shared" ca="1" si="0"/>
        <v>T600T700</v>
      </c>
      <c r="C4" s="154"/>
      <c r="D4" s="152" t="str">
        <f>波长示值误差与重复性校验!$C4&amp;";"&amp;波长示值误差与重复性校验!$D4&amp;";"&amp;波长示值误差与重复性校验!$E4</f>
        <v>;;</v>
      </c>
      <c r="E4" s="152" t="str">
        <f>波长示值误差与重复性校验!$F4</f>
        <v/>
      </c>
      <c r="F4" s="152" t="str">
        <f>波长示值误差与重复性校验!$G4</f>
        <v/>
      </c>
      <c r="G4" s="152">
        <f>波长示值误差与重复性校验!$H4</f>
        <v>0</v>
      </c>
      <c r="H4" s="152" t="e">
        <f>#REF!</f>
        <v>#REF!</v>
      </c>
      <c r="I4" s="155">
        <f t="shared" ca="1" si="1"/>
        <v>44687.515574421297</v>
      </c>
      <c r="J4" s="152" t="e">
        <f>#REF!</f>
        <v>#REF!</v>
      </c>
      <c r="K4" s="152"/>
      <c r="L4" s="152" t="e">
        <f>#REF!</f>
        <v>#REF!</v>
      </c>
      <c r="M4" s="152" t="e">
        <f>#REF!</f>
        <v>#REF!</v>
      </c>
      <c r="N4" s="154" t="str">
        <f>波长示值误差与重复性校验!$K4</f>
        <v/>
      </c>
      <c r="O4" s="152"/>
    </row>
    <row r="5" spans="1:17" x14ac:dyDescent="0.25">
      <c r="A5" s="157">
        <v>1004</v>
      </c>
      <c r="B5" s="153" t="str">
        <f t="shared" ca="1" si="0"/>
        <v>T600T700</v>
      </c>
      <c r="C5" s="154"/>
      <c r="D5" s="152" t="str">
        <f>波长示值误差与重复性校验!$C5&amp;";"&amp;波长示值误差与重复性校验!$D5&amp;";"&amp;波长示值误差与重复性校验!$E5</f>
        <v>;;</v>
      </c>
      <c r="E5" s="152" t="str">
        <f>波长示值误差与重复性校验!$F5</f>
        <v/>
      </c>
      <c r="F5" s="152" t="str">
        <f>波长示值误差与重复性校验!$G5</f>
        <v/>
      </c>
      <c r="G5" s="152">
        <f>波长示值误差与重复性校验!$H5</f>
        <v>0</v>
      </c>
      <c r="H5" s="152" t="e">
        <f>#REF!</f>
        <v>#REF!</v>
      </c>
      <c r="I5" s="155">
        <f t="shared" ca="1" si="1"/>
        <v>44687.515574421297</v>
      </c>
      <c r="J5" s="152" t="e">
        <f>#REF!</f>
        <v>#REF!</v>
      </c>
      <c r="K5" s="152"/>
      <c r="L5" s="152" t="e">
        <f>#REF!</f>
        <v>#REF!</v>
      </c>
      <c r="M5" s="152" t="e">
        <f>#REF!</f>
        <v>#REF!</v>
      </c>
      <c r="N5" s="154" t="str">
        <f>波长示值误差与重复性校验!$K5</f>
        <v/>
      </c>
      <c r="O5" s="152"/>
    </row>
    <row r="6" spans="1:17" x14ac:dyDescent="0.25">
      <c r="A6" s="157">
        <v>1005</v>
      </c>
      <c r="B6" s="153" t="str">
        <f t="shared" ca="1" si="0"/>
        <v>T600T700</v>
      </c>
      <c r="C6" s="154"/>
      <c r="D6" s="152" t="str">
        <f>波长示值误差与重复性校验!$C6&amp;";"&amp;波长示值误差与重复性校验!$D6&amp;";"&amp;波长示值误差与重复性校验!$E6</f>
        <v>;;</v>
      </c>
      <c r="E6" s="152" t="str">
        <f>波长示值误差与重复性校验!$F6</f>
        <v/>
      </c>
      <c r="F6" s="152" t="str">
        <f>波长示值误差与重复性校验!$G6</f>
        <v/>
      </c>
      <c r="G6" s="152">
        <f>波长示值误差与重复性校验!$H6</f>
        <v>0</v>
      </c>
      <c r="H6" s="152" t="e">
        <f>#REF!</f>
        <v>#REF!</v>
      </c>
      <c r="I6" s="155">
        <f t="shared" ca="1" si="1"/>
        <v>44687.515574421297</v>
      </c>
      <c r="J6" s="152" t="e">
        <f>#REF!</f>
        <v>#REF!</v>
      </c>
      <c r="K6" s="152"/>
      <c r="L6" s="152" t="e">
        <f>#REF!</f>
        <v>#REF!</v>
      </c>
      <c r="M6" s="152" t="e">
        <f>#REF!</f>
        <v>#REF!</v>
      </c>
      <c r="N6" s="154" t="str">
        <f>波长示值误差与重复性校验!$K6</f>
        <v/>
      </c>
      <c r="O6" s="152"/>
    </row>
    <row r="7" spans="1:17" x14ac:dyDescent="0.25">
      <c r="A7" s="157">
        <v>1006</v>
      </c>
      <c r="B7" s="153" t="str">
        <f t="shared" ca="1" si="0"/>
        <v>T600T700</v>
      </c>
      <c r="C7" s="154"/>
      <c r="D7" s="152" t="str">
        <f>波长示值误差与重复性校验!$C7&amp;";"&amp;波长示值误差与重复性校验!$D7&amp;";"&amp;波长示值误差与重复性校验!$E7</f>
        <v>;;</v>
      </c>
      <c r="E7" s="152" t="str">
        <f>波长示值误差与重复性校验!$F7</f>
        <v/>
      </c>
      <c r="F7" s="152" t="str">
        <f>波长示值误差与重复性校验!$G7</f>
        <v/>
      </c>
      <c r="G7" s="152">
        <f>波长示值误差与重复性校验!$H7</f>
        <v>0</v>
      </c>
      <c r="H7" s="152" t="e">
        <f>#REF!</f>
        <v>#REF!</v>
      </c>
      <c r="I7" s="155">
        <f t="shared" ca="1" si="1"/>
        <v>44687.515574421297</v>
      </c>
      <c r="J7" s="152" t="e">
        <f>#REF!</f>
        <v>#REF!</v>
      </c>
      <c r="K7" s="152"/>
      <c r="L7" s="152" t="e">
        <f>#REF!</f>
        <v>#REF!</v>
      </c>
      <c r="M7" s="152" t="e">
        <f>#REF!</f>
        <v>#REF!</v>
      </c>
      <c r="N7" s="154" t="str">
        <f>波长示值误差与重复性校验!$K7</f>
        <v/>
      </c>
      <c r="O7" s="152"/>
    </row>
    <row r="8" spans="1:17" x14ac:dyDescent="0.25">
      <c r="A8" s="157">
        <v>1007</v>
      </c>
      <c r="B8" s="153" t="str">
        <f t="shared" ca="1" si="0"/>
        <v>T600T700</v>
      </c>
      <c r="C8" s="154"/>
      <c r="D8" s="152" t="str">
        <f>波长示值误差与重复性校验!$C8&amp;";"&amp;波长示值误差与重复性校验!$D8&amp;";"&amp;波长示值误差与重复性校验!$E8</f>
        <v>;;</v>
      </c>
      <c r="E8" s="152" t="str">
        <f>波长示值误差与重复性校验!$F8</f>
        <v/>
      </c>
      <c r="F8" s="152" t="str">
        <f>波长示值误差与重复性校验!$G8</f>
        <v/>
      </c>
      <c r="G8" s="152">
        <f>波长示值误差与重复性校验!$H8</f>
        <v>0</v>
      </c>
      <c r="H8" s="152" t="e">
        <f>#REF!</f>
        <v>#REF!</v>
      </c>
      <c r="I8" s="155">
        <f t="shared" ca="1" si="1"/>
        <v>44687.515574421297</v>
      </c>
      <c r="J8" s="152" t="e">
        <f>#REF!</f>
        <v>#REF!</v>
      </c>
      <c r="K8" s="152"/>
      <c r="L8" s="152" t="e">
        <f>#REF!</f>
        <v>#REF!</v>
      </c>
      <c r="M8" s="152" t="e">
        <f>#REF!</f>
        <v>#REF!</v>
      </c>
      <c r="N8" s="154" t="str">
        <f>波长示值误差与重复性校验!$K8</f>
        <v/>
      </c>
      <c r="O8" s="152"/>
    </row>
    <row r="9" spans="1:17" x14ac:dyDescent="0.25">
      <c r="A9" s="157">
        <v>1008</v>
      </c>
      <c r="B9" s="153" t="str">
        <f t="shared" ca="1" si="0"/>
        <v>T600T700</v>
      </c>
      <c r="C9" s="154"/>
      <c r="D9" s="152" t="str">
        <f>波长示值误差与重复性校验!$C9&amp;";"&amp;波长示值误差与重复性校验!$D9&amp;";"&amp;波长示值误差与重复性校验!$E9</f>
        <v>;;</v>
      </c>
      <c r="E9" s="152" t="str">
        <f>波长示值误差与重复性校验!$F9</f>
        <v/>
      </c>
      <c r="F9" s="152" t="str">
        <f>波长示值误差与重复性校验!$G9</f>
        <v/>
      </c>
      <c r="G9" s="152">
        <f>波长示值误差与重复性校验!$H9</f>
        <v>0</v>
      </c>
      <c r="H9" s="152" t="e">
        <f>#REF!</f>
        <v>#REF!</v>
      </c>
      <c r="I9" s="155">
        <f t="shared" ca="1" si="1"/>
        <v>44687.515574421297</v>
      </c>
      <c r="J9" s="152" t="e">
        <f>#REF!</f>
        <v>#REF!</v>
      </c>
      <c r="K9" s="152"/>
      <c r="L9" s="152" t="e">
        <f>#REF!</f>
        <v>#REF!</v>
      </c>
      <c r="M9" s="152" t="e">
        <f>#REF!</f>
        <v>#REF!</v>
      </c>
      <c r="N9" s="154" t="str">
        <f>波长示值误差与重复性校验!$K9</f>
        <v/>
      </c>
      <c r="O9" s="152"/>
    </row>
    <row r="10" spans="1:17" x14ac:dyDescent="0.25">
      <c r="A10" s="157">
        <v>1009</v>
      </c>
      <c r="B10" s="153" t="str">
        <f t="shared" ca="1" si="0"/>
        <v>T600T700</v>
      </c>
      <c r="C10" s="154"/>
      <c r="D10" s="152" t="str">
        <f>波长示值误差与重复性校验!$C10&amp;";"&amp;波长示值误差与重复性校验!$D10&amp;";"&amp;波长示值误差与重复性校验!$E10</f>
        <v>;;</v>
      </c>
      <c r="E10" s="152" t="str">
        <f>波长示值误差与重复性校验!$F10</f>
        <v/>
      </c>
      <c r="F10" s="152" t="str">
        <f>波长示值误差与重复性校验!$G10</f>
        <v/>
      </c>
      <c r="G10" s="152">
        <f>波长示值误差与重复性校验!$H10</f>
        <v>0</v>
      </c>
      <c r="H10" s="152" t="e">
        <f>#REF!</f>
        <v>#REF!</v>
      </c>
      <c r="I10" s="155">
        <f t="shared" ca="1" si="1"/>
        <v>44687.515574421297</v>
      </c>
      <c r="J10" s="152" t="e">
        <f>#REF!</f>
        <v>#REF!</v>
      </c>
      <c r="K10" s="152"/>
      <c r="L10" s="152" t="e">
        <f>#REF!</f>
        <v>#REF!</v>
      </c>
      <c r="M10" s="152" t="e">
        <f>#REF!</f>
        <v>#REF!</v>
      </c>
      <c r="N10" s="154" t="str">
        <f>波长示值误差与重复性校验!$K10</f>
        <v/>
      </c>
      <c r="O10" s="152"/>
    </row>
    <row r="11" spans="1:17" x14ac:dyDescent="0.25">
      <c r="A11" s="157">
        <v>1010</v>
      </c>
      <c r="B11" s="153" t="str">
        <f t="shared" ca="1" si="0"/>
        <v>T600T700</v>
      </c>
      <c r="C11" s="154"/>
      <c r="D11" s="152" t="str">
        <f>波长示值误差与重复性校验!$C11&amp;";"&amp;波长示值误差与重复性校验!$D11&amp;";"&amp;波长示值误差与重复性校验!$E11</f>
        <v>;;</v>
      </c>
      <c r="E11" s="152" t="str">
        <f>波长示值误差与重复性校验!$F11</f>
        <v/>
      </c>
      <c r="F11" s="152" t="str">
        <f>波长示值误差与重复性校验!$G11</f>
        <v/>
      </c>
      <c r="G11" s="152">
        <f>波长示值误差与重复性校验!$H11</f>
        <v>0</v>
      </c>
      <c r="H11" s="152" t="e">
        <f>#REF!</f>
        <v>#REF!</v>
      </c>
      <c r="I11" s="155">
        <f t="shared" ca="1" si="1"/>
        <v>44687.515574421297</v>
      </c>
      <c r="J11" s="152" t="e">
        <f>#REF!</f>
        <v>#REF!</v>
      </c>
      <c r="K11" s="152"/>
      <c r="L11" s="152" t="e">
        <f>#REF!</f>
        <v>#REF!</v>
      </c>
      <c r="M11" s="152" t="e">
        <f>#REF!</f>
        <v>#REF!</v>
      </c>
      <c r="N11" s="154" t="str">
        <f>波长示值误差与重复性校验!$K11</f>
        <v/>
      </c>
      <c r="O11" s="152"/>
    </row>
    <row r="12" spans="1:17" x14ac:dyDescent="0.25">
      <c r="A12" s="157">
        <v>1011</v>
      </c>
      <c r="B12" s="153" t="str">
        <f t="shared" ca="1" si="0"/>
        <v>T600T700</v>
      </c>
      <c r="C12" s="154"/>
      <c r="D12" s="152" t="str">
        <f>波长示值误差与重复性校验!$C12&amp;";"&amp;波长示值误差与重复性校验!$D12&amp;";"&amp;波长示值误差与重复性校验!$E12</f>
        <v>;;</v>
      </c>
      <c r="E12" s="152" t="str">
        <f>波长示值误差与重复性校验!$F12</f>
        <v/>
      </c>
      <c r="F12" s="152" t="str">
        <f>波长示值误差与重复性校验!$G12</f>
        <v/>
      </c>
      <c r="G12" s="152">
        <f>波长示值误差与重复性校验!$H12</f>
        <v>0</v>
      </c>
      <c r="H12" s="152" t="e">
        <f>#REF!</f>
        <v>#REF!</v>
      </c>
      <c r="I12" s="155">
        <f t="shared" ca="1" si="1"/>
        <v>44687.515574421297</v>
      </c>
      <c r="J12" s="152" t="e">
        <f>#REF!</f>
        <v>#REF!</v>
      </c>
      <c r="K12" s="152"/>
      <c r="L12" s="152" t="e">
        <f>#REF!</f>
        <v>#REF!</v>
      </c>
      <c r="M12" s="152" t="e">
        <f>#REF!</f>
        <v>#REF!</v>
      </c>
      <c r="N12" s="154" t="str">
        <f>波长示值误差与重复性校验!$K12</f>
        <v/>
      </c>
      <c r="O12" s="152"/>
    </row>
    <row r="13" spans="1:17" x14ac:dyDescent="0.25">
      <c r="A13" s="157">
        <v>1012</v>
      </c>
      <c r="B13" s="153" t="str">
        <f t="shared" ca="1" si="0"/>
        <v>T600T700</v>
      </c>
      <c r="C13" s="154"/>
      <c r="D13" s="152" t="str">
        <f>波长示值误差与重复性校验!$C13&amp;";"&amp;波长示值误差与重复性校验!$D13&amp;";"&amp;波长示值误差与重复性校验!$E13</f>
        <v>;;</v>
      </c>
      <c r="E13" s="152" t="str">
        <f>波长示值误差与重复性校验!$F13</f>
        <v/>
      </c>
      <c r="F13" s="152" t="str">
        <f>波长示值误差与重复性校验!$G13</f>
        <v/>
      </c>
      <c r="G13" s="152">
        <f>波长示值误差与重复性校验!$H13</f>
        <v>0</v>
      </c>
      <c r="H13" s="152" t="e">
        <f>#REF!</f>
        <v>#REF!</v>
      </c>
      <c r="I13" s="155">
        <f t="shared" ca="1" si="1"/>
        <v>44687.515574421297</v>
      </c>
      <c r="J13" s="152" t="e">
        <f>#REF!</f>
        <v>#REF!</v>
      </c>
      <c r="K13" s="152"/>
      <c r="L13" s="152" t="e">
        <f>#REF!</f>
        <v>#REF!</v>
      </c>
      <c r="M13" s="152" t="e">
        <f>#REF!</f>
        <v>#REF!</v>
      </c>
      <c r="N13" s="154" t="str">
        <f>波长示值误差与重复性校验!$K13</f>
        <v/>
      </c>
      <c r="O13" s="152"/>
    </row>
    <row r="14" spans="1:17" x14ac:dyDescent="0.25">
      <c r="A14" s="157">
        <v>1013</v>
      </c>
      <c r="B14" s="153" t="str">
        <f t="shared" ca="1" si="0"/>
        <v>T600T700</v>
      </c>
      <c r="C14" s="154"/>
      <c r="D14" s="152" t="str">
        <f>波长示值误差与重复性校验!$C14&amp;";"&amp;波长示值误差与重复性校验!$D14&amp;";"&amp;波长示值误差与重复性校验!$E14</f>
        <v>;;</v>
      </c>
      <c r="E14" s="152" t="str">
        <f>波长示值误差与重复性校验!$F14</f>
        <v/>
      </c>
      <c r="F14" s="152" t="str">
        <f>波长示值误差与重复性校验!$G14</f>
        <v/>
      </c>
      <c r="G14" s="152">
        <f>波长示值误差与重复性校验!$H14</f>
        <v>0</v>
      </c>
      <c r="H14" s="152" t="e">
        <f>#REF!</f>
        <v>#REF!</v>
      </c>
      <c r="I14" s="155">
        <f t="shared" ca="1" si="1"/>
        <v>44687.515574421297</v>
      </c>
      <c r="J14" s="152" t="e">
        <f>#REF!</f>
        <v>#REF!</v>
      </c>
      <c r="K14" s="152"/>
      <c r="L14" s="152" t="e">
        <f>#REF!</f>
        <v>#REF!</v>
      </c>
      <c r="M14" s="152" t="e">
        <f>#REF!</f>
        <v>#REF!</v>
      </c>
      <c r="N14" s="154" t="str">
        <f>波长示值误差与重复性校验!$K14</f>
        <v/>
      </c>
      <c r="O14" s="152"/>
    </row>
    <row r="15" spans="1:17" x14ac:dyDescent="0.25">
      <c r="A15" s="157">
        <v>2001</v>
      </c>
      <c r="B15" s="153" t="str">
        <f t="shared" ca="1" si="0"/>
        <v>T600T700</v>
      </c>
      <c r="C15" s="154">
        <f>透射比示值误差与重复性校验!$C2</f>
        <v>23.35</v>
      </c>
      <c r="D15" s="152" t="str">
        <f>透射比示值误差与重复性校验!$D2&amp;";"&amp;透射比示值误差与重复性校验!$E2&amp;";"&amp;透射比示值误差与重复性校验!$F2</f>
        <v>;;</v>
      </c>
      <c r="E15" s="152" t="str">
        <f>透射比示值误差与重复性校验!$G2</f>
        <v/>
      </c>
      <c r="F15" s="152" t="str">
        <f>透射比示值误差与重复性校验!$H2</f>
        <v/>
      </c>
      <c r="G15" s="152">
        <f>透射比示值误差与重复性校验!$I2</f>
        <v>0</v>
      </c>
      <c r="H15" s="152" t="e">
        <f>#REF!</f>
        <v>#REF!</v>
      </c>
      <c r="I15" s="155">
        <f t="shared" ca="1" si="1"/>
        <v>44687.515574421297</v>
      </c>
      <c r="J15" s="152" t="e">
        <f>#REF!</f>
        <v>#REF!</v>
      </c>
      <c r="K15" s="152"/>
      <c r="L15" s="152" t="e">
        <f>#REF!</f>
        <v>#REF!</v>
      </c>
      <c r="M15" s="152" t="e">
        <f>#REF!</f>
        <v>#REF!</v>
      </c>
      <c r="N15" s="154" t="str">
        <f>透射比示值误差与重复性校验!$L2</f>
        <v/>
      </c>
      <c r="O15" s="152"/>
    </row>
    <row r="16" spans="1:17" x14ac:dyDescent="0.25">
      <c r="A16" s="157">
        <v>2002</v>
      </c>
      <c r="B16" s="153" t="str">
        <f t="shared" ca="1" si="0"/>
        <v>T600T700</v>
      </c>
      <c r="C16" s="154">
        <f>透射比示值误差与重复性校验!$C3</f>
        <v>51.54</v>
      </c>
      <c r="D16" s="152" t="str">
        <f>透射比示值误差与重复性校验!$D3&amp;";"&amp;透射比示值误差与重复性校验!$E3&amp;";"&amp;透射比示值误差与重复性校验!$F3</f>
        <v>;;</v>
      </c>
      <c r="E16" s="152" t="str">
        <f>透射比示值误差与重复性校验!$G3</f>
        <v/>
      </c>
      <c r="F16" s="152" t="str">
        <f>透射比示值误差与重复性校验!$H3</f>
        <v/>
      </c>
      <c r="G16" s="152">
        <f>透射比示值误差与重复性校验!$I3</f>
        <v>0</v>
      </c>
      <c r="H16" s="152" t="e">
        <f>#REF!</f>
        <v>#REF!</v>
      </c>
      <c r="I16" s="155">
        <f t="shared" ca="1" si="1"/>
        <v>44687.515574421297</v>
      </c>
      <c r="J16" s="152" t="e">
        <f>#REF!</f>
        <v>#REF!</v>
      </c>
      <c r="K16" s="152"/>
      <c r="L16" s="152" t="e">
        <f>#REF!</f>
        <v>#REF!</v>
      </c>
      <c r="M16" s="152" t="e">
        <f>#REF!</f>
        <v>#REF!</v>
      </c>
      <c r="N16" s="154" t="str">
        <f>透射比示值误差与重复性校验!$L3</f>
        <v/>
      </c>
      <c r="O16" s="152"/>
    </row>
    <row r="17" spans="1:15" x14ac:dyDescent="0.25">
      <c r="A17" s="157">
        <v>2003</v>
      </c>
      <c r="B17" s="153" t="str">
        <f t="shared" ca="1" si="0"/>
        <v>T600T700</v>
      </c>
      <c r="C17" s="154">
        <f>透射比示值误差与重复性校验!$C4</f>
        <v>14.09</v>
      </c>
      <c r="D17" s="152" t="str">
        <f>透射比示值误差与重复性校验!$D4&amp;";"&amp;透射比示值误差与重复性校验!$E4&amp;";"&amp;透射比示值误差与重复性校验!$F4</f>
        <v>;;</v>
      </c>
      <c r="E17" s="152" t="str">
        <f>透射比示值误差与重复性校验!$G4</f>
        <v/>
      </c>
      <c r="F17" s="152" t="str">
        <f>透射比示值误差与重复性校验!$H4</f>
        <v/>
      </c>
      <c r="G17" s="152">
        <f>透射比示值误差与重复性校验!$I4</f>
        <v>0</v>
      </c>
      <c r="H17" s="152" t="e">
        <f>#REF!</f>
        <v>#REF!</v>
      </c>
      <c r="I17" s="155">
        <f t="shared" ca="1" si="1"/>
        <v>44687.515574421297</v>
      </c>
      <c r="J17" s="152" t="e">
        <f>#REF!</f>
        <v>#REF!</v>
      </c>
      <c r="K17" s="152"/>
      <c r="L17" s="152" t="e">
        <f>#REF!</f>
        <v>#REF!</v>
      </c>
      <c r="M17" s="152" t="e">
        <f>#REF!</f>
        <v>#REF!</v>
      </c>
      <c r="N17" s="154" t="str">
        <f>透射比示值误差与重复性校验!$L4</f>
        <v/>
      </c>
      <c r="O17" s="152"/>
    </row>
    <row r="18" spans="1:15" x14ac:dyDescent="0.25">
      <c r="A18" s="157">
        <v>2004</v>
      </c>
      <c r="B18" s="153" t="str">
        <f t="shared" ca="1" si="0"/>
        <v>T600T700</v>
      </c>
      <c r="C18" s="154">
        <f>透射比示值误差与重复性校验!$C5</f>
        <v>18.53</v>
      </c>
      <c r="D18" s="152" t="str">
        <f>透射比示值误差与重复性校验!$D5&amp;";"&amp;透射比示值误差与重复性校验!$E5&amp;";"&amp;透射比示值误差与重复性校验!$F5</f>
        <v>;;</v>
      </c>
      <c r="E18" s="152" t="str">
        <f>透射比示值误差与重复性校验!$G5</f>
        <v/>
      </c>
      <c r="F18" s="152" t="str">
        <f>透射比示值误差与重复性校验!$H5</f>
        <v/>
      </c>
      <c r="G18" s="152">
        <f>透射比示值误差与重复性校验!$I5</f>
        <v>0</v>
      </c>
      <c r="H18" s="152" t="e">
        <f>#REF!</f>
        <v>#REF!</v>
      </c>
      <c r="I18" s="155">
        <f t="shared" ca="1" si="1"/>
        <v>44687.515574421297</v>
      </c>
      <c r="J18" s="152" t="e">
        <f>#REF!</f>
        <v>#REF!</v>
      </c>
      <c r="K18" s="152"/>
      <c r="L18" s="152" t="e">
        <f>#REF!</f>
        <v>#REF!</v>
      </c>
      <c r="M18" s="152" t="e">
        <f>#REF!</f>
        <v>#REF!</v>
      </c>
      <c r="N18" s="154" t="str">
        <f>透射比示值误差与重复性校验!$L5</f>
        <v/>
      </c>
      <c r="O18" s="152"/>
    </row>
    <row r="19" spans="1:15" x14ac:dyDescent="0.25">
      <c r="A19" s="157">
        <v>2005</v>
      </c>
      <c r="B19" s="153" t="str">
        <f t="shared" ca="1" si="0"/>
        <v>T600T700</v>
      </c>
      <c r="C19" s="154">
        <f>透射比示值误差与重复性校验!$C6</f>
        <v>13.34</v>
      </c>
      <c r="D19" s="152" t="str">
        <f>透射比示值误差与重复性校验!$D6&amp;";"&amp;透射比示值误差与重复性校验!$E6&amp;";"&amp;透射比示值误差与重复性校验!$F6</f>
        <v>;;</v>
      </c>
      <c r="E19" s="152" t="str">
        <f>透射比示值误差与重复性校验!$G6</f>
        <v/>
      </c>
      <c r="F19" s="152" t="str">
        <f>透射比示值误差与重复性校验!$H6</f>
        <v/>
      </c>
      <c r="G19" s="152">
        <f>透射比示值误差与重复性校验!$I6</f>
        <v>0</v>
      </c>
      <c r="H19" s="152" t="e">
        <f>#REF!</f>
        <v>#REF!</v>
      </c>
      <c r="I19" s="155">
        <f t="shared" ca="1" si="1"/>
        <v>44687.515574421297</v>
      </c>
      <c r="J19" s="152" t="e">
        <f>#REF!</f>
        <v>#REF!</v>
      </c>
      <c r="K19" s="152"/>
      <c r="L19" s="152" t="e">
        <f>#REF!</f>
        <v>#REF!</v>
      </c>
      <c r="M19" s="152" t="e">
        <f>#REF!</f>
        <v>#REF!</v>
      </c>
      <c r="N19" s="154" t="str">
        <f>透射比示值误差与重复性校验!$L6</f>
        <v/>
      </c>
      <c r="O19" s="152"/>
    </row>
    <row r="20" spans="1:15" x14ac:dyDescent="0.25">
      <c r="A20" s="157">
        <v>2006</v>
      </c>
      <c r="B20" s="153" t="str">
        <f t="shared" ca="1" si="0"/>
        <v>T600T700</v>
      </c>
      <c r="C20" s="154">
        <f>透射比示值误差与重复性校验!$C7</f>
        <v>15.91</v>
      </c>
      <c r="D20" s="152" t="str">
        <f>透射比示值误差与重复性校验!$D7&amp;";"&amp;透射比示值误差与重复性校验!$E7&amp;";"&amp;透射比示值误差与重复性校验!$F7</f>
        <v>;;</v>
      </c>
      <c r="E20" s="152" t="str">
        <f>透射比示值误差与重复性校验!$G7</f>
        <v/>
      </c>
      <c r="F20" s="152" t="str">
        <f>透射比示值误差与重复性校验!$H7</f>
        <v/>
      </c>
      <c r="G20" s="152">
        <f>透射比示值误差与重复性校验!$I7</f>
        <v>0</v>
      </c>
      <c r="H20" s="152" t="e">
        <f>#REF!</f>
        <v>#REF!</v>
      </c>
      <c r="I20" s="155">
        <f t="shared" ca="1" si="1"/>
        <v>44687.515574421297</v>
      </c>
      <c r="J20" s="152" t="e">
        <f>#REF!</f>
        <v>#REF!</v>
      </c>
      <c r="K20" s="152"/>
      <c r="L20" s="152" t="e">
        <f>#REF!</f>
        <v>#REF!</v>
      </c>
      <c r="M20" s="152" t="e">
        <f>#REF!</f>
        <v>#REF!</v>
      </c>
      <c r="N20" s="154" t="str">
        <f>透射比示值误差与重复性校验!$L7</f>
        <v/>
      </c>
      <c r="O20" s="152"/>
    </row>
    <row r="21" spans="1:15" x14ac:dyDescent="0.25">
      <c r="A21" s="157">
        <v>2007</v>
      </c>
      <c r="B21" s="153" t="str">
        <f t="shared" ca="1" si="0"/>
        <v>T600T700</v>
      </c>
      <c r="C21" s="154">
        <f>透射比示值误差与重复性校验!$C8</f>
        <v>15.34</v>
      </c>
      <c r="D21" s="152" t="str">
        <f>透射比示值误差与重复性校验!$D8&amp;";"&amp;透射比示值误差与重复性校验!$E8&amp;";"&amp;透射比示值误差与重复性校验!$F8</f>
        <v>;;</v>
      </c>
      <c r="E21" s="152" t="str">
        <f>透射比示值误差与重复性校验!$G8</f>
        <v/>
      </c>
      <c r="F21" s="152" t="str">
        <f>透射比示值误差与重复性校验!$H8</f>
        <v/>
      </c>
      <c r="G21" s="152">
        <f>透射比示值误差与重复性校验!$I8</f>
        <v>0</v>
      </c>
      <c r="H21" s="152" t="e">
        <f>#REF!</f>
        <v>#REF!</v>
      </c>
      <c r="I21" s="155">
        <f t="shared" ca="1" si="1"/>
        <v>44687.515574421297</v>
      </c>
      <c r="J21" s="152" t="e">
        <f>#REF!</f>
        <v>#REF!</v>
      </c>
      <c r="K21" s="152"/>
      <c r="L21" s="152" t="e">
        <f>#REF!</f>
        <v>#REF!</v>
      </c>
      <c r="M21" s="152" t="e">
        <f>#REF!</f>
        <v>#REF!</v>
      </c>
      <c r="N21" s="154" t="str">
        <f>透射比示值误差与重复性校验!$L8</f>
        <v/>
      </c>
      <c r="O21" s="152"/>
    </row>
    <row r="22" spans="1:15" x14ac:dyDescent="0.25">
      <c r="A22" s="157">
        <v>2008</v>
      </c>
      <c r="B22" s="153" t="str">
        <f t="shared" ca="1" si="0"/>
        <v>T600T700</v>
      </c>
      <c r="C22" s="154">
        <f>透射比示值误差与重复性校验!$C9</f>
        <v>22.78</v>
      </c>
      <c r="D22" s="152" t="str">
        <f>透射比示值误差与重复性校验!$D9&amp;";"&amp;透射比示值误差与重复性校验!$E9&amp;";"&amp;透射比示值误差与重复性校验!$F9</f>
        <v>;;</v>
      </c>
      <c r="E22" s="152" t="str">
        <f>透射比示值误差与重复性校验!$G9</f>
        <v/>
      </c>
      <c r="F22" s="152" t="str">
        <f>透射比示值误差与重复性校验!$H9</f>
        <v/>
      </c>
      <c r="G22" s="152">
        <f>透射比示值误差与重复性校验!$I9</f>
        <v>0</v>
      </c>
      <c r="H22" s="152" t="e">
        <f>#REF!</f>
        <v>#REF!</v>
      </c>
      <c r="I22" s="155">
        <f t="shared" ca="1" si="1"/>
        <v>44687.515574421297</v>
      </c>
      <c r="J22" s="152" t="e">
        <f>#REF!</f>
        <v>#REF!</v>
      </c>
      <c r="K22" s="152"/>
      <c r="L22" s="152" t="e">
        <f>#REF!</f>
        <v>#REF!</v>
      </c>
      <c r="M22" s="152" t="e">
        <f>#REF!</f>
        <v>#REF!</v>
      </c>
      <c r="N22" s="154" t="str">
        <f>透射比示值误差与重复性校验!$L9</f>
        <v/>
      </c>
      <c r="O22" s="152"/>
    </row>
    <row r="23" spans="1:15" x14ac:dyDescent="0.25">
      <c r="A23" s="157">
        <v>2009</v>
      </c>
      <c r="B23" s="153" t="str">
        <f t="shared" ca="1" si="0"/>
        <v>T600T700</v>
      </c>
      <c r="C23" s="154">
        <f>透射比示值误差与重复性校验!$C10</f>
        <v>29.12</v>
      </c>
      <c r="D23" s="152" t="str">
        <f>透射比示值误差与重复性校验!$D10&amp;";"&amp;透射比示值误差与重复性校验!$E10&amp;";"&amp;透射比示值误差与重复性校验!$F10</f>
        <v>;;</v>
      </c>
      <c r="E23" s="152" t="str">
        <f>透射比示值误差与重复性校验!$G10</f>
        <v/>
      </c>
      <c r="F23" s="152" t="str">
        <f>透射比示值误差与重复性校验!$H10</f>
        <v/>
      </c>
      <c r="G23" s="152">
        <f>透射比示值误差与重复性校验!$I10</f>
        <v>0</v>
      </c>
      <c r="H23" s="152" t="e">
        <f>#REF!</f>
        <v>#REF!</v>
      </c>
      <c r="I23" s="155">
        <f t="shared" ca="1" si="1"/>
        <v>44687.515574421297</v>
      </c>
      <c r="J23" s="152" t="e">
        <f>#REF!</f>
        <v>#REF!</v>
      </c>
      <c r="K23" s="152"/>
      <c r="L23" s="152" t="e">
        <f>#REF!</f>
        <v>#REF!</v>
      </c>
      <c r="M23" s="152" t="e">
        <f>#REF!</f>
        <v>#REF!</v>
      </c>
      <c r="N23" s="154" t="str">
        <f>透射比示值误差与重复性校验!$L10</f>
        <v/>
      </c>
      <c r="O23" s="152"/>
    </row>
    <row r="24" spans="1:15" x14ac:dyDescent="0.25">
      <c r="A24" s="157">
        <v>2010</v>
      </c>
      <c r="B24" s="153" t="str">
        <f t="shared" ca="1" si="0"/>
        <v>T600T700</v>
      </c>
      <c r="C24" s="154">
        <f>透射比示值误差与重复性校验!$C11</f>
        <v>29.76</v>
      </c>
      <c r="D24" s="152" t="str">
        <f>透射比示值误差与重复性校验!$D11&amp;";"&amp;透射比示值误差与重复性校验!$E11&amp;";"&amp;透射比示值误差与重复性校验!$F11</f>
        <v>;;</v>
      </c>
      <c r="E24" s="152" t="str">
        <f>透射比示值误差与重复性校验!$G11</f>
        <v/>
      </c>
      <c r="F24" s="152" t="str">
        <f>透射比示值误差与重复性校验!$H11</f>
        <v/>
      </c>
      <c r="G24" s="152">
        <f>透射比示值误差与重复性校验!$I11</f>
        <v>0</v>
      </c>
      <c r="H24" s="152" t="e">
        <f>#REF!</f>
        <v>#REF!</v>
      </c>
      <c r="I24" s="155">
        <f t="shared" ca="1" si="1"/>
        <v>44687.515574421297</v>
      </c>
      <c r="J24" s="152" t="e">
        <f>#REF!</f>
        <v>#REF!</v>
      </c>
      <c r="K24" s="152"/>
      <c r="L24" s="152" t="e">
        <f>#REF!</f>
        <v>#REF!</v>
      </c>
      <c r="M24" s="152" t="e">
        <f>#REF!</f>
        <v>#REF!</v>
      </c>
      <c r="N24" s="154" t="str">
        <f>透射比示值误差与重复性校验!$L11</f>
        <v/>
      </c>
      <c r="O24" s="152"/>
    </row>
    <row r="25" spans="1:15" x14ac:dyDescent="0.25">
      <c r="A25" s="157">
        <v>2011</v>
      </c>
      <c r="B25" s="153" t="str">
        <f t="shared" ca="1" si="0"/>
        <v>T600T700</v>
      </c>
      <c r="C25" s="154">
        <f>透射比示值误差与重复性校验!$C12</f>
        <v>34.020000000000003</v>
      </c>
      <c r="D25" s="152" t="str">
        <f>透射比示值误差与重复性校验!$D12&amp;";"&amp;透射比示值误差与重复性校验!$E12&amp;";"&amp;透射比示值误差与重复性校验!$F12</f>
        <v>;;</v>
      </c>
      <c r="E25" s="152" t="str">
        <f>透射比示值误差与重复性校验!$G12</f>
        <v/>
      </c>
      <c r="F25" s="152" t="str">
        <f>透射比示值误差与重复性校验!$H12</f>
        <v/>
      </c>
      <c r="G25" s="152">
        <f>透射比示值误差与重复性校验!$I12</f>
        <v>0</v>
      </c>
      <c r="H25" s="152" t="e">
        <f>#REF!</f>
        <v>#REF!</v>
      </c>
      <c r="I25" s="155">
        <f t="shared" ca="1" si="1"/>
        <v>44687.515574421297</v>
      </c>
      <c r="J25" s="152" t="e">
        <f>#REF!</f>
        <v>#REF!</v>
      </c>
      <c r="K25" s="152"/>
      <c r="L25" s="152" t="e">
        <f>#REF!</f>
        <v>#REF!</v>
      </c>
      <c r="M25" s="152" t="e">
        <f>#REF!</f>
        <v>#REF!</v>
      </c>
      <c r="N25" s="154" t="str">
        <f>透射比示值误差与重复性校验!$L12</f>
        <v/>
      </c>
      <c r="O25" s="152"/>
    </row>
    <row r="26" spans="1:15" x14ac:dyDescent="0.25">
      <c r="A26" s="157">
        <v>2012</v>
      </c>
      <c r="B26" s="153" t="str">
        <f t="shared" ca="1" si="0"/>
        <v>T600T700</v>
      </c>
      <c r="C26" s="154">
        <f>透射比示值误差与重复性校验!$C13</f>
        <v>40.5</v>
      </c>
      <c r="D26" s="152" t="str">
        <f>透射比示值误差与重复性校验!$D13&amp;";"&amp;透射比示值误差与重复性校验!$E13&amp;";"&amp;透射比示值误差与重复性校验!$F13</f>
        <v>;;</v>
      </c>
      <c r="E26" s="152" t="str">
        <f>透射比示值误差与重复性校验!$G13</f>
        <v/>
      </c>
      <c r="F26" s="152" t="str">
        <f>透射比示值误差与重复性校验!$H13</f>
        <v/>
      </c>
      <c r="G26" s="152">
        <f>透射比示值误差与重复性校验!$I13</f>
        <v>0</v>
      </c>
      <c r="H26" s="152" t="e">
        <f>#REF!</f>
        <v>#REF!</v>
      </c>
      <c r="I26" s="155">
        <f t="shared" ca="1" si="1"/>
        <v>44687.515574421297</v>
      </c>
      <c r="J26" s="152" t="e">
        <f>#REF!</f>
        <v>#REF!</v>
      </c>
      <c r="K26" s="152"/>
      <c r="L26" s="152" t="e">
        <f>#REF!</f>
        <v>#REF!</v>
      </c>
      <c r="M26" s="152" t="e">
        <f>#REF!</f>
        <v>#REF!</v>
      </c>
      <c r="N26" s="154" t="str">
        <f>透射比示值误差与重复性校验!$L13</f>
        <v/>
      </c>
      <c r="O26" s="152"/>
    </row>
    <row r="27" spans="1:15" x14ac:dyDescent="0.25">
      <c r="A27" s="157">
        <v>2013</v>
      </c>
      <c r="B27" s="153" t="str">
        <f t="shared" ca="1" si="0"/>
        <v>T600T700</v>
      </c>
      <c r="C27" s="154">
        <f>透射比示值误差与重复性校验!$C14</f>
        <v>41</v>
      </c>
      <c r="D27" s="152" t="str">
        <f>透射比示值误差与重复性校验!$D14&amp;";"&amp;透射比示值误差与重复性校验!$E14&amp;";"&amp;透射比示值误差与重复性校验!$F14</f>
        <v>;;</v>
      </c>
      <c r="E27" s="152" t="str">
        <f>透射比示值误差与重复性校验!$G14</f>
        <v/>
      </c>
      <c r="F27" s="152" t="str">
        <f>透射比示值误差与重复性校验!$H14</f>
        <v/>
      </c>
      <c r="G27" s="152">
        <f>透射比示值误差与重复性校验!$I14</f>
        <v>0</v>
      </c>
      <c r="H27" s="152" t="e">
        <f>#REF!</f>
        <v>#REF!</v>
      </c>
      <c r="I27" s="155">
        <f t="shared" ca="1" si="1"/>
        <v>44687.515574421297</v>
      </c>
      <c r="J27" s="152" t="e">
        <f>#REF!</f>
        <v>#REF!</v>
      </c>
      <c r="K27" s="152"/>
      <c r="L27" s="152" t="e">
        <f>#REF!</f>
        <v>#REF!</v>
      </c>
      <c r="M27" s="152" t="e">
        <f>#REF!</f>
        <v>#REF!</v>
      </c>
      <c r="N27" s="154" t="str">
        <f>透射比示值误差与重复性校验!$L14</f>
        <v/>
      </c>
      <c r="O27" s="152"/>
    </row>
    <row r="28" spans="1:15" x14ac:dyDescent="0.25">
      <c r="A28" s="157">
        <v>3001</v>
      </c>
      <c r="B28" s="153" t="str">
        <f t="shared" ca="1" si="0"/>
        <v>T600T700</v>
      </c>
      <c r="C28" s="154">
        <f>杂散光校验!$B2</f>
        <v>220</v>
      </c>
      <c r="D28" s="156" t="str">
        <f>杂散光校验!$C2&amp;";"&amp;杂散光校验!$D2&amp;";"&amp;杂散光校验!$E2</f>
        <v>;;</v>
      </c>
      <c r="E28" s="152"/>
      <c r="F28" s="152"/>
      <c r="G28" s="152"/>
      <c r="H28" s="152" t="e">
        <f>#REF!</f>
        <v>#REF!</v>
      </c>
      <c r="I28" s="155">
        <f t="shared" ca="1" si="1"/>
        <v>44687.515574421297</v>
      </c>
      <c r="J28" s="152" t="e">
        <f>#REF!</f>
        <v>#REF!</v>
      </c>
      <c r="K28" s="152"/>
      <c r="L28" s="152" t="e">
        <f>#REF!</f>
        <v>#REF!</v>
      </c>
      <c r="M28" s="152" t="e">
        <f>#REF!</f>
        <v>#REF!</v>
      </c>
      <c r="N28" s="154" t="str">
        <f>杂散光校验!$G2</f>
        <v/>
      </c>
      <c r="O28" s="152"/>
    </row>
    <row r="29" spans="1:15" x14ac:dyDescent="0.25">
      <c r="A29" s="157">
        <v>3002</v>
      </c>
      <c r="B29" s="153" t="str">
        <f t="shared" ca="1" si="0"/>
        <v>T600T700</v>
      </c>
      <c r="C29" s="154">
        <f>杂散光校验!$B3</f>
        <v>360</v>
      </c>
      <c r="D29" s="156" t="str">
        <f>杂散光校验!$C3&amp;";"&amp;杂散光校验!$D3&amp;";"&amp;杂散光校验!$E3</f>
        <v>;;</v>
      </c>
      <c r="E29" s="152"/>
      <c r="F29" s="152"/>
      <c r="G29" s="152"/>
      <c r="H29" s="152" t="e">
        <f>#REF!</f>
        <v>#REF!</v>
      </c>
      <c r="I29" s="155">
        <f t="shared" ca="1" si="1"/>
        <v>44687.515574421297</v>
      </c>
      <c r="J29" s="152" t="e">
        <f>#REF!</f>
        <v>#REF!</v>
      </c>
      <c r="K29" s="152"/>
      <c r="L29" s="152" t="e">
        <f>#REF!</f>
        <v>#REF!</v>
      </c>
      <c r="M29" s="152" t="e">
        <f>#REF!</f>
        <v>#REF!</v>
      </c>
      <c r="N29" s="154" t="str">
        <f>杂散光校验!$G3</f>
        <v/>
      </c>
      <c r="O29" s="152"/>
    </row>
    <row r="30" spans="1:15" x14ac:dyDescent="0.25">
      <c r="A30" s="157">
        <v>4001</v>
      </c>
      <c r="B30" s="153" t="str">
        <f t="shared" ca="1" si="0"/>
        <v>T600T700</v>
      </c>
      <c r="C30" s="154"/>
      <c r="D30" s="178">
        <f>基线平直度检验!$B$2</f>
        <v>0</v>
      </c>
      <c r="E30" s="152"/>
      <c r="F30" s="152"/>
      <c r="G30" s="152"/>
      <c r="H30" s="152" t="e">
        <f>#REF!</f>
        <v>#REF!</v>
      </c>
      <c r="I30" s="155">
        <f t="shared" ca="1" si="1"/>
        <v>44687.515574421297</v>
      </c>
      <c r="J30" s="152" t="e">
        <f>#REF!</f>
        <v>#REF!</v>
      </c>
      <c r="K30" s="152"/>
      <c r="L30" s="152" t="e">
        <f>#REF!</f>
        <v>#REF!</v>
      </c>
      <c r="M30" s="152" t="e">
        <f>#REF!</f>
        <v>#REF!</v>
      </c>
      <c r="N30" s="154" t="str">
        <f>基线平直度检验!$D$2</f>
        <v>不合格</v>
      </c>
      <c r="O30" s="152"/>
    </row>
    <row r="31" spans="1:15" x14ac:dyDescent="0.25">
      <c r="A31" s="157">
        <v>5001</v>
      </c>
      <c r="B31" s="153" t="str">
        <f t="shared" ca="1" si="0"/>
        <v>T600T700</v>
      </c>
      <c r="C31" s="154"/>
      <c r="D31" s="178">
        <f>基线暗噪声检验!$B$2</f>
        <v>0</v>
      </c>
      <c r="E31" s="152"/>
      <c r="F31" s="152"/>
      <c r="G31" s="152"/>
      <c r="H31" s="152" t="e">
        <f>#REF!</f>
        <v>#REF!</v>
      </c>
      <c r="I31" s="155">
        <f t="shared" ca="1" si="1"/>
        <v>44687.515574421297</v>
      </c>
      <c r="J31" s="152" t="e">
        <f>#REF!</f>
        <v>#REF!</v>
      </c>
      <c r="K31" s="152"/>
      <c r="L31" s="152" t="e">
        <f>#REF!</f>
        <v>#REF!</v>
      </c>
      <c r="M31" s="152" t="e">
        <f>#REF!</f>
        <v>#REF!</v>
      </c>
      <c r="N31" s="154" t="str">
        <f>基线暗噪声检验!$D$2</f>
        <v>不合格</v>
      </c>
      <c r="O31" s="152"/>
    </row>
    <row r="32" spans="1:15" x14ac:dyDescent="0.25">
      <c r="A32" s="157">
        <v>6001</v>
      </c>
      <c r="B32" s="153" t="str">
        <f t="shared" ca="1" si="0"/>
        <v>T600T700</v>
      </c>
      <c r="C32" s="154">
        <f>光谱带宽与仪器最小光谱带宽!$C2</f>
        <v>5</v>
      </c>
      <c r="D32" s="178">
        <f>光谱带宽与仪器最小光谱带宽!$D2</f>
        <v>0</v>
      </c>
      <c r="E32" s="152"/>
      <c r="F32" s="152"/>
      <c r="G32" s="152"/>
      <c r="H32" s="152" t="e">
        <f>#REF!</f>
        <v>#REF!</v>
      </c>
      <c r="I32" s="155">
        <f t="shared" ca="1" si="1"/>
        <v>44687.515574421297</v>
      </c>
      <c r="J32" s="152" t="e">
        <f>#REF!</f>
        <v>#REF!</v>
      </c>
      <c r="K32" s="152"/>
      <c r="L32" s="152" t="e">
        <f>#REF!</f>
        <v>#REF!</v>
      </c>
      <c r="M32" s="152" t="e">
        <f>#REF!</f>
        <v>#REF!</v>
      </c>
      <c r="N32" s="154" t="str">
        <f>光谱带宽与仪器最小光谱带宽!$G2</f>
        <v>不合格</v>
      </c>
      <c r="O32" s="152"/>
    </row>
    <row r="33" spans="1:15" x14ac:dyDescent="0.25">
      <c r="A33" s="157">
        <v>6002</v>
      </c>
      <c r="B33" s="153" t="str">
        <f t="shared" ca="1" si="0"/>
        <v>T600T700</v>
      </c>
      <c r="C33" s="154">
        <f>光谱带宽与仪器最小光谱带宽!$C3</f>
        <v>2</v>
      </c>
      <c r="D33" s="178">
        <f>光谱带宽与仪器最小光谱带宽!$D3</f>
        <v>0</v>
      </c>
      <c r="E33" s="152"/>
      <c r="F33" s="152"/>
      <c r="G33" s="152"/>
      <c r="H33" s="152" t="e">
        <f>#REF!</f>
        <v>#REF!</v>
      </c>
      <c r="I33" s="155">
        <f t="shared" ca="1" si="1"/>
        <v>44687.515574421297</v>
      </c>
      <c r="J33" s="152" t="e">
        <f>#REF!</f>
        <v>#REF!</v>
      </c>
      <c r="K33" s="152"/>
      <c r="L33" s="152" t="e">
        <f>#REF!</f>
        <v>#REF!</v>
      </c>
      <c r="M33" s="152" t="e">
        <f>#REF!</f>
        <v>#REF!</v>
      </c>
      <c r="N33" s="154" t="str">
        <f>光谱带宽与仪器最小光谱带宽!$G3</f>
        <v>不合格</v>
      </c>
      <c r="O33" s="152"/>
    </row>
    <row r="34" spans="1:15" x14ac:dyDescent="0.25">
      <c r="A34" s="157">
        <v>6003</v>
      </c>
      <c r="B34" s="153" t="str">
        <f t="shared" ca="1" si="0"/>
        <v>T600T700</v>
      </c>
      <c r="C34" s="154">
        <f>光谱带宽与仪器最小光谱带宽!$C4</f>
        <v>1</v>
      </c>
      <c r="D34" s="178">
        <f>光谱带宽与仪器最小光谱带宽!$D4</f>
        <v>0</v>
      </c>
      <c r="E34" s="152"/>
      <c r="F34" s="152"/>
      <c r="G34" s="152"/>
      <c r="H34" s="152" t="e">
        <f>#REF!</f>
        <v>#REF!</v>
      </c>
      <c r="I34" s="155">
        <f t="shared" ca="1" si="1"/>
        <v>44687.515574421297</v>
      </c>
      <c r="J34" s="152" t="e">
        <f>#REF!</f>
        <v>#REF!</v>
      </c>
      <c r="K34" s="152"/>
      <c r="L34" s="152" t="e">
        <f>#REF!</f>
        <v>#REF!</v>
      </c>
      <c r="M34" s="152" t="e">
        <f>#REF!</f>
        <v>#REF!</v>
      </c>
      <c r="N34" s="154" t="str">
        <f>光谱带宽与仪器最小光谱带宽!$G4</f>
        <v>不合格</v>
      </c>
      <c r="O34" s="152"/>
    </row>
    <row r="35" spans="1:15" x14ac:dyDescent="0.25">
      <c r="A35" s="157">
        <v>6004</v>
      </c>
      <c r="B35" s="153" t="str">
        <f t="shared" ca="1" si="0"/>
        <v>T600T700</v>
      </c>
      <c r="C35" s="154">
        <f>光谱带宽与仪器最小光谱带宽!$C5</f>
        <v>0.5</v>
      </c>
      <c r="D35" s="178">
        <f>光谱带宽与仪器最小光谱带宽!$D5</f>
        <v>0</v>
      </c>
      <c r="E35" s="152"/>
      <c r="F35" s="152"/>
      <c r="G35" s="152"/>
      <c r="H35" s="152" t="e">
        <f>#REF!</f>
        <v>#REF!</v>
      </c>
      <c r="I35" s="155">
        <f t="shared" ca="1" si="1"/>
        <v>44687.515574421297</v>
      </c>
      <c r="J35" s="152" t="e">
        <f>#REF!</f>
        <v>#REF!</v>
      </c>
      <c r="K35" s="152"/>
      <c r="L35" s="152" t="e">
        <f>#REF!</f>
        <v>#REF!</v>
      </c>
      <c r="M35" s="152" t="e">
        <f>#REF!</f>
        <v>#REF!</v>
      </c>
      <c r="N35" s="154" t="str">
        <f>光谱带宽与仪器最小光谱带宽!$G5</f>
        <v>不合格</v>
      </c>
      <c r="O35" s="152"/>
    </row>
    <row r="36" spans="1:15" x14ac:dyDescent="0.25">
      <c r="A36" s="157">
        <v>6005</v>
      </c>
      <c r="B36" s="153" t="str">
        <f t="shared" ca="1" si="0"/>
        <v>T600T700</v>
      </c>
      <c r="C36" s="154">
        <f>光谱带宽与仪器最小光谱带宽!$C6</f>
        <v>0.2</v>
      </c>
      <c r="D36" s="178">
        <f>光谱带宽与仪器最小光谱带宽!$D6</f>
        <v>0</v>
      </c>
      <c r="E36" s="152"/>
      <c r="F36" s="152"/>
      <c r="G36" s="152"/>
      <c r="H36" s="152" t="e">
        <f>#REF!</f>
        <v>#REF!</v>
      </c>
      <c r="I36" s="155">
        <f t="shared" ca="1" si="1"/>
        <v>44687.515574421297</v>
      </c>
      <c r="J36" s="152" t="e">
        <f>#REF!</f>
        <v>#REF!</v>
      </c>
      <c r="K36" s="152"/>
      <c r="L36" s="152" t="e">
        <f>#REF!</f>
        <v>#REF!</v>
      </c>
      <c r="M36" s="152" t="e">
        <f>#REF!</f>
        <v>#REF!</v>
      </c>
      <c r="N36" s="154" t="str">
        <f>光谱带宽与仪器最小光谱带宽!$G6</f>
        <v>不合格</v>
      </c>
      <c r="O36" s="152"/>
    </row>
    <row r="37" spans="1:15" x14ac:dyDescent="0.25">
      <c r="A37" s="157">
        <v>7001</v>
      </c>
      <c r="B37" s="153" t="str">
        <f t="shared" ca="1" si="0"/>
        <v>T600T700</v>
      </c>
      <c r="C37" s="154">
        <f>噪声检验!$B2</f>
        <v>500</v>
      </c>
      <c r="D37" s="178">
        <f>噪声检验!$C2</f>
        <v>0</v>
      </c>
      <c r="E37" s="152"/>
      <c r="F37" s="152"/>
      <c r="G37" s="152"/>
      <c r="H37" s="152" t="e">
        <f>#REF!</f>
        <v>#REF!</v>
      </c>
      <c r="I37" s="155">
        <f t="shared" ca="1" si="1"/>
        <v>44687.515574421297</v>
      </c>
      <c r="J37" s="152" t="e">
        <f>#REF!</f>
        <v>#REF!</v>
      </c>
      <c r="K37" s="152"/>
      <c r="L37" s="152" t="e">
        <f>#REF!</f>
        <v>#REF!</v>
      </c>
      <c r="M37" s="152" t="e">
        <f>#REF!</f>
        <v>#REF!</v>
      </c>
      <c r="N37" s="154" t="str">
        <f>噪声检验!$E2</f>
        <v>不合格</v>
      </c>
      <c r="O37" s="152"/>
    </row>
    <row r="38" spans="1:15" x14ac:dyDescent="0.25">
      <c r="A38" s="157">
        <v>7002</v>
      </c>
      <c r="B38" s="153" t="str">
        <f t="shared" ca="1" si="0"/>
        <v>T600T700</v>
      </c>
      <c r="C38" s="154">
        <f>噪声检验!$B3</f>
        <v>500</v>
      </c>
      <c r="D38" s="178">
        <f>噪声检验!$C3</f>
        <v>0</v>
      </c>
      <c r="E38" s="152"/>
      <c r="F38" s="152"/>
      <c r="G38" s="152"/>
      <c r="H38" s="152" t="e">
        <f>#REF!</f>
        <v>#REF!</v>
      </c>
      <c r="I38" s="155">
        <f t="shared" ca="1" si="1"/>
        <v>44687.515574421297</v>
      </c>
      <c r="J38" s="152" t="e">
        <f>#REF!</f>
        <v>#REF!</v>
      </c>
      <c r="K38" s="152"/>
      <c r="L38" s="152" t="e">
        <f>#REF!</f>
        <v>#REF!</v>
      </c>
      <c r="M38" s="152" t="e">
        <f>#REF!</f>
        <v>#REF!</v>
      </c>
      <c r="N38" s="154" t="str">
        <f>噪声检验!$E3</f>
        <v>不合格</v>
      </c>
      <c r="O38" s="152"/>
    </row>
    <row r="39" spans="1:15" x14ac:dyDescent="0.25">
      <c r="A39" s="157">
        <v>7003</v>
      </c>
      <c r="B39" s="153" t="str">
        <f t="shared" ca="1" si="0"/>
        <v>T600T700</v>
      </c>
      <c r="C39" s="154">
        <f>噪声检验!$B4</f>
        <v>250</v>
      </c>
      <c r="D39" s="178">
        <f>噪声检验!$C4</f>
        <v>0</v>
      </c>
      <c r="E39" s="152"/>
      <c r="F39" s="152"/>
      <c r="G39" s="152"/>
      <c r="H39" s="152" t="e">
        <f>#REF!</f>
        <v>#REF!</v>
      </c>
      <c r="I39" s="155">
        <f t="shared" ca="1" si="1"/>
        <v>44687.515574421297</v>
      </c>
      <c r="J39" s="152" t="e">
        <f>#REF!</f>
        <v>#REF!</v>
      </c>
      <c r="K39" s="152"/>
      <c r="L39" s="152" t="e">
        <f>#REF!</f>
        <v>#REF!</v>
      </c>
      <c r="M39" s="152" t="e">
        <f>#REF!</f>
        <v>#REF!</v>
      </c>
      <c r="N39" s="154" t="str">
        <f>噪声检验!$E4</f>
        <v>不合格</v>
      </c>
      <c r="O39" s="152"/>
    </row>
    <row r="40" spans="1:15" x14ac:dyDescent="0.25">
      <c r="A40" s="157">
        <v>7004</v>
      </c>
      <c r="B40" s="153" t="str">
        <f t="shared" ca="1" si="0"/>
        <v>T600T700</v>
      </c>
      <c r="C40" s="154">
        <f>噪声检验!$B5</f>
        <v>250</v>
      </c>
      <c r="D40" s="178">
        <f>噪声检验!$C5</f>
        <v>0</v>
      </c>
      <c r="E40" s="152"/>
      <c r="F40" s="152"/>
      <c r="G40" s="152"/>
      <c r="H40" s="152" t="e">
        <f>#REF!</f>
        <v>#REF!</v>
      </c>
      <c r="I40" s="155">
        <f t="shared" ca="1" si="1"/>
        <v>44687.515574421297</v>
      </c>
      <c r="J40" s="152" t="e">
        <f>#REF!</f>
        <v>#REF!</v>
      </c>
      <c r="K40" s="152"/>
      <c r="L40" s="152" t="e">
        <f>#REF!</f>
        <v>#REF!</v>
      </c>
      <c r="M40" s="152" t="e">
        <f>#REF!</f>
        <v>#REF!</v>
      </c>
      <c r="N40" s="154" t="str">
        <f>噪声检验!$E5</f>
        <v>不合格</v>
      </c>
      <c r="O40" s="152"/>
    </row>
    <row r="41" spans="1:15" x14ac:dyDescent="0.25">
      <c r="A41" s="157">
        <v>8001</v>
      </c>
      <c r="B41" s="153" t="str">
        <f t="shared" ca="1" si="0"/>
        <v>T600T700</v>
      </c>
      <c r="C41" s="154">
        <f>波长边缘噪声!$B2</f>
        <v>1090</v>
      </c>
      <c r="D41" s="178">
        <f>波长边缘噪声!$C2</f>
        <v>0</v>
      </c>
      <c r="E41" s="152"/>
      <c r="F41" s="152"/>
      <c r="G41" s="152"/>
      <c r="H41" s="152" t="e">
        <f>#REF!</f>
        <v>#REF!</v>
      </c>
      <c r="I41" s="155">
        <f t="shared" ca="1" si="1"/>
        <v>44687.515574421297</v>
      </c>
      <c r="J41" s="152" t="e">
        <f>#REF!</f>
        <v>#REF!</v>
      </c>
      <c r="K41" s="152"/>
      <c r="L41" s="152" t="e">
        <f>#REF!</f>
        <v>#REF!</v>
      </c>
      <c r="M41" s="152" t="e">
        <f>#REF!</f>
        <v>#REF!</v>
      </c>
      <c r="N41" s="154" t="str">
        <f>波长边缘噪声!$E2</f>
        <v>不合格</v>
      </c>
      <c r="O41" s="152"/>
    </row>
    <row r="42" spans="1:15" x14ac:dyDescent="0.25">
      <c r="A42" s="157">
        <v>8002</v>
      </c>
      <c r="B42" s="153" t="str">
        <f t="shared" ca="1" si="0"/>
        <v>T600T700</v>
      </c>
      <c r="C42" s="154">
        <f>波长边缘噪声!$B3</f>
        <v>1090</v>
      </c>
      <c r="D42" s="178">
        <f>波长边缘噪声!$C3</f>
        <v>0</v>
      </c>
      <c r="E42" s="152"/>
      <c r="F42" s="152"/>
      <c r="G42" s="152"/>
      <c r="H42" s="152" t="e">
        <f>#REF!</f>
        <v>#REF!</v>
      </c>
      <c r="I42" s="155">
        <f t="shared" ca="1" si="1"/>
        <v>44687.515574421297</v>
      </c>
      <c r="J42" s="152" t="e">
        <f>#REF!</f>
        <v>#REF!</v>
      </c>
      <c r="K42" s="152"/>
      <c r="L42" s="152" t="e">
        <f>#REF!</f>
        <v>#REF!</v>
      </c>
      <c r="M42" s="152" t="e">
        <f>#REF!</f>
        <v>#REF!</v>
      </c>
      <c r="N42" s="154" t="str">
        <f>波长边缘噪声!$E3</f>
        <v>不合格</v>
      </c>
      <c r="O42" s="152"/>
    </row>
    <row r="43" spans="1:15" x14ac:dyDescent="0.25">
      <c r="A43" s="157">
        <v>8003</v>
      </c>
      <c r="B43" s="153" t="str">
        <f t="shared" ca="1" si="0"/>
        <v>T600T700</v>
      </c>
      <c r="C43" s="154">
        <f>波长边缘噪声!$B4</f>
        <v>200</v>
      </c>
      <c r="D43" s="178">
        <f>波长边缘噪声!$C4</f>
        <v>0</v>
      </c>
      <c r="E43" s="152"/>
      <c r="F43" s="152"/>
      <c r="G43" s="152"/>
      <c r="H43" s="152" t="e">
        <f>#REF!</f>
        <v>#REF!</v>
      </c>
      <c r="I43" s="155">
        <f t="shared" ca="1" si="1"/>
        <v>44687.515574421297</v>
      </c>
      <c r="J43" s="152" t="e">
        <f>#REF!</f>
        <v>#REF!</v>
      </c>
      <c r="K43" s="152"/>
      <c r="L43" s="152" t="e">
        <f>#REF!</f>
        <v>#REF!</v>
      </c>
      <c r="M43" s="152" t="e">
        <f>#REF!</f>
        <v>#REF!</v>
      </c>
      <c r="N43" s="154" t="str">
        <f>波长边缘噪声!$E4</f>
        <v>不合格</v>
      </c>
      <c r="O43" s="152"/>
    </row>
    <row r="44" spans="1:15" x14ac:dyDescent="0.25">
      <c r="A44" s="26">
        <v>8004</v>
      </c>
      <c r="B44" s="153" t="str">
        <f t="shared" ca="1" si="0"/>
        <v>T600T700</v>
      </c>
      <c r="C44" s="154">
        <f>波长边缘噪声!$B5</f>
        <v>200</v>
      </c>
      <c r="D44" s="178">
        <f>波长边缘噪声!$C5</f>
        <v>0</v>
      </c>
      <c r="E44" s="152"/>
      <c r="F44" s="152"/>
      <c r="G44" s="152"/>
      <c r="H44" s="152" t="e">
        <f>#REF!</f>
        <v>#REF!</v>
      </c>
      <c r="I44" s="155">
        <f t="shared" ca="1" si="1"/>
        <v>44687.515574421297</v>
      </c>
      <c r="J44" s="152" t="e">
        <f>#REF!</f>
        <v>#REF!</v>
      </c>
      <c r="K44" s="152"/>
      <c r="L44" s="152" t="e">
        <f>#REF!</f>
        <v>#REF!</v>
      </c>
      <c r="M44" s="152" t="e">
        <f>#REF!</f>
        <v>#REF!</v>
      </c>
      <c r="N44" s="154" t="str">
        <f>波长边缘噪声!$E5</f>
        <v>不合格</v>
      </c>
      <c r="O44" s="152"/>
    </row>
    <row r="45" spans="1:15" x14ac:dyDescent="0.25">
      <c r="A45" s="26">
        <v>9001</v>
      </c>
      <c r="B45" s="153" t="str">
        <f t="shared" ca="1" si="0"/>
        <v>T600T700</v>
      </c>
      <c r="C45" s="154">
        <f>漂移检验!$B$2</f>
        <v>500</v>
      </c>
      <c r="D45" s="178">
        <f>漂移检验!$C$2</f>
        <v>0</v>
      </c>
      <c r="E45" s="152"/>
      <c r="F45" s="152"/>
      <c r="G45" s="152"/>
      <c r="H45" s="152" t="e">
        <f>#REF!</f>
        <v>#REF!</v>
      </c>
      <c r="I45" s="155">
        <f t="shared" ca="1" si="1"/>
        <v>44687.515574421297</v>
      </c>
      <c r="J45" s="152" t="e">
        <f>#REF!</f>
        <v>#REF!</v>
      </c>
      <c r="K45" s="152"/>
      <c r="L45" s="152" t="e">
        <f>#REF!</f>
        <v>#REF!</v>
      </c>
      <c r="M45" s="152" t="e">
        <f>#REF!</f>
        <v>#REF!</v>
      </c>
      <c r="N45" s="154" t="str">
        <f>漂移检验!$E$2</f>
        <v>不合格</v>
      </c>
      <c r="O45" s="152"/>
    </row>
  </sheetData>
  <phoneticPr fontId="15" type="noConversion"/>
  <pageMargins left="0.7" right="0.7" top="0.75" bottom="0.75" header="0.3" footer="0.3"/>
  <pageSetup paperSize="9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46"/>
  <sheetViews>
    <sheetView workbookViewId="0">
      <selection activeCell="K4" sqref="K4"/>
    </sheetView>
  </sheetViews>
  <sheetFormatPr defaultColWidth="9" defaultRowHeight="14.4" x14ac:dyDescent="0.25"/>
  <cols>
    <col min="1" max="1" width="9" style="111"/>
    <col min="2" max="2" width="17.21875" style="111" bestFit="1" customWidth="1"/>
    <col min="3" max="3" width="29.21875" style="111" bestFit="1" customWidth="1"/>
    <col min="4" max="4" width="12.33203125" style="111" bestFit="1" customWidth="1"/>
    <col min="5" max="5" width="22.6640625" style="114" customWidth="1"/>
    <col min="6" max="6" width="9" style="111"/>
    <col min="7" max="7" width="16.88671875" style="111" bestFit="1" customWidth="1"/>
    <col min="8" max="8" width="29.21875" style="113" bestFit="1" customWidth="1"/>
    <col min="9" max="9" width="12.33203125" style="111" bestFit="1" customWidth="1"/>
    <col min="10" max="10" width="3.77734375" style="111" bestFit="1" customWidth="1"/>
    <col min="11" max="11" width="17.21875" style="111" bestFit="1" customWidth="1"/>
    <col min="12" max="12" width="16.88671875" style="111" bestFit="1" customWidth="1"/>
    <col min="13" max="13" width="12.33203125" style="112" bestFit="1" customWidth="1"/>
    <col min="14" max="14" width="5.77734375" style="111" bestFit="1" customWidth="1"/>
    <col min="15" max="15" width="11.6640625" style="111" customWidth="1"/>
    <col min="16" max="16" width="5.77734375" style="111" bestFit="1" customWidth="1"/>
    <col min="17" max="17" width="20.33203125" style="111" customWidth="1"/>
    <col min="18" max="18" width="14.88671875" style="111" customWidth="1"/>
    <col min="19" max="20" width="13.88671875" style="111" customWidth="1"/>
    <col min="21" max="21" width="19" style="111" customWidth="1"/>
    <col min="22" max="22" width="7.5546875" style="111" customWidth="1"/>
    <col min="23" max="23" width="19.33203125" style="111" customWidth="1"/>
    <col min="24" max="25" width="13.88671875" style="111" customWidth="1"/>
    <col min="26" max="26" width="14.88671875" style="111" customWidth="1"/>
    <col min="27" max="16384" width="9" style="111"/>
  </cols>
  <sheetData>
    <row r="1" spans="1:19" x14ac:dyDescent="0.25">
      <c r="A1" s="267" t="s">
        <v>12</v>
      </c>
      <c r="B1" s="268"/>
      <c r="C1" s="268"/>
      <c r="D1" s="268"/>
      <c r="E1" s="268"/>
      <c r="F1" s="268"/>
      <c r="G1" s="268"/>
      <c r="H1" s="269"/>
      <c r="J1" s="270" t="s">
        <v>339</v>
      </c>
      <c r="K1" s="270"/>
      <c r="L1" s="270"/>
      <c r="M1" s="270"/>
      <c r="S1" s="145"/>
    </row>
    <row r="2" spans="1:19" x14ac:dyDescent="0.25">
      <c r="A2" s="146" t="s">
        <v>5</v>
      </c>
      <c r="B2" s="146" t="s">
        <v>346</v>
      </c>
      <c r="C2" s="146" t="s">
        <v>347</v>
      </c>
      <c r="D2" s="146" t="s">
        <v>348</v>
      </c>
      <c r="E2" s="146" t="s">
        <v>349</v>
      </c>
      <c r="F2" s="146" t="s">
        <v>350</v>
      </c>
      <c r="G2" s="147" t="s">
        <v>351</v>
      </c>
      <c r="H2" s="146" t="s">
        <v>196</v>
      </c>
      <c r="J2" s="116" t="s">
        <v>340</v>
      </c>
      <c r="K2" s="116" t="s">
        <v>341</v>
      </c>
      <c r="L2" s="116" t="s">
        <v>5</v>
      </c>
      <c r="M2" s="120" t="s">
        <v>342</v>
      </c>
      <c r="S2" s="145"/>
    </row>
    <row r="3" spans="1:19" x14ac:dyDescent="0.25">
      <c r="A3" s="122" t="s">
        <v>343</v>
      </c>
      <c r="B3" s="122">
        <v>1000</v>
      </c>
      <c r="C3" s="122" t="s">
        <v>120</v>
      </c>
      <c r="D3" s="122">
        <v>1001</v>
      </c>
      <c r="E3" s="123" t="s">
        <v>17</v>
      </c>
      <c r="F3" s="124" t="s">
        <v>125</v>
      </c>
      <c r="G3" s="125">
        <v>0.1</v>
      </c>
      <c r="H3" s="126">
        <v>0.1</v>
      </c>
      <c r="J3" s="117">
        <v>1</v>
      </c>
      <c r="K3" s="179" t="s">
        <v>371</v>
      </c>
      <c r="L3" s="121" t="s">
        <v>343</v>
      </c>
      <c r="M3" s="119"/>
      <c r="S3" s="145"/>
    </row>
    <row r="4" spans="1:19" x14ac:dyDescent="0.25">
      <c r="A4" s="122" t="s">
        <v>343</v>
      </c>
      <c r="B4" s="122">
        <v>1000</v>
      </c>
      <c r="C4" s="122" t="s">
        <v>120</v>
      </c>
      <c r="D4" s="122">
        <v>1002</v>
      </c>
      <c r="E4" s="123" t="s">
        <v>17</v>
      </c>
      <c r="F4" s="122">
        <v>486</v>
      </c>
      <c r="G4" s="125">
        <v>0.1</v>
      </c>
      <c r="H4" s="126">
        <v>0.1</v>
      </c>
      <c r="J4" s="117">
        <v>2</v>
      </c>
      <c r="K4" s="117" t="s">
        <v>344</v>
      </c>
      <c r="L4" s="121" t="s">
        <v>343</v>
      </c>
      <c r="M4" s="119"/>
      <c r="S4" s="145"/>
    </row>
    <row r="5" spans="1:19" x14ac:dyDescent="0.25">
      <c r="A5" s="122" t="s">
        <v>343</v>
      </c>
      <c r="B5" s="122">
        <v>1000</v>
      </c>
      <c r="C5" s="122" t="s">
        <v>120</v>
      </c>
      <c r="D5" s="122">
        <v>1003</v>
      </c>
      <c r="E5" s="123" t="s">
        <v>16</v>
      </c>
      <c r="F5" s="124" t="s">
        <v>121</v>
      </c>
      <c r="G5" s="125">
        <v>0.3</v>
      </c>
      <c r="H5" s="126">
        <v>0.1</v>
      </c>
      <c r="J5" s="143"/>
      <c r="K5" s="143"/>
      <c r="L5" s="143"/>
      <c r="M5" s="143"/>
      <c r="S5" s="144"/>
    </row>
    <row r="6" spans="1:19" x14ac:dyDescent="0.25">
      <c r="A6" s="122" t="s">
        <v>343</v>
      </c>
      <c r="B6" s="122">
        <v>1000</v>
      </c>
      <c r="C6" s="122" t="s">
        <v>120</v>
      </c>
      <c r="D6" s="122">
        <v>1004</v>
      </c>
      <c r="E6" s="123" t="s">
        <v>18</v>
      </c>
      <c r="F6" s="124" t="s">
        <v>198</v>
      </c>
      <c r="G6" s="125">
        <v>0.3</v>
      </c>
      <c r="H6" s="126">
        <v>0.1</v>
      </c>
      <c r="I6" s="142"/>
      <c r="J6" s="142"/>
      <c r="K6" s="142"/>
      <c r="M6" s="111"/>
    </row>
    <row r="7" spans="1:19" x14ac:dyDescent="0.25">
      <c r="A7" s="122" t="s">
        <v>343</v>
      </c>
      <c r="B7" s="122">
        <v>1000</v>
      </c>
      <c r="C7" s="122" t="s">
        <v>120</v>
      </c>
      <c r="D7" s="122">
        <v>1005</v>
      </c>
      <c r="E7" s="123" t="s">
        <v>18</v>
      </c>
      <c r="F7" s="124" t="s">
        <v>352</v>
      </c>
      <c r="G7" s="125">
        <v>0.3</v>
      </c>
      <c r="H7" s="126">
        <v>0.1</v>
      </c>
      <c r="I7" s="116"/>
      <c r="J7" s="115"/>
      <c r="K7" s="115"/>
      <c r="M7" s="111"/>
    </row>
    <row r="8" spans="1:19" x14ac:dyDescent="0.25">
      <c r="A8" s="122" t="s">
        <v>343</v>
      </c>
      <c r="B8" s="122">
        <v>1000</v>
      </c>
      <c r="C8" s="122" t="s">
        <v>120</v>
      </c>
      <c r="D8" s="122">
        <v>1006</v>
      </c>
      <c r="E8" s="123" t="s">
        <v>18</v>
      </c>
      <c r="F8" s="124" t="s">
        <v>199</v>
      </c>
      <c r="G8" s="125">
        <v>0.3</v>
      </c>
      <c r="H8" s="126">
        <v>0.1</v>
      </c>
      <c r="I8" s="117"/>
      <c r="J8" s="118"/>
      <c r="K8" s="118"/>
      <c r="M8" s="111"/>
    </row>
    <row r="9" spans="1:19" x14ac:dyDescent="0.25">
      <c r="A9" s="122" t="s">
        <v>343</v>
      </c>
      <c r="B9" s="122">
        <v>1000</v>
      </c>
      <c r="C9" s="122" t="s">
        <v>120</v>
      </c>
      <c r="D9" s="122">
        <v>1007</v>
      </c>
      <c r="E9" s="123" t="s">
        <v>18</v>
      </c>
      <c r="F9" s="124" t="s">
        <v>200</v>
      </c>
      <c r="G9" s="125">
        <v>0.3</v>
      </c>
      <c r="H9" s="126">
        <v>0.1</v>
      </c>
      <c r="I9" s="117"/>
      <c r="J9" s="118"/>
      <c r="K9" s="118"/>
      <c r="M9" s="111"/>
    </row>
    <row r="10" spans="1:19" x14ac:dyDescent="0.25">
      <c r="A10" s="122" t="s">
        <v>343</v>
      </c>
      <c r="B10" s="122">
        <v>1000</v>
      </c>
      <c r="C10" s="122" t="s">
        <v>120</v>
      </c>
      <c r="D10" s="122">
        <v>1008</v>
      </c>
      <c r="E10" s="123" t="s">
        <v>353</v>
      </c>
      <c r="F10" s="124" t="s">
        <v>354</v>
      </c>
      <c r="G10" s="125">
        <v>0.3</v>
      </c>
      <c r="H10" s="126">
        <v>0.1</v>
      </c>
      <c r="I10" s="117"/>
      <c r="J10" s="118"/>
      <c r="K10" s="118"/>
      <c r="M10" s="111"/>
    </row>
    <row r="11" spans="1:19" x14ac:dyDescent="0.25">
      <c r="A11" s="122" t="s">
        <v>343</v>
      </c>
      <c r="B11" s="122">
        <v>1000</v>
      </c>
      <c r="C11" s="122" t="s">
        <v>120</v>
      </c>
      <c r="D11" s="122">
        <v>1009</v>
      </c>
      <c r="E11" s="123" t="s">
        <v>353</v>
      </c>
      <c r="F11" s="124" t="s">
        <v>355</v>
      </c>
      <c r="G11" s="125">
        <v>0.3</v>
      </c>
      <c r="H11" s="126">
        <v>0.1</v>
      </c>
      <c r="I11" s="119"/>
      <c r="J11" s="118"/>
      <c r="K11" s="118"/>
      <c r="M11" s="111"/>
    </row>
    <row r="12" spans="1:19" x14ac:dyDescent="0.25">
      <c r="A12" s="122" t="s">
        <v>343</v>
      </c>
      <c r="B12" s="122">
        <v>1000</v>
      </c>
      <c r="C12" s="122" t="s">
        <v>120</v>
      </c>
      <c r="D12" s="122">
        <v>1010</v>
      </c>
      <c r="E12" s="123" t="s">
        <v>353</v>
      </c>
      <c r="F12" s="124" t="s">
        <v>356</v>
      </c>
      <c r="G12" s="125">
        <v>0.3</v>
      </c>
      <c r="H12" s="126">
        <v>0.1</v>
      </c>
      <c r="I12" s="119"/>
      <c r="J12" s="118"/>
      <c r="K12" s="118"/>
      <c r="M12" s="111"/>
    </row>
    <row r="13" spans="1:19" x14ac:dyDescent="0.25">
      <c r="A13" s="122" t="s">
        <v>343</v>
      </c>
      <c r="B13" s="122">
        <v>1000</v>
      </c>
      <c r="C13" s="122" t="s">
        <v>120</v>
      </c>
      <c r="D13" s="122">
        <v>1011</v>
      </c>
      <c r="E13" s="123" t="s">
        <v>353</v>
      </c>
      <c r="F13" s="124" t="s">
        <v>357</v>
      </c>
      <c r="G13" s="125">
        <v>0.3</v>
      </c>
      <c r="H13" s="126">
        <v>0.1</v>
      </c>
      <c r="I13" s="119"/>
      <c r="J13" s="118"/>
      <c r="K13" s="118"/>
      <c r="M13" s="111"/>
    </row>
    <row r="14" spans="1:19" x14ac:dyDescent="0.25">
      <c r="A14" s="122" t="s">
        <v>343</v>
      </c>
      <c r="B14" s="122">
        <v>1000</v>
      </c>
      <c r="C14" s="122" t="s">
        <v>120</v>
      </c>
      <c r="D14" s="122">
        <v>1012</v>
      </c>
      <c r="E14" s="123" t="s">
        <v>353</v>
      </c>
      <c r="F14" s="124" t="s">
        <v>358</v>
      </c>
      <c r="G14" s="125">
        <v>0.3</v>
      </c>
      <c r="H14" s="126">
        <v>0.1</v>
      </c>
      <c r="I14" s="119"/>
      <c r="J14" s="118"/>
      <c r="K14" s="118"/>
      <c r="M14" s="111"/>
    </row>
    <row r="15" spans="1:19" x14ac:dyDescent="0.25">
      <c r="A15" s="122" t="s">
        <v>343</v>
      </c>
      <c r="B15" s="122">
        <v>1000</v>
      </c>
      <c r="C15" s="122" t="s">
        <v>120</v>
      </c>
      <c r="D15" s="122">
        <v>1013</v>
      </c>
      <c r="E15" s="123" t="s">
        <v>353</v>
      </c>
      <c r="F15" s="124" t="s">
        <v>359</v>
      </c>
      <c r="G15" s="125">
        <v>0.3</v>
      </c>
      <c r="H15" s="126">
        <v>0.1</v>
      </c>
      <c r="I15" s="119"/>
      <c r="J15" s="118"/>
      <c r="K15" s="118"/>
      <c r="M15" s="111"/>
    </row>
    <row r="16" spans="1:19" ht="14.4" customHeight="1" x14ac:dyDescent="0.25">
      <c r="A16" s="122" t="s">
        <v>343</v>
      </c>
      <c r="B16" s="122">
        <v>2000</v>
      </c>
      <c r="C16" s="122" t="s">
        <v>126</v>
      </c>
      <c r="D16" s="122">
        <v>2001</v>
      </c>
      <c r="E16" s="123" t="s">
        <v>360</v>
      </c>
      <c r="F16" s="127" t="s">
        <v>206</v>
      </c>
      <c r="G16" s="128">
        <v>0.3</v>
      </c>
      <c r="H16" s="128">
        <v>0.1</v>
      </c>
      <c r="I16" s="119"/>
      <c r="J16" s="118"/>
      <c r="K16" s="117"/>
      <c r="M16" s="111"/>
    </row>
    <row r="17" spans="1:13" ht="29.4" x14ac:dyDescent="0.25">
      <c r="A17" s="122" t="s">
        <v>343</v>
      </c>
      <c r="B17" s="122">
        <v>2000</v>
      </c>
      <c r="C17" s="122" t="s">
        <v>126</v>
      </c>
      <c r="D17" s="122">
        <v>2002</v>
      </c>
      <c r="E17" s="123" t="s">
        <v>360</v>
      </c>
      <c r="F17" s="127" t="s">
        <v>207</v>
      </c>
      <c r="G17" s="128">
        <v>0.3</v>
      </c>
      <c r="H17" s="128">
        <v>0.1</v>
      </c>
      <c r="I17" s="119"/>
      <c r="J17" s="118"/>
      <c r="K17" s="117"/>
      <c r="M17" s="111"/>
    </row>
    <row r="18" spans="1:13" ht="29.4" x14ac:dyDescent="0.25">
      <c r="A18" s="122" t="s">
        <v>343</v>
      </c>
      <c r="B18" s="122">
        <v>2000</v>
      </c>
      <c r="C18" s="122" t="s">
        <v>126</v>
      </c>
      <c r="D18" s="122">
        <v>2003</v>
      </c>
      <c r="E18" s="123" t="s">
        <v>360</v>
      </c>
      <c r="F18" s="127" t="s">
        <v>208</v>
      </c>
      <c r="G18" s="128">
        <v>0.3</v>
      </c>
      <c r="H18" s="128">
        <v>0.1</v>
      </c>
      <c r="I18" s="119"/>
      <c r="J18" s="118"/>
      <c r="K18" s="117"/>
      <c r="M18" s="111"/>
    </row>
    <row r="19" spans="1:13" ht="29.4" x14ac:dyDescent="0.25">
      <c r="A19" s="122" t="s">
        <v>343</v>
      </c>
      <c r="B19" s="122">
        <v>2000</v>
      </c>
      <c r="C19" s="122" t="s">
        <v>126</v>
      </c>
      <c r="D19" s="122">
        <v>2004</v>
      </c>
      <c r="E19" s="123" t="s">
        <v>360</v>
      </c>
      <c r="F19" s="127" t="s">
        <v>209</v>
      </c>
      <c r="G19" s="128">
        <v>0.3</v>
      </c>
      <c r="H19" s="128">
        <v>0.1</v>
      </c>
      <c r="I19" s="119"/>
      <c r="J19" s="118"/>
      <c r="K19" s="117"/>
      <c r="M19" s="111"/>
    </row>
    <row r="20" spans="1:13" x14ac:dyDescent="0.25">
      <c r="A20" s="122" t="s">
        <v>343</v>
      </c>
      <c r="B20" s="122">
        <v>2000</v>
      </c>
      <c r="C20" s="122" t="s">
        <v>126</v>
      </c>
      <c r="D20" s="122">
        <v>2005</v>
      </c>
      <c r="E20" s="127" t="s">
        <v>361</v>
      </c>
      <c r="F20" s="127" t="s">
        <v>203</v>
      </c>
      <c r="G20" s="128">
        <v>0.3</v>
      </c>
      <c r="H20" s="128">
        <v>0.1</v>
      </c>
      <c r="M20" s="111"/>
    </row>
    <row r="21" spans="1:13" x14ac:dyDescent="0.25">
      <c r="A21" s="122" t="s">
        <v>343</v>
      </c>
      <c r="B21" s="122">
        <v>2000</v>
      </c>
      <c r="C21" s="122" t="s">
        <v>126</v>
      </c>
      <c r="D21" s="122">
        <v>2006</v>
      </c>
      <c r="E21" s="127" t="s">
        <v>361</v>
      </c>
      <c r="F21" s="127" t="s">
        <v>204</v>
      </c>
      <c r="G21" s="128">
        <v>0.3</v>
      </c>
      <c r="H21" s="128">
        <v>0.1</v>
      </c>
      <c r="M21" s="111"/>
    </row>
    <row r="22" spans="1:13" x14ac:dyDescent="0.25">
      <c r="A22" s="122" t="s">
        <v>343</v>
      </c>
      <c r="B22" s="122">
        <v>2000</v>
      </c>
      <c r="C22" s="122" t="s">
        <v>126</v>
      </c>
      <c r="D22" s="122">
        <v>2007</v>
      </c>
      <c r="E22" s="127" t="s">
        <v>361</v>
      </c>
      <c r="F22" s="127" t="s">
        <v>205</v>
      </c>
      <c r="G22" s="128">
        <v>0.3</v>
      </c>
      <c r="H22" s="128">
        <v>0.1</v>
      </c>
      <c r="M22" s="111"/>
    </row>
    <row r="23" spans="1:13" x14ac:dyDescent="0.25">
      <c r="A23" s="122" t="s">
        <v>343</v>
      </c>
      <c r="B23" s="122">
        <v>2000</v>
      </c>
      <c r="C23" s="122" t="s">
        <v>126</v>
      </c>
      <c r="D23" s="122">
        <v>2008</v>
      </c>
      <c r="E23" s="127" t="s">
        <v>362</v>
      </c>
      <c r="F23" s="127" t="s">
        <v>203</v>
      </c>
      <c r="G23" s="128">
        <v>0.3</v>
      </c>
      <c r="H23" s="128">
        <v>0.1</v>
      </c>
      <c r="M23" s="111"/>
    </row>
    <row r="24" spans="1:13" x14ac:dyDescent="0.25">
      <c r="A24" s="122" t="s">
        <v>343</v>
      </c>
      <c r="B24" s="122">
        <v>2000</v>
      </c>
      <c r="C24" s="122" t="s">
        <v>126</v>
      </c>
      <c r="D24" s="122">
        <v>2009</v>
      </c>
      <c r="E24" s="127" t="s">
        <v>362</v>
      </c>
      <c r="F24" s="127" t="s">
        <v>204</v>
      </c>
      <c r="G24" s="128">
        <v>0.3</v>
      </c>
      <c r="H24" s="128">
        <v>0.1</v>
      </c>
      <c r="M24" s="111"/>
    </row>
    <row r="25" spans="1:13" x14ac:dyDescent="0.25">
      <c r="A25" s="122" t="s">
        <v>343</v>
      </c>
      <c r="B25" s="122">
        <v>2000</v>
      </c>
      <c r="C25" s="122" t="s">
        <v>126</v>
      </c>
      <c r="D25" s="122">
        <v>2010</v>
      </c>
      <c r="E25" s="127" t="s">
        <v>362</v>
      </c>
      <c r="F25" s="127" t="s">
        <v>205</v>
      </c>
      <c r="G25" s="128">
        <v>0.3</v>
      </c>
      <c r="H25" s="128">
        <v>0.1</v>
      </c>
      <c r="M25" s="111"/>
    </row>
    <row r="26" spans="1:13" x14ac:dyDescent="0.25">
      <c r="A26" s="122" t="s">
        <v>343</v>
      </c>
      <c r="B26" s="122">
        <v>2000</v>
      </c>
      <c r="C26" s="122" t="s">
        <v>126</v>
      </c>
      <c r="D26" s="122">
        <v>2011</v>
      </c>
      <c r="E26" s="127" t="s">
        <v>363</v>
      </c>
      <c r="F26" s="127" t="s">
        <v>203</v>
      </c>
      <c r="G26" s="128">
        <v>0.3</v>
      </c>
      <c r="H26" s="128">
        <v>0.1</v>
      </c>
      <c r="M26" s="111"/>
    </row>
    <row r="27" spans="1:13" x14ac:dyDescent="0.25">
      <c r="A27" s="122" t="s">
        <v>343</v>
      </c>
      <c r="B27" s="122">
        <v>2000</v>
      </c>
      <c r="C27" s="122" t="s">
        <v>126</v>
      </c>
      <c r="D27" s="122">
        <v>2012</v>
      </c>
      <c r="E27" s="127" t="s">
        <v>363</v>
      </c>
      <c r="F27" s="127" t="s">
        <v>204</v>
      </c>
      <c r="G27" s="128">
        <v>0.3</v>
      </c>
      <c r="H27" s="128">
        <v>0.1</v>
      </c>
      <c r="M27" s="111"/>
    </row>
    <row r="28" spans="1:13" x14ac:dyDescent="0.25">
      <c r="A28" s="122" t="s">
        <v>343</v>
      </c>
      <c r="B28" s="122">
        <v>2000</v>
      </c>
      <c r="C28" s="122" t="s">
        <v>126</v>
      </c>
      <c r="D28" s="122">
        <v>2013</v>
      </c>
      <c r="E28" s="127" t="s">
        <v>363</v>
      </c>
      <c r="F28" s="127" t="s">
        <v>205</v>
      </c>
      <c r="G28" s="128">
        <v>0.3</v>
      </c>
      <c r="H28" s="128">
        <v>0.1</v>
      </c>
      <c r="M28" s="111"/>
    </row>
    <row r="29" spans="1:13" x14ac:dyDescent="0.25">
      <c r="A29" s="122" t="s">
        <v>343</v>
      </c>
      <c r="B29" s="122">
        <v>3000</v>
      </c>
      <c r="C29" s="122" t="s">
        <v>131</v>
      </c>
      <c r="D29" s="122">
        <v>3001</v>
      </c>
      <c r="E29" s="129" t="s">
        <v>26</v>
      </c>
      <c r="F29" s="130" t="s">
        <v>25</v>
      </c>
      <c r="G29" s="131">
        <v>0.01</v>
      </c>
      <c r="H29" s="122"/>
      <c r="M29" s="111"/>
    </row>
    <row r="30" spans="1:13" x14ac:dyDescent="0.25">
      <c r="A30" s="122" t="s">
        <v>343</v>
      </c>
      <c r="B30" s="122">
        <v>3000</v>
      </c>
      <c r="C30" s="122" t="s">
        <v>131</v>
      </c>
      <c r="D30" s="122">
        <v>3002</v>
      </c>
      <c r="E30" s="129" t="s">
        <v>28</v>
      </c>
      <c r="F30" s="130" t="s">
        <v>27</v>
      </c>
      <c r="G30" s="131">
        <v>0.02</v>
      </c>
      <c r="H30" s="122"/>
      <c r="M30" s="111"/>
    </row>
    <row r="31" spans="1:13" x14ac:dyDescent="0.25">
      <c r="A31" s="122" t="s">
        <v>343</v>
      </c>
      <c r="B31" s="122">
        <v>4000</v>
      </c>
      <c r="C31" s="122" t="s">
        <v>136</v>
      </c>
      <c r="D31" s="122">
        <v>4001</v>
      </c>
      <c r="E31" s="129" t="s">
        <v>29</v>
      </c>
      <c r="F31" s="122"/>
      <c r="G31" s="132">
        <v>5.0000000000000001E-4</v>
      </c>
      <c r="H31" s="122"/>
      <c r="M31" s="111"/>
    </row>
    <row r="32" spans="1:13" x14ac:dyDescent="0.25">
      <c r="A32" s="122" t="s">
        <v>343</v>
      </c>
      <c r="B32" s="122">
        <v>5000</v>
      </c>
      <c r="C32" s="122" t="s">
        <v>138</v>
      </c>
      <c r="D32" s="122">
        <v>5001</v>
      </c>
      <c r="E32" s="129" t="s">
        <v>31</v>
      </c>
      <c r="F32" s="122"/>
      <c r="G32" s="133">
        <v>0.1</v>
      </c>
      <c r="H32" s="122"/>
      <c r="M32" s="111"/>
    </row>
    <row r="33" spans="1:13" x14ac:dyDescent="0.25">
      <c r="A33" s="122" t="s">
        <v>343</v>
      </c>
      <c r="B33" s="122">
        <v>6000</v>
      </c>
      <c r="C33" s="122" t="s">
        <v>139</v>
      </c>
      <c r="D33" s="122">
        <v>6001</v>
      </c>
      <c r="E33" s="129" t="s">
        <v>140</v>
      </c>
      <c r="F33" s="129">
        <v>656.1</v>
      </c>
      <c r="G33" s="134">
        <v>20</v>
      </c>
      <c r="H33" s="122"/>
      <c r="M33" s="111"/>
    </row>
    <row r="34" spans="1:13" x14ac:dyDescent="0.25">
      <c r="A34" s="122" t="s">
        <v>343</v>
      </c>
      <c r="B34" s="122">
        <v>6000</v>
      </c>
      <c r="C34" s="122" t="s">
        <v>139</v>
      </c>
      <c r="D34" s="122">
        <v>6002</v>
      </c>
      <c r="E34" s="129" t="s">
        <v>142</v>
      </c>
      <c r="F34" s="129">
        <v>656.1</v>
      </c>
      <c r="G34" s="134">
        <v>20</v>
      </c>
      <c r="H34" s="122"/>
      <c r="M34" s="111"/>
    </row>
    <row r="35" spans="1:13" x14ac:dyDescent="0.25">
      <c r="A35" s="122" t="s">
        <v>343</v>
      </c>
      <c r="B35" s="122">
        <v>6000</v>
      </c>
      <c r="C35" s="122" t="s">
        <v>139</v>
      </c>
      <c r="D35" s="122">
        <v>6003</v>
      </c>
      <c r="E35" s="129" t="s">
        <v>143</v>
      </c>
      <c r="F35" s="129">
        <v>656.1</v>
      </c>
      <c r="G35" s="134">
        <v>20</v>
      </c>
      <c r="H35" s="122"/>
      <c r="M35" s="111"/>
    </row>
    <row r="36" spans="1:13" x14ac:dyDescent="0.25">
      <c r="A36" s="122" t="s">
        <v>343</v>
      </c>
      <c r="B36" s="122">
        <v>6000</v>
      </c>
      <c r="C36" s="122" t="s">
        <v>139</v>
      </c>
      <c r="D36" s="122">
        <v>6004</v>
      </c>
      <c r="E36" s="129" t="s">
        <v>144</v>
      </c>
      <c r="F36" s="129">
        <v>656.1</v>
      </c>
      <c r="G36" s="134">
        <v>20</v>
      </c>
      <c r="H36" s="122"/>
      <c r="M36" s="111"/>
    </row>
    <row r="37" spans="1:13" x14ac:dyDescent="0.25">
      <c r="A37" s="122" t="s">
        <v>343</v>
      </c>
      <c r="B37" s="122">
        <v>6000</v>
      </c>
      <c r="C37" s="122" t="s">
        <v>139</v>
      </c>
      <c r="D37" s="122">
        <v>6005</v>
      </c>
      <c r="E37" s="129" t="s">
        <v>145</v>
      </c>
      <c r="F37" s="129">
        <v>656.1</v>
      </c>
      <c r="G37" s="134">
        <v>20</v>
      </c>
      <c r="H37" s="122"/>
      <c r="M37" s="111"/>
    </row>
    <row r="38" spans="1:13" x14ac:dyDescent="0.25">
      <c r="A38" s="122" t="s">
        <v>343</v>
      </c>
      <c r="B38" s="122">
        <v>7000</v>
      </c>
      <c r="C38" s="122" t="s">
        <v>146</v>
      </c>
      <c r="D38" s="122">
        <v>7001</v>
      </c>
      <c r="E38" s="128" t="s">
        <v>147</v>
      </c>
      <c r="F38" s="135">
        <v>500</v>
      </c>
      <c r="G38" s="136">
        <v>0.05</v>
      </c>
      <c r="H38" s="122"/>
      <c r="M38" s="111"/>
    </row>
    <row r="39" spans="1:13" x14ac:dyDescent="0.25">
      <c r="A39" s="122" t="s">
        <v>343</v>
      </c>
      <c r="B39" s="122">
        <v>7000</v>
      </c>
      <c r="C39" s="122" t="s">
        <v>146</v>
      </c>
      <c r="D39" s="122">
        <v>7002</v>
      </c>
      <c r="E39" s="128" t="s">
        <v>148</v>
      </c>
      <c r="F39" s="135">
        <v>500</v>
      </c>
      <c r="G39" s="137">
        <v>5.0000000000000001E-3</v>
      </c>
      <c r="H39" s="122"/>
      <c r="M39" s="111"/>
    </row>
    <row r="40" spans="1:13" x14ac:dyDescent="0.25">
      <c r="A40" s="122" t="s">
        <v>343</v>
      </c>
      <c r="B40" s="122">
        <v>7000</v>
      </c>
      <c r="C40" s="122" t="s">
        <v>146</v>
      </c>
      <c r="D40" s="122">
        <v>7003</v>
      </c>
      <c r="E40" s="128" t="s">
        <v>149</v>
      </c>
      <c r="F40" s="135">
        <v>250</v>
      </c>
      <c r="G40" s="136">
        <v>0.05</v>
      </c>
      <c r="H40" s="122"/>
      <c r="M40" s="111"/>
    </row>
    <row r="41" spans="1:13" x14ac:dyDescent="0.25">
      <c r="A41" s="122" t="s">
        <v>343</v>
      </c>
      <c r="B41" s="122">
        <v>7000</v>
      </c>
      <c r="C41" s="122" t="s">
        <v>146</v>
      </c>
      <c r="D41" s="122">
        <v>7004</v>
      </c>
      <c r="E41" s="128" t="s">
        <v>150</v>
      </c>
      <c r="F41" s="135">
        <v>250</v>
      </c>
      <c r="G41" s="137">
        <v>5.0000000000000001E-3</v>
      </c>
      <c r="H41" s="122"/>
      <c r="M41" s="111"/>
    </row>
    <row r="42" spans="1:13" x14ac:dyDescent="0.25">
      <c r="A42" s="122" t="s">
        <v>343</v>
      </c>
      <c r="B42" s="122">
        <v>8000</v>
      </c>
      <c r="C42" s="122" t="s">
        <v>151</v>
      </c>
      <c r="D42" s="122">
        <v>8001</v>
      </c>
      <c r="E42" s="128" t="s">
        <v>152</v>
      </c>
      <c r="F42" s="135">
        <v>1090</v>
      </c>
      <c r="G42" s="138">
        <v>0.1</v>
      </c>
      <c r="H42" s="122"/>
      <c r="M42" s="111"/>
    </row>
    <row r="43" spans="1:13" x14ac:dyDescent="0.25">
      <c r="A43" s="122" t="s">
        <v>343</v>
      </c>
      <c r="B43" s="122">
        <v>8000</v>
      </c>
      <c r="C43" s="122" t="s">
        <v>151</v>
      </c>
      <c r="D43" s="122">
        <v>8002</v>
      </c>
      <c r="E43" s="128" t="s">
        <v>153</v>
      </c>
      <c r="F43" s="135">
        <v>1090</v>
      </c>
      <c r="G43" s="136">
        <v>0.02</v>
      </c>
      <c r="H43" s="122"/>
      <c r="M43" s="111"/>
    </row>
    <row r="44" spans="1:13" x14ac:dyDescent="0.25">
      <c r="A44" s="122" t="s">
        <v>343</v>
      </c>
      <c r="B44" s="122">
        <v>8000</v>
      </c>
      <c r="C44" s="122" t="s">
        <v>151</v>
      </c>
      <c r="D44" s="122">
        <v>8003</v>
      </c>
      <c r="E44" s="128" t="s">
        <v>154</v>
      </c>
      <c r="F44" s="135">
        <v>200</v>
      </c>
      <c r="G44" s="138">
        <v>0.1</v>
      </c>
      <c r="H44" s="122"/>
      <c r="M44" s="111"/>
    </row>
    <row r="45" spans="1:13" x14ac:dyDescent="0.25">
      <c r="A45" s="122" t="s">
        <v>343</v>
      </c>
      <c r="B45" s="139">
        <v>8000</v>
      </c>
      <c r="C45" s="139" t="s">
        <v>151</v>
      </c>
      <c r="D45" s="139">
        <v>8004</v>
      </c>
      <c r="E45" s="140" t="s">
        <v>155</v>
      </c>
      <c r="F45" s="135">
        <v>200</v>
      </c>
      <c r="G45" s="136">
        <v>0.02</v>
      </c>
      <c r="H45" s="139"/>
      <c r="M45" s="111"/>
    </row>
    <row r="46" spans="1:13" x14ac:dyDescent="0.25">
      <c r="A46" s="122" t="s">
        <v>343</v>
      </c>
      <c r="B46" s="139">
        <v>9000</v>
      </c>
      <c r="C46" s="139" t="s">
        <v>156</v>
      </c>
      <c r="D46" s="139">
        <v>9001</v>
      </c>
      <c r="E46" s="129" t="s">
        <v>156</v>
      </c>
      <c r="F46" s="140" t="s">
        <v>212</v>
      </c>
      <c r="G46" s="141">
        <v>0.1</v>
      </c>
      <c r="H46" s="139"/>
      <c r="M46" s="111"/>
    </row>
  </sheetData>
  <mergeCells count="2">
    <mergeCell ref="A1:H1"/>
    <mergeCell ref="J1:M1"/>
  </mergeCells>
  <phoneticPr fontId="15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1"/>
  <sheetViews>
    <sheetView workbookViewId="0">
      <selection activeCell="L27" sqref="L27"/>
    </sheetView>
  </sheetViews>
  <sheetFormatPr defaultRowHeight="14.4" x14ac:dyDescent="0.25"/>
  <cols>
    <col min="1" max="1" width="10.109375" style="24" customWidth="1"/>
    <col min="2" max="2" width="12.5546875" style="24" customWidth="1"/>
    <col min="4" max="4" width="29.21875" bestFit="1" customWidth="1"/>
    <col min="5" max="5" width="12.33203125" bestFit="1" customWidth="1"/>
    <col min="6" max="6" width="9" customWidth="1"/>
  </cols>
  <sheetData>
    <row r="1" spans="1:5" x14ac:dyDescent="0.25">
      <c r="A1" s="105" t="s">
        <v>280</v>
      </c>
      <c r="B1" s="105" t="s">
        <v>279</v>
      </c>
      <c r="D1" s="7" t="s">
        <v>365</v>
      </c>
      <c r="E1" s="7" t="s">
        <v>366</v>
      </c>
    </row>
    <row r="2" spans="1:5" x14ac:dyDescent="0.25">
      <c r="A2" s="38" t="s">
        <v>281</v>
      </c>
      <c r="B2" s="38" t="s">
        <v>289</v>
      </c>
      <c r="D2" s="122" t="s">
        <v>120</v>
      </c>
      <c r="E2" s="122">
        <v>1000</v>
      </c>
    </row>
    <row r="3" spans="1:5" x14ac:dyDescent="0.25">
      <c r="A3" s="38" t="s">
        <v>282</v>
      </c>
      <c r="B3" s="38" t="s">
        <v>290</v>
      </c>
      <c r="D3" s="122" t="s">
        <v>126</v>
      </c>
      <c r="E3" s="122">
        <v>2000</v>
      </c>
    </row>
    <row r="4" spans="1:5" x14ac:dyDescent="0.25">
      <c r="A4" s="38" t="s">
        <v>283</v>
      </c>
      <c r="B4" s="38" t="s">
        <v>291</v>
      </c>
      <c r="D4" s="122" t="s">
        <v>131</v>
      </c>
      <c r="E4" s="122">
        <v>3000</v>
      </c>
    </row>
    <row r="5" spans="1:5" x14ac:dyDescent="0.25">
      <c r="A5" s="38" t="s">
        <v>284</v>
      </c>
      <c r="B5" s="38" t="s">
        <v>292</v>
      </c>
      <c r="D5" s="122" t="s">
        <v>136</v>
      </c>
      <c r="E5" s="122">
        <v>4000</v>
      </c>
    </row>
    <row r="6" spans="1:5" x14ac:dyDescent="0.25">
      <c r="A6" s="38" t="s">
        <v>285</v>
      </c>
      <c r="B6" s="38" t="s">
        <v>293</v>
      </c>
      <c r="D6" s="122" t="s">
        <v>138</v>
      </c>
      <c r="E6" s="122">
        <v>5000</v>
      </c>
    </row>
    <row r="7" spans="1:5" x14ac:dyDescent="0.25">
      <c r="A7" s="38" t="s">
        <v>286</v>
      </c>
      <c r="B7" s="38" t="s">
        <v>294</v>
      </c>
      <c r="D7" s="122" t="s">
        <v>139</v>
      </c>
      <c r="E7" s="122">
        <v>6000</v>
      </c>
    </row>
    <row r="8" spans="1:5" x14ac:dyDescent="0.25">
      <c r="A8" s="38" t="s">
        <v>287</v>
      </c>
      <c r="B8" s="38" t="s">
        <v>295</v>
      </c>
      <c r="D8" s="122" t="s">
        <v>146</v>
      </c>
      <c r="E8" s="122">
        <v>7000</v>
      </c>
    </row>
    <row r="9" spans="1:5" x14ac:dyDescent="0.25">
      <c r="A9" s="106" t="s">
        <v>288</v>
      </c>
      <c r="B9" s="106" t="s">
        <v>296</v>
      </c>
      <c r="D9" s="139" t="s">
        <v>151</v>
      </c>
      <c r="E9" s="139">
        <v>8000</v>
      </c>
    </row>
    <row r="10" spans="1:5" x14ac:dyDescent="0.25">
      <c r="A10" s="26"/>
      <c r="B10" s="26"/>
      <c r="D10" s="139" t="s">
        <v>156</v>
      </c>
      <c r="E10" s="139">
        <v>9000</v>
      </c>
    </row>
    <row r="11" spans="1:5" x14ac:dyDescent="0.25">
      <c r="A11" s="26"/>
      <c r="B11" s="26"/>
    </row>
  </sheetData>
  <phoneticPr fontId="15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A35"/>
  <sheetViews>
    <sheetView zoomScale="70" zoomScaleNormal="70" workbookViewId="0">
      <selection activeCell="C8" sqref="C8"/>
    </sheetView>
  </sheetViews>
  <sheetFormatPr defaultColWidth="8.88671875" defaultRowHeight="14.4" x14ac:dyDescent="0.25"/>
  <cols>
    <col min="1" max="1" width="29.21875" style="163" customWidth="1"/>
    <col min="2" max="2" width="18.33203125" style="15" customWidth="1"/>
    <col min="3" max="3" width="21.5546875" style="15" customWidth="1"/>
    <col min="4" max="4" width="40" style="15" customWidth="1"/>
    <col min="5" max="5" width="46.5546875" style="177" customWidth="1"/>
    <col min="6" max="6" width="8.88671875" style="15"/>
    <col min="7" max="7" width="10.44140625" style="15" customWidth="1"/>
    <col min="8" max="8" width="20.109375" style="177" customWidth="1"/>
    <col min="9" max="9" width="79.44140625" style="15" hidden="1" customWidth="1"/>
    <col min="10" max="10" width="15.33203125" style="15" customWidth="1"/>
    <col min="11" max="11" width="11.44140625" style="15" customWidth="1"/>
    <col min="12" max="12" width="9.6640625" style="15" customWidth="1"/>
    <col min="13" max="13" width="8.5546875" style="15" customWidth="1"/>
    <col min="14" max="14" width="9.88671875" style="15" customWidth="1"/>
    <col min="15" max="15" width="10" style="15" customWidth="1"/>
    <col min="16" max="16" width="9.6640625" style="15" customWidth="1"/>
    <col min="17" max="17" width="8.5546875" style="15" customWidth="1"/>
    <col min="18" max="18" width="9.109375" style="177" customWidth="1"/>
    <col min="19" max="19" width="9.5546875" style="15" customWidth="1"/>
    <col min="20" max="21" width="9.6640625" style="15" customWidth="1"/>
    <col min="22" max="22" width="18" style="15" customWidth="1"/>
    <col min="23" max="23" width="12.33203125" style="15" customWidth="1"/>
    <col min="24" max="24" width="18.5546875" style="15" customWidth="1"/>
    <col min="25" max="25" width="19.33203125" style="15" customWidth="1"/>
    <col min="26" max="26" width="15.109375" style="18" hidden="1" customWidth="1"/>
    <col min="27" max="27" width="11.6640625" style="18" bestFit="1" customWidth="1"/>
    <col min="28" max="16384" width="8.88671875" style="15"/>
  </cols>
  <sheetData>
    <row r="1" spans="1:27" s="14" customFormat="1" ht="40.799999999999997" x14ac:dyDescent="0.3">
      <c r="A1" s="16" t="s">
        <v>105</v>
      </c>
      <c r="B1" s="16" t="s">
        <v>106</v>
      </c>
      <c r="C1" s="16" t="s">
        <v>367</v>
      </c>
      <c r="D1" s="16" t="s">
        <v>107</v>
      </c>
      <c r="E1" s="174" t="s">
        <v>108</v>
      </c>
      <c r="F1" s="16" t="s">
        <v>73</v>
      </c>
      <c r="G1" s="16" t="s">
        <v>109</v>
      </c>
      <c r="H1" s="174" t="s">
        <v>66</v>
      </c>
      <c r="I1" s="19" t="s">
        <v>110</v>
      </c>
      <c r="J1" s="16" t="s">
        <v>110</v>
      </c>
      <c r="K1" s="20" t="s">
        <v>235</v>
      </c>
      <c r="L1" s="20" t="s">
        <v>111</v>
      </c>
      <c r="M1" s="20" t="s">
        <v>71</v>
      </c>
      <c r="N1" s="20" t="s">
        <v>112</v>
      </c>
      <c r="O1" s="20" t="s">
        <v>113</v>
      </c>
      <c r="P1" s="20" t="s">
        <v>114</v>
      </c>
      <c r="Q1" s="20" t="s">
        <v>76</v>
      </c>
      <c r="R1" s="185" t="s">
        <v>33</v>
      </c>
      <c r="S1" s="20" t="s">
        <v>115</v>
      </c>
      <c r="T1" s="20" t="s">
        <v>116</v>
      </c>
      <c r="U1" s="20" t="s">
        <v>380</v>
      </c>
      <c r="V1" s="16" t="s">
        <v>68</v>
      </c>
      <c r="W1" s="16" t="s">
        <v>117</v>
      </c>
      <c r="X1" s="16" t="s">
        <v>118</v>
      </c>
      <c r="Y1" s="164" t="s">
        <v>119</v>
      </c>
      <c r="Z1" s="16" t="s">
        <v>366</v>
      </c>
      <c r="AA1" s="16" t="s">
        <v>368</v>
      </c>
    </row>
    <row r="2" spans="1:27" ht="44.4" customHeight="1" x14ac:dyDescent="0.25">
      <c r="A2" s="149" t="s">
        <v>120</v>
      </c>
      <c r="B2" s="29" t="s">
        <v>253</v>
      </c>
      <c r="D2" s="45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PhotoMode=2;ScanSpeed=2;WlRange=660,650,0.1;Gain=4;Slit1=2.0;LampPos=1</v>
      </c>
      <c r="E2" s="175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空气:Scan</v>
      </c>
      <c r="F2" s="45">
        <v>3</v>
      </c>
      <c r="G2" s="45">
        <v>1</v>
      </c>
      <c r="H2" s="175" t="s">
        <v>125</v>
      </c>
      <c r="I2" s="45" t="str">
        <f>VLOOKUP(J2,字段对应!$D$2:$E$8,2,0)</f>
        <v>Validation.ViewModel.DataStructure.FindPeakAndAverageUVTestTool</v>
      </c>
      <c r="J2" s="45" t="s">
        <v>122</v>
      </c>
      <c r="K2" s="21" t="s">
        <v>17</v>
      </c>
      <c r="L2" s="21" t="s">
        <v>87</v>
      </c>
      <c r="M2" s="21" t="s">
        <v>88</v>
      </c>
      <c r="N2" s="21">
        <v>660</v>
      </c>
      <c r="O2" s="21">
        <v>650</v>
      </c>
      <c r="P2" s="21">
        <v>0.1</v>
      </c>
      <c r="Q2" s="21">
        <v>4</v>
      </c>
      <c r="R2" s="186" t="s">
        <v>376</v>
      </c>
      <c r="S2" s="21"/>
      <c r="T2" s="21"/>
      <c r="U2" s="21"/>
      <c r="V2" s="45" t="s">
        <v>77</v>
      </c>
      <c r="W2" s="45"/>
      <c r="X2" s="45"/>
      <c r="Y2" s="150" t="s">
        <v>124</v>
      </c>
      <c r="Z2" s="18">
        <f>VLOOKUP(A2,对应信息!$D$2:$E$10,2,0)</f>
        <v>1000</v>
      </c>
      <c r="AA2" s="18">
        <v>1001</v>
      </c>
    </row>
    <row r="3" spans="1:27" ht="44.4" customHeight="1" x14ac:dyDescent="0.25">
      <c r="A3" s="149" t="s">
        <v>120</v>
      </c>
      <c r="B3" s="29" t="s">
        <v>254</v>
      </c>
      <c r="D3" s="45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PhotoMode=2;ScanSpeed=2;WlRange=490,480,0.1;Gain=4;Slit1=2.0;LampPos=1</v>
      </c>
      <c r="E3" s="175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空气:Scan</v>
      </c>
      <c r="F3" s="45">
        <v>3</v>
      </c>
      <c r="G3" s="45">
        <v>1</v>
      </c>
      <c r="H3" s="176">
        <v>486</v>
      </c>
      <c r="I3" s="45" t="str">
        <f>VLOOKUP(J3,字段对应!$D$2:$E$8,2,0)</f>
        <v>Validation.ViewModel.DataStructure.FindPeakAndAverageUVTestTool</v>
      </c>
      <c r="J3" s="45" t="s">
        <v>122</v>
      </c>
      <c r="K3" s="21" t="s">
        <v>17</v>
      </c>
      <c r="L3" s="21" t="s">
        <v>87</v>
      </c>
      <c r="M3" s="21" t="s">
        <v>88</v>
      </c>
      <c r="N3" s="21">
        <v>490</v>
      </c>
      <c r="O3" s="21">
        <v>480</v>
      </c>
      <c r="P3" s="21">
        <v>0.1</v>
      </c>
      <c r="Q3" s="21">
        <v>4</v>
      </c>
      <c r="R3" s="186" t="s">
        <v>376</v>
      </c>
      <c r="S3" s="21"/>
      <c r="T3" s="21"/>
      <c r="U3" s="21"/>
      <c r="V3" s="45" t="s">
        <v>77</v>
      </c>
      <c r="W3" s="45"/>
      <c r="X3" s="45"/>
      <c r="Y3" s="150" t="s">
        <v>124</v>
      </c>
      <c r="Z3" s="18">
        <f>VLOOKUP(A3,对应信息!$D$2:$E$10,2,0)</f>
        <v>1000</v>
      </c>
      <c r="AA3" s="150">
        <f>IF(Z2=Z3,AA2+1,Z3+1)</f>
        <v>1002</v>
      </c>
    </row>
    <row r="4" spans="1:27" ht="46.95" customHeight="1" x14ac:dyDescent="0.25">
      <c r="A4" s="149" t="s">
        <v>120</v>
      </c>
      <c r="B4" s="17" t="s">
        <v>16</v>
      </c>
      <c r="C4" s="17"/>
      <c r="D4" s="17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PhotoMode=0;ScanSpeed=2;WlRange=810,800,0.1;Gain=2;Slit1=2.0;LampPos=0</v>
      </c>
      <c r="E4" s="175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黑挡块:Dark|空气:BaseLine|镨钕滤光片:Scan</v>
      </c>
      <c r="F4" s="17">
        <v>3</v>
      </c>
      <c r="G4" s="17">
        <v>1</v>
      </c>
      <c r="H4" s="175" t="s">
        <v>121</v>
      </c>
      <c r="I4" s="17" t="str">
        <f>VLOOKUP(J4,字段对应!$D$2:$E$8,2,0)</f>
        <v>Validation.ViewModel.DataStructure.FindPeakAndAverageUVTestTool</v>
      </c>
      <c r="J4" s="17" t="s">
        <v>122</v>
      </c>
      <c r="K4" s="21" t="s">
        <v>242</v>
      </c>
      <c r="L4" s="21" t="s">
        <v>78</v>
      </c>
      <c r="M4" s="21" t="s">
        <v>88</v>
      </c>
      <c r="N4" s="21">
        <v>810</v>
      </c>
      <c r="O4" s="21">
        <v>800</v>
      </c>
      <c r="P4" s="21">
        <v>0.1</v>
      </c>
      <c r="Q4" s="21">
        <v>2</v>
      </c>
      <c r="R4" s="186" t="s">
        <v>376</v>
      </c>
      <c r="S4" s="21"/>
      <c r="T4" s="21"/>
      <c r="U4" s="21"/>
      <c r="V4" s="17" t="s">
        <v>77</v>
      </c>
      <c r="W4" s="17" t="s">
        <v>123</v>
      </c>
      <c r="X4" s="17" t="s">
        <v>124</v>
      </c>
      <c r="Y4" s="165" t="s">
        <v>16</v>
      </c>
      <c r="Z4" s="18">
        <f>VLOOKUP(A4,对应信息!$D$2:$E$10,2,0)</f>
        <v>1000</v>
      </c>
      <c r="AA4" s="150">
        <f t="shared" ref="AA4:AA29" si="0">IF(Z3=Z4,AA3+1,Z4+1)</f>
        <v>1003</v>
      </c>
    </row>
    <row r="5" spans="1:27" ht="44.4" customHeight="1" x14ac:dyDescent="0.25">
      <c r="A5" s="149" t="s">
        <v>120</v>
      </c>
      <c r="B5" s="29" t="s">
        <v>245</v>
      </c>
      <c r="C5" s="17"/>
      <c r="D5" s="41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PhotoMode=0;ScanSpeed=2;WlRange=645,235,0.1;Slit1=2.0;</v>
      </c>
      <c r="E5" s="175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黑挡块:Dark|空气:BaseLine|钬溶液:Scan</v>
      </c>
      <c r="F5" s="17">
        <v>3</v>
      </c>
      <c r="G5" s="17">
        <v>1</v>
      </c>
      <c r="H5" s="176" t="s">
        <v>246</v>
      </c>
      <c r="I5" s="17" t="str">
        <f>VLOOKUP(J5,字段对应!$D$2:$E$8,2,0)</f>
        <v>Validation.ViewModel.DataStructure.FindPeakAndAverageUVTestTool</v>
      </c>
      <c r="J5" s="17" t="s">
        <v>122</v>
      </c>
      <c r="K5" s="49"/>
      <c r="L5" s="21" t="s">
        <v>78</v>
      </c>
      <c r="M5" s="21" t="s">
        <v>88</v>
      </c>
      <c r="N5" s="21">
        <v>645</v>
      </c>
      <c r="O5" s="21">
        <v>235</v>
      </c>
      <c r="P5" s="21">
        <v>0.1</v>
      </c>
      <c r="Q5" s="21"/>
      <c r="R5" s="186" t="s">
        <v>376</v>
      </c>
      <c r="S5" s="21"/>
      <c r="T5" s="21"/>
      <c r="U5" s="21"/>
      <c r="V5" s="17" t="s">
        <v>77</v>
      </c>
      <c r="W5" s="17" t="s">
        <v>123</v>
      </c>
      <c r="X5" s="150" t="s">
        <v>124</v>
      </c>
      <c r="Y5" s="165" t="s">
        <v>257</v>
      </c>
      <c r="Z5" s="18">
        <f>VLOOKUP(A5,对应信息!$D$2:$E$10,2,0)</f>
        <v>1000</v>
      </c>
      <c r="AA5" s="150">
        <f t="shared" si="0"/>
        <v>1004</v>
      </c>
    </row>
    <row r="6" spans="1:27" ht="28.8" x14ac:dyDescent="0.25">
      <c r="A6" s="149" t="s">
        <v>120</v>
      </c>
      <c r="B6" s="29" t="s">
        <v>431</v>
      </c>
      <c r="C6" s="17"/>
      <c r="D6" s="41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PhotoMode=2;ScanSpeed=2;WlRange=550,300,0.1;Gain=4;Slit1=2.0;LampPos=2</v>
      </c>
      <c r="E6" s="175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黑挡块:Dark|汞灯:BaseLine|空气:Scan</v>
      </c>
      <c r="F6" s="17">
        <v>3</v>
      </c>
      <c r="G6" s="17">
        <v>1</v>
      </c>
      <c r="H6" s="176" t="s">
        <v>432</v>
      </c>
      <c r="I6" s="17" t="str">
        <f>VLOOKUP(J6,字段对应!$D$2:$E$8,2,0)</f>
        <v>Validation.ViewModel.DataStructure.FindPeakAndAverageUVTestTool</v>
      </c>
      <c r="J6" s="17" t="s">
        <v>122</v>
      </c>
      <c r="K6" s="21" t="s">
        <v>18</v>
      </c>
      <c r="L6" s="21" t="s">
        <v>87</v>
      </c>
      <c r="M6" s="21" t="s">
        <v>88</v>
      </c>
      <c r="N6" s="21">
        <v>550</v>
      </c>
      <c r="O6" s="21">
        <v>300</v>
      </c>
      <c r="P6" s="21">
        <v>0.1</v>
      </c>
      <c r="Q6" s="21">
        <v>4</v>
      </c>
      <c r="R6" s="186" t="s">
        <v>376</v>
      </c>
      <c r="S6" s="21"/>
      <c r="T6" s="21"/>
      <c r="U6" s="21"/>
      <c r="V6" s="17" t="s">
        <v>77</v>
      </c>
      <c r="W6" s="17" t="s">
        <v>123</v>
      </c>
      <c r="X6" s="29" t="s">
        <v>389</v>
      </c>
      <c r="Y6" s="150" t="s">
        <v>124</v>
      </c>
      <c r="Z6" s="18">
        <f>VLOOKUP(A6,对应信息!$D$2:$E$10,2,0)</f>
        <v>1000</v>
      </c>
      <c r="AA6" s="150">
        <f t="shared" si="0"/>
        <v>1005</v>
      </c>
    </row>
    <row r="7" spans="1:27" ht="28.8" x14ac:dyDescent="0.25">
      <c r="A7" s="149" t="s">
        <v>120</v>
      </c>
      <c r="B7" s="29" t="s">
        <v>434</v>
      </c>
      <c r="C7" s="150"/>
      <c r="D7" s="150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PhotoMode=2;ScanSpeed=2;WlRange=300,250,0.1;Gain=4;Slit1=2.0;LampPos=2</v>
      </c>
      <c r="E7" s="175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黑挡块:Dark|汞灯:BaseLine|空气:Scan</v>
      </c>
      <c r="F7" s="150">
        <v>3</v>
      </c>
      <c r="G7" s="150">
        <v>1</v>
      </c>
      <c r="H7" s="176" t="s">
        <v>433</v>
      </c>
      <c r="I7" s="150" t="str">
        <f>VLOOKUP(J7,字段对应!$D$2:$E$8,2,0)</f>
        <v>Validation.ViewModel.DataStructure.FindPeakAndAverageUVTestTool</v>
      </c>
      <c r="J7" s="150" t="s">
        <v>122</v>
      </c>
      <c r="K7" s="21" t="s">
        <v>18</v>
      </c>
      <c r="L7" s="21" t="s">
        <v>87</v>
      </c>
      <c r="M7" s="21" t="s">
        <v>88</v>
      </c>
      <c r="N7" s="21">
        <v>300</v>
      </c>
      <c r="O7" s="21">
        <v>250</v>
      </c>
      <c r="P7" s="21">
        <v>0.1</v>
      </c>
      <c r="Q7" s="21">
        <v>4</v>
      </c>
      <c r="R7" s="186" t="s">
        <v>376</v>
      </c>
      <c r="S7" s="21"/>
      <c r="T7" s="21"/>
      <c r="U7" s="21"/>
      <c r="V7" s="150" t="s">
        <v>77</v>
      </c>
      <c r="W7" s="150" t="s">
        <v>123</v>
      </c>
      <c r="X7" s="29" t="s">
        <v>238</v>
      </c>
      <c r="Y7" s="150" t="s">
        <v>124</v>
      </c>
      <c r="Z7" s="18">
        <f>VLOOKUP(A7,对应信息!$D$2:$E$10,2,0)</f>
        <v>1000</v>
      </c>
      <c r="AA7" s="150">
        <f t="shared" ref="AA7" si="1">IF(Z6=Z7,AA6+1,Z7+1)</f>
        <v>1006</v>
      </c>
    </row>
    <row r="8" spans="1:27" ht="28.8" x14ac:dyDescent="0.25">
      <c r="A8" s="162" t="s">
        <v>139</v>
      </c>
      <c r="B8" s="29" t="s">
        <v>221</v>
      </c>
      <c r="C8" s="17"/>
      <c r="D8" s="41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PhotoMode=2;ScanSpeed=2;WlRange=662,650,0.1;Gain=4;Slit1=5.0;LampPos=1</v>
      </c>
      <c r="E8" s="175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氘灯5.0:Dark|空气:Scan</v>
      </c>
      <c r="F8" s="17">
        <v>1</v>
      </c>
      <c r="G8" s="17"/>
      <c r="H8" s="175">
        <v>656.1</v>
      </c>
      <c r="I8" s="17" t="str">
        <f>VLOOKUP(J8,字段对应!$D$2:$E$8,2,0)</f>
        <v>Validation.ViewModel.DataStructure.FindHalfPeakUVTestTool</v>
      </c>
      <c r="J8" s="17" t="s">
        <v>141</v>
      </c>
      <c r="K8" s="21" t="s">
        <v>17</v>
      </c>
      <c r="L8" s="21" t="s">
        <v>87</v>
      </c>
      <c r="M8" s="21" t="s">
        <v>88</v>
      </c>
      <c r="N8" s="21">
        <v>662</v>
      </c>
      <c r="O8" s="21">
        <v>650</v>
      </c>
      <c r="P8" s="21">
        <v>0.1</v>
      </c>
      <c r="Q8" s="21">
        <v>4</v>
      </c>
      <c r="R8" s="186" t="s">
        <v>377</v>
      </c>
      <c r="S8" s="21"/>
      <c r="T8" s="21"/>
      <c r="U8" s="21"/>
      <c r="V8" s="17" t="s">
        <v>77</v>
      </c>
      <c r="W8" s="29" t="s">
        <v>390</v>
      </c>
      <c r="X8" s="17"/>
      <c r="Y8" s="150" t="s">
        <v>124</v>
      </c>
      <c r="Z8" s="18">
        <f>VLOOKUP(A8,对应信息!$D$2:$E$10,2,0)</f>
        <v>6000</v>
      </c>
      <c r="AA8" s="150">
        <f>IF(Z6=Z8,AA6+1,Z8+1)</f>
        <v>6001</v>
      </c>
    </row>
    <row r="9" spans="1:27" ht="28.8" x14ac:dyDescent="0.25">
      <c r="A9" s="162" t="s">
        <v>139</v>
      </c>
      <c r="B9" s="29" t="s">
        <v>391</v>
      </c>
      <c r="C9" s="17"/>
      <c r="D9" s="41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PhotoMode=2;ScanSpeed=2;WlRange=660,650,0.1;Gain=4;Slit1=2.0;LampPos=1</v>
      </c>
      <c r="E9" s="175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空气:Scan</v>
      </c>
      <c r="F9" s="17">
        <v>1</v>
      </c>
      <c r="G9" s="17"/>
      <c r="H9" s="175">
        <v>656.1</v>
      </c>
      <c r="I9" s="17" t="str">
        <f>VLOOKUP(J9,字段对应!$D$2:$E$8,2,0)</f>
        <v>Validation.ViewModel.DataStructure.FindHalfPeakUVTestTool</v>
      </c>
      <c r="J9" s="17" t="s">
        <v>141</v>
      </c>
      <c r="K9" s="21" t="s">
        <v>17</v>
      </c>
      <c r="L9" s="21" t="s">
        <v>87</v>
      </c>
      <c r="M9" s="21" t="s">
        <v>88</v>
      </c>
      <c r="N9" s="21">
        <v>660</v>
      </c>
      <c r="O9" s="21">
        <v>650</v>
      </c>
      <c r="P9" s="21">
        <v>0.1</v>
      </c>
      <c r="Q9" s="21">
        <v>4</v>
      </c>
      <c r="R9" s="186" t="s">
        <v>376</v>
      </c>
      <c r="S9" s="21"/>
      <c r="T9" s="21"/>
      <c r="U9" s="21"/>
      <c r="V9" s="17" t="s">
        <v>77</v>
      </c>
      <c r="W9" s="17"/>
      <c r="X9" s="17"/>
      <c r="Y9" s="150" t="s">
        <v>124</v>
      </c>
      <c r="Z9" s="18">
        <f>VLOOKUP(A9,对应信息!$D$2:$E$10,2,0)</f>
        <v>6000</v>
      </c>
      <c r="AA9" s="150">
        <f t="shared" si="0"/>
        <v>6002</v>
      </c>
    </row>
    <row r="10" spans="1:27" ht="28.8" x14ac:dyDescent="0.25">
      <c r="A10" s="162" t="s">
        <v>139</v>
      </c>
      <c r="B10" s="29" t="s">
        <v>392</v>
      </c>
      <c r="C10" s="17"/>
      <c r="D10" s="41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PhotoMode=2;ScanSpeed=2;WlRange=660,650,0.1;Gain=4;Slit1=1.0;LampPos=1</v>
      </c>
      <c r="E10" s="175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氘灯1.0:Dark|空气:Scan</v>
      </c>
      <c r="F10" s="17">
        <v>1</v>
      </c>
      <c r="G10" s="17"/>
      <c r="H10" s="175">
        <v>656.1</v>
      </c>
      <c r="I10" s="17" t="str">
        <f>VLOOKUP(J10,字段对应!$D$2:$E$8,2,0)</f>
        <v>Validation.ViewModel.DataStructure.FindHalfPeakUVTestTool</v>
      </c>
      <c r="J10" s="17" t="s">
        <v>141</v>
      </c>
      <c r="K10" s="21" t="s">
        <v>17</v>
      </c>
      <c r="L10" s="21" t="s">
        <v>87</v>
      </c>
      <c r="M10" s="21" t="s">
        <v>88</v>
      </c>
      <c r="N10" s="21">
        <v>660</v>
      </c>
      <c r="O10" s="21">
        <v>650</v>
      </c>
      <c r="P10" s="21">
        <v>0.1</v>
      </c>
      <c r="Q10" s="21">
        <v>4</v>
      </c>
      <c r="R10" s="186" t="s">
        <v>378</v>
      </c>
      <c r="S10" s="21"/>
      <c r="T10" s="21"/>
      <c r="U10" s="21"/>
      <c r="V10" s="17" t="s">
        <v>77</v>
      </c>
      <c r="W10" s="29" t="s">
        <v>393</v>
      </c>
      <c r="X10" s="17"/>
      <c r="Y10" s="150" t="s">
        <v>124</v>
      </c>
      <c r="Z10" s="18">
        <f>VLOOKUP(A10,对应信息!$D$2:$E$10,2,0)</f>
        <v>6000</v>
      </c>
      <c r="AA10" s="150">
        <f t="shared" si="0"/>
        <v>6003</v>
      </c>
    </row>
    <row r="11" spans="1:27" ht="28.8" x14ac:dyDescent="0.25">
      <c r="A11" s="162" t="s">
        <v>139</v>
      </c>
      <c r="B11" s="29" t="s">
        <v>394</v>
      </c>
      <c r="C11" s="17"/>
      <c r="D11" s="41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PhotoMode=2;ScanSpeed=2;WlRange=660,650,0.1;Gain=4;Slit1=0.5;LampPos=1</v>
      </c>
      <c r="E11" s="175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氘灯0.5:Dark|空气:Scan</v>
      </c>
      <c r="F11" s="17">
        <v>1</v>
      </c>
      <c r="G11" s="17"/>
      <c r="H11" s="175">
        <v>656.1</v>
      </c>
      <c r="I11" s="17" t="str">
        <f>VLOOKUP(J11,字段对应!$D$2:$E$8,2,0)</f>
        <v>Validation.ViewModel.DataStructure.FindHalfPeakUVTestTool</v>
      </c>
      <c r="J11" s="17" t="s">
        <v>141</v>
      </c>
      <c r="K11" s="21" t="s">
        <v>17</v>
      </c>
      <c r="L11" s="21" t="s">
        <v>87</v>
      </c>
      <c r="M11" s="21" t="s">
        <v>88</v>
      </c>
      <c r="N11" s="21">
        <v>660</v>
      </c>
      <c r="O11" s="21">
        <v>650</v>
      </c>
      <c r="P11" s="21">
        <v>0.1</v>
      </c>
      <c r="Q11" s="21">
        <v>4</v>
      </c>
      <c r="R11" s="186">
        <v>0.5</v>
      </c>
      <c r="S11" s="21"/>
      <c r="T11" s="21"/>
      <c r="U11" s="21"/>
      <c r="V11" s="17" t="s">
        <v>77</v>
      </c>
      <c r="W11" s="29" t="s">
        <v>395</v>
      </c>
      <c r="X11" s="17"/>
      <c r="Y11" s="150" t="s">
        <v>124</v>
      </c>
      <c r="Z11" s="18">
        <f>VLOOKUP(A11,对应信息!$D$2:$E$10,2,0)</f>
        <v>6000</v>
      </c>
      <c r="AA11" s="150">
        <f t="shared" si="0"/>
        <v>6004</v>
      </c>
    </row>
    <row r="12" spans="1:27" ht="28.8" x14ac:dyDescent="0.25">
      <c r="A12" s="162" t="s">
        <v>139</v>
      </c>
      <c r="B12" s="29" t="s">
        <v>396</v>
      </c>
      <c r="C12" s="17"/>
      <c r="D12" s="41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PhotoMode=2;ScanSpeed=2;WlRange=660,650,0.1;Gain=4;Slit1=0.2;LampPos=1</v>
      </c>
      <c r="E12" s="175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氘灯0.2:Dark|空气:Scan</v>
      </c>
      <c r="F12" s="17">
        <v>1</v>
      </c>
      <c r="G12" s="17"/>
      <c r="H12" s="175">
        <v>656.1</v>
      </c>
      <c r="I12" s="17" t="str">
        <f>VLOOKUP(J12,字段对应!$D$2:$E$8,2,0)</f>
        <v>Validation.ViewModel.DataStructure.FindHalfPeakUVTestTool</v>
      </c>
      <c r="J12" s="17" t="s">
        <v>141</v>
      </c>
      <c r="K12" s="21" t="s">
        <v>17</v>
      </c>
      <c r="L12" s="21" t="s">
        <v>87</v>
      </c>
      <c r="M12" s="21" t="s">
        <v>88</v>
      </c>
      <c r="N12" s="21">
        <v>660</v>
      </c>
      <c r="O12" s="21">
        <v>650</v>
      </c>
      <c r="P12" s="21">
        <v>0.1</v>
      </c>
      <c r="Q12" s="21">
        <v>4</v>
      </c>
      <c r="R12" s="186">
        <v>0.2</v>
      </c>
      <c r="S12" s="21"/>
      <c r="T12" s="21"/>
      <c r="U12" s="21"/>
      <c r="V12" s="17" t="s">
        <v>77</v>
      </c>
      <c r="W12" s="29" t="s">
        <v>397</v>
      </c>
      <c r="X12" s="17"/>
      <c r="Y12" s="150" t="s">
        <v>124</v>
      </c>
      <c r="Z12" s="18">
        <f>VLOOKUP(A12,对应信息!$D$2:$E$10,2,0)</f>
        <v>6000</v>
      </c>
      <c r="AA12" s="150">
        <f t="shared" si="0"/>
        <v>6005</v>
      </c>
    </row>
    <row r="13" spans="1:27" ht="28.8" x14ac:dyDescent="0.25">
      <c r="A13" s="150" t="s">
        <v>136</v>
      </c>
      <c r="B13" s="29" t="s">
        <v>217</v>
      </c>
      <c r="C13" s="17"/>
      <c r="D13" s="41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PhotoMode=0;ScanSpeed=2;WlRange=1090,200,1;Slit1=2.0;</v>
      </c>
      <c r="E13" s="175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黑挡块:Dark|空气:BaseLine|空气:Scan</v>
      </c>
      <c r="F13" s="17">
        <v>1</v>
      </c>
      <c r="G13" s="17"/>
      <c r="H13" s="175"/>
      <c r="I13" s="17" t="str">
        <f>VLOOKUP(J13,字段对应!$D$2:$E$8,2,0)</f>
        <v>Validation.ViewModel.DataStructure.GetMaxDIstanceUVTestTool</v>
      </c>
      <c r="J13" s="17" t="s">
        <v>137</v>
      </c>
      <c r="K13" s="21"/>
      <c r="L13" s="21" t="s">
        <v>78</v>
      </c>
      <c r="M13" s="21" t="s">
        <v>88</v>
      </c>
      <c r="N13" s="21">
        <v>1090</v>
      </c>
      <c r="O13" s="21">
        <v>200</v>
      </c>
      <c r="P13" s="21">
        <v>1</v>
      </c>
      <c r="Q13" s="21"/>
      <c r="R13" s="186" t="s">
        <v>376</v>
      </c>
      <c r="S13" s="21"/>
      <c r="T13" s="21"/>
      <c r="U13" s="21"/>
      <c r="V13" s="17" t="s">
        <v>77</v>
      </c>
      <c r="W13" s="17" t="s">
        <v>123</v>
      </c>
      <c r="X13" s="17" t="s">
        <v>124</v>
      </c>
      <c r="Y13" s="150" t="s">
        <v>124</v>
      </c>
      <c r="Z13" s="18">
        <f>VLOOKUP(A13,对应信息!$D$2:$E$10,2,0)</f>
        <v>4000</v>
      </c>
      <c r="AA13" s="150">
        <f t="shared" si="0"/>
        <v>4001</v>
      </c>
    </row>
    <row r="14" spans="1:27" ht="37.200000000000003" customHeight="1" x14ac:dyDescent="0.25">
      <c r="A14" s="150" t="s">
        <v>138</v>
      </c>
      <c r="B14" s="29" t="s">
        <v>219</v>
      </c>
      <c r="C14" s="17"/>
      <c r="D14" s="41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PhotoMode=1;ScanSpeed=2;WlRange=1090,190,1;</v>
      </c>
      <c r="E14" s="175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黑挡块:Dark|空气:BaseLine|黑挡块:Scan</v>
      </c>
      <c r="F14" s="17">
        <v>1</v>
      </c>
      <c r="G14" s="17"/>
      <c r="H14" s="175"/>
      <c r="I14" s="17" t="str">
        <f>VLOOKUP(J14,字段对应!$D$2:$E$8,2,0)</f>
        <v>Validation.ViewModel.DataStructure.GetMaxDIstanceUVTestTool</v>
      </c>
      <c r="J14" s="17" t="s">
        <v>137</v>
      </c>
      <c r="K14" s="21"/>
      <c r="L14" s="21" t="s">
        <v>83</v>
      </c>
      <c r="M14" s="21" t="s">
        <v>88</v>
      </c>
      <c r="N14" s="21">
        <v>1090</v>
      </c>
      <c r="O14" s="21">
        <v>190</v>
      </c>
      <c r="P14" s="21">
        <v>1</v>
      </c>
      <c r="Q14" s="21"/>
      <c r="R14" s="186"/>
      <c r="S14" s="21"/>
      <c r="T14" s="21"/>
      <c r="U14" s="21"/>
      <c r="V14" s="17" t="s">
        <v>77</v>
      </c>
      <c r="W14" s="17" t="s">
        <v>123</v>
      </c>
      <c r="X14" s="17" t="s">
        <v>124</v>
      </c>
      <c r="Y14" s="166" t="s">
        <v>259</v>
      </c>
      <c r="Z14" s="18">
        <f>VLOOKUP(A14,对应信息!$D$2:$E$10,2,0)</f>
        <v>5000</v>
      </c>
      <c r="AA14" s="150">
        <f t="shared" si="0"/>
        <v>5001</v>
      </c>
    </row>
    <row r="15" spans="1:27" ht="51" customHeight="1" x14ac:dyDescent="0.25">
      <c r="A15" s="150" t="s">
        <v>146</v>
      </c>
      <c r="B15" s="17" t="s">
        <v>147</v>
      </c>
      <c r="C15" s="18"/>
      <c r="D15" s="41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PhotoMode=1;ScanSpeed=2;Slit1=2.0;ResponseTime=0.5;</v>
      </c>
      <c r="E15" s="175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黑挡块:Dark|空气:Zero;Wl=500|空气:Measure;Wl=500;totalcount=120;timeinterval=1</v>
      </c>
      <c r="F15" s="17">
        <v>1</v>
      </c>
      <c r="G15" s="17"/>
      <c r="H15" s="175">
        <v>500</v>
      </c>
      <c r="I15" s="17" t="str">
        <f>VLOOKUP(J15,字段对应!$D$2:$E$8,2,0)</f>
        <v>Validation.ViewModel.DataStructure.FindMaxOffsetUVTestTool</v>
      </c>
      <c r="J15" s="17" t="s">
        <v>231</v>
      </c>
      <c r="K15" s="21"/>
      <c r="L15" s="21" t="s">
        <v>83</v>
      </c>
      <c r="M15" s="21" t="s">
        <v>88</v>
      </c>
      <c r="N15" s="21"/>
      <c r="O15" s="21"/>
      <c r="P15" s="21"/>
      <c r="Q15" s="21"/>
      <c r="R15" s="186" t="s">
        <v>376</v>
      </c>
      <c r="S15" s="21">
        <v>1</v>
      </c>
      <c r="T15" s="21">
        <v>120</v>
      </c>
      <c r="U15" s="21">
        <v>0.5</v>
      </c>
      <c r="V15" s="17" t="s">
        <v>81</v>
      </c>
      <c r="W15" s="17" t="s">
        <v>123</v>
      </c>
      <c r="X15" s="17" t="s">
        <v>124</v>
      </c>
      <c r="Y15" s="150" t="s">
        <v>124</v>
      </c>
      <c r="Z15" s="18">
        <f>VLOOKUP(A15,对应信息!$D$2:$E$10,2,0)</f>
        <v>7000</v>
      </c>
      <c r="AA15" s="150">
        <f t="shared" si="0"/>
        <v>7001</v>
      </c>
    </row>
    <row r="16" spans="1:27" ht="43.2" x14ac:dyDescent="0.25">
      <c r="A16" s="150" t="s">
        <v>146</v>
      </c>
      <c r="B16" s="17" t="s">
        <v>148</v>
      </c>
      <c r="C16" s="18"/>
      <c r="D16" s="41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PhotoMode=1;ScanSpeed=2;Slit1=2.0;ResponseTime=0.5;</v>
      </c>
      <c r="E16" s="175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黑挡块:Dark|空气:Zero;Wl=500|黑挡块:Measure;Wl=500;totalcount=120;timeinterval=1</v>
      </c>
      <c r="F16" s="17">
        <v>1</v>
      </c>
      <c r="G16" s="17"/>
      <c r="H16" s="175">
        <v>500</v>
      </c>
      <c r="I16" s="17" t="str">
        <f>VLOOKUP(J16,字段对应!$D$2:$E$8,2,0)</f>
        <v>Validation.ViewModel.DataStructure.FindMaxOffsetUVTestTool</v>
      </c>
      <c r="J16" s="17" t="s">
        <v>231</v>
      </c>
      <c r="K16" s="21"/>
      <c r="L16" s="21" t="s">
        <v>83</v>
      </c>
      <c r="M16" s="21" t="s">
        <v>88</v>
      </c>
      <c r="N16" s="21"/>
      <c r="O16" s="21"/>
      <c r="P16" s="21"/>
      <c r="Q16" s="21"/>
      <c r="R16" s="186" t="s">
        <v>376</v>
      </c>
      <c r="S16" s="21">
        <v>1</v>
      </c>
      <c r="T16" s="21">
        <v>120</v>
      </c>
      <c r="U16" s="21">
        <v>0.5</v>
      </c>
      <c r="V16" s="17" t="s">
        <v>81</v>
      </c>
      <c r="W16" s="17" t="s">
        <v>123</v>
      </c>
      <c r="X16" s="17" t="s">
        <v>124</v>
      </c>
      <c r="Y16" s="166" t="s">
        <v>241</v>
      </c>
      <c r="Z16" s="18">
        <f>VLOOKUP(A16,对应信息!$D$2:$E$10,2,0)</f>
        <v>7000</v>
      </c>
      <c r="AA16" s="150">
        <f t="shared" si="0"/>
        <v>7002</v>
      </c>
    </row>
    <row r="17" spans="1:27" ht="43.2" x14ac:dyDescent="0.25">
      <c r="A17" s="150" t="s">
        <v>146</v>
      </c>
      <c r="B17" s="17" t="s">
        <v>149</v>
      </c>
      <c r="C17" s="18"/>
      <c r="D17" s="41" t="str">
        <f>IF(L17="","",字段对应!$B$10&amp;"="&amp;VLOOKUP(L17,基础信息!$I$2:$J$6,2,0)&amp;";")&amp;IF(M17="","",字段对应!$B$11&amp;"="&amp;VLOOKUP(M17,基础信息!$K$2:$L$6,2,0)&amp;";")&amp;IF(N17="","",字段对应!$C$2&amp;"="&amp;N17&amp;","&amp;O17&amp;","&amp;P17&amp;";")&amp;IF(Q17="","",字段对应!$B$13&amp;"="&amp;Q17&amp;";")&amp;IF(R17="","",字段对应!$B$14&amp;"="&amp;R17&amp;";")&amp;IF(U17="","",字段对应!$B$22&amp;"="&amp;U17&amp;";")&amp;IF(K17="","",字段对应!$B$21&amp;"="&amp;VLOOKUP(K17,基础信息!$F$2:$G$4,2,0))</f>
        <v>PhotoMode=1;ScanSpeed=2;Slit1=2.0;ResponseTime=0.5;</v>
      </c>
      <c r="E17" s="175" t="str">
        <f>IF(W17="","",检测项信息!W17&amp;":"&amp;字段对应!$B$16&amp;"|")&amp;IF(X17="","",X17&amp;":"&amp;IF(V17="是",字段对应!$C$17,字段对应!$B$17&amp;";"&amp;IF(H17="","",字段对应!$B$15&amp;"="&amp;检测项信息!H17))&amp;"|")&amp;IF(Y17="",":",Y17&amp;":")&amp;IF(V17="是",字段对应!$C$18,字段对应!$B$18&amp;";"&amp;IF(H17="","",字段对应!$B$15&amp;"="&amp;检测项信息!H17)&amp;IF(AND(T17="",S17=""),"",";"&amp;字段对应!$B$20&amp;"="&amp;T17&amp;";"&amp;字段对应!$B$19&amp;"="&amp;S17))</f>
        <v>黑挡块:Dark|空气:Zero;Wl=250|空气:Measure;Wl=250;totalcount=120;timeinterval=1</v>
      </c>
      <c r="F17" s="17">
        <v>1</v>
      </c>
      <c r="G17" s="17"/>
      <c r="H17" s="175">
        <v>250</v>
      </c>
      <c r="I17" s="17" t="str">
        <f>VLOOKUP(J17,字段对应!$D$2:$E$8,2,0)</f>
        <v>Validation.ViewModel.DataStructure.FindMaxOffsetUVTestTool</v>
      </c>
      <c r="J17" s="17" t="s">
        <v>231</v>
      </c>
      <c r="K17" s="21"/>
      <c r="L17" s="21" t="s">
        <v>83</v>
      </c>
      <c r="M17" s="21" t="s">
        <v>88</v>
      </c>
      <c r="N17" s="21"/>
      <c r="O17" s="21"/>
      <c r="P17" s="21"/>
      <c r="Q17" s="21"/>
      <c r="R17" s="186" t="s">
        <v>376</v>
      </c>
      <c r="S17" s="21">
        <v>1</v>
      </c>
      <c r="T17" s="21">
        <v>120</v>
      </c>
      <c r="U17" s="21">
        <v>0.5</v>
      </c>
      <c r="V17" s="17" t="s">
        <v>81</v>
      </c>
      <c r="W17" s="17" t="s">
        <v>123</v>
      </c>
      <c r="X17" s="17" t="s">
        <v>124</v>
      </c>
      <c r="Y17" s="150" t="s">
        <v>124</v>
      </c>
      <c r="Z17" s="18">
        <f>VLOOKUP(A17,对应信息!$D$2:$E$10,2,0)</f>
        <v>7000</v>
      </c>
      <c r="AA17" s="150">
        <f t="shared" si="0"/>
        <v>7003</v>
      </c>
    </row>
    <row r="18" spans="1:27" ht="43.2" x14ac:dyDescent="0.25">
      <c r="A18" s="150" t="s">
        <v>146</v>
      </c>
      <c r="B18" s="17" t="s">
        <v>150</v>
      </c>
      <c r="C18" s="18"/>
      <c r="D18" s="41" t="str">
        <f>IF(L18="","",字段对应!$B$10&amp;"="&amp;VLOOKUP(L18,基础信息!$I$2:$J$6,2,0)&amp;";")&amp;IF(M18="","",字段对应!$B$11&amp;"="&amp;VLOOKUP(M18,基础信息!$K$2:$L$6,2,0)&amp;";")&amp;IF(N18="","",字段对应!$C$2&amp;"="&amp;N18&amp;","&amp;O18&amp;","&amp;P18&amp;";")&amp;IF(Q18="","",字段对应!$B$13&amp;"="&amp;Q18&amp;";")&amp;IF(R18="","",字段对应!$B$14&amp;"="&amp;R18&amp;";")&amp;IF(U18="","",字段对应!$B$22&amp;"="&amp;U18&amp;";")&amp;IF(K18="","",字段对应!$B$21&amp;"="&amp;VLOOKUP(K18,基础信息!$F$2:$G$4,2,0))</f>
        <v>PhotoMode=1;ScanSpeed=2;Slit1=2.0;ResponseTime=0.5;</v>
      </c>
      <c r="E18" s="175" t="str">
        <f>IF(W18="","",检测项信息!W18&amp;":"&amp;字段对应!$B$16&amp;"|")&amp;IF(X18="","",X18&amp;":"&amp;IF(V18="是",字段对应!$C$17,字段对应!$B$17&amp;";"&amp;IF(H18="","",字段对应!$B$15&amp;"="&amp;检测项信息!H18))&amp;"|")&amp;IF(Y18="",":",Y18&amp;":")&amp;IF(V18="是",字段对应!$C$18,字段对应!$B$18&amp;";"&amp;IF(H18="","",字段对应!$B$15&amp;"="&amp;检测项信息!H18)&amp;IF(AND(T18="",S18=""),"",";"&amp;字段对应!$B$20&amp;"="&amp;T18&amp;";"&amp;字段对应!$B$19&amp;"="&amp;S18))</f>
        <v>黑挡块:Dark|空气:Zero;Wl=250|黑挡块:Measure;Wl=250;totalcount=120;timeinterval=1</v>
      </c>
      <c r="F18" s="17">
        <v>1</v>
      </c>
      <c r="G18" s="17"/>
      <c r="H18" s="175">
        <v>250</v>
      </c>
      <c r="I18" s="17" t="str">
        <f>VLOOKUP(J18,字段对应!$D$2:$E$8,2,0)</f>
        <v>Validation.ViewModel.DataStructure.FindMaxOffsetUVTestTool</v>
      </c>
      <c r="J18" s="17" t="s">
        <v>231</v>
      </c>
      <c r="K18" s="21"/>
      <c r="L18" s="21" t="s">
        <v>83</v>
      </c>
      <c r="M18" s="21" t="s">
        <v>88</v>
      </c>
      <c r="N18" s="21"/>
      <c r="O18" s="21"/>
      <c r="P18" s="21"/>
      <c r="Q18" s="21"/>
      <c r="R18" s="186" t="s">
        <v>376</v>
      </c>
      <c r="S18" s="21">
        <v>1</v>
      </c>
      <c r="T18" s="21">
        <v>120</v>
      </c>
      <c r="U18" s="21">
        <v>0.5</v>
      </c>
      <c r="V18" s="17" t="s">
        <v>81</v>
      </c>
      <c r="W18" s="17" t="s">
        <v>123</v>
      </c>
      <c r="X18" s="17" t="s">
        <v>124</v>
      </c>
      <c r="Y18" s="166" t="s">
        <v>241</v>
      </c>
      <c r="Z18" s="18">
        <f>VLOOKUP(A18,对应信息!$D$2:$E$10,2,0)</f>
        <v>7000</v>
      </c>
      <c r="AA18" s="150">
        <f t="shared" si="0"/>
        <v>7004</v>
      </c>
    </row>
    <row r="19" spans="1:27" ht="43.2" x14ac:dyDescent="0.25">
      <c r="A19" s="150" t="s">
        <v>151</v>
      </c>
      <c r="B19" s="17" t="s">
        <v>152</v>
      </c>
      <c r="C19" s="18"/>
      <c r="D19" s="41" t="str">
        <f>IF(L19="","",字段对应!$B$10&amp;"="&amp;VLOOKUP(L19,基础信息!$I$2:$J$6,2,0)&amp;";")&amp;IF(M19="","",字段对应!$B$11&amp;"="&amp;VLOOKUP(M19,基础信息!$K$2:$L$6,2,0)&amp;";")&amp;IF(N19="","",字段对应!$C$2&amp;"="&amp;N19&amp;","&amp;O19&amp;","&amp;P19&amp;";")&amp;IF(Q19="","",字段对应!$B$13&amp;"="&amp;Q19&amp;";")&amp;IF(R19="","",字段对应!$B$14&amp;"="&amp;R19&amp;";")&amp;IF(U19="","",字段对应!$B$22&amp;"="&amp;U19&amp;";")&amp;IF(K19="","",字段对应!$B$21&amp;"="&amp;VLOOKUP(K19,基础信息!$F$2:$G$4,2,0))</f>
        <v>PhotoMode=1;ScanSpeed=2;Slit1=2.0;ResponseTime=0.5;</v>
      </c>
      <c r="E19" s="175" t="str">
        <f>IF(W19="","",检测项信息!W19&amp;":"&amp;字段对应!$B$16&amp;"|")&amp;IF(X19="","",X19&amp;":"&amp;IF(V19="是",字段对应!$C$17,字段对应!$B$17&amp;";"&amp;IF(H19="","",字段对应!$B$15&amp;"="&amp;检测项信息!H19))&amp;"|")&amp;IF(Y19="",":",Y19&amp;":")&amp;IF(V19="是",字段对应!$C$18,字段对应!$B$18&amp;";"&amp;IF(H19="","",字段对应!$B$15&amp;"="&amp;检测项信息!H19)&amp;IF(AND(T19="",S19=""),"",";"&amp;字段对应!$B$20&amp;"="&amp;T19&amp;";"&amp;字段对应!$B$19&amp;"="&amp;S19))</f>
        <v>黑挡块:Dark|空气:Zero;Wl=1090|空气:Measure;Wl=1090;totalcount=180;timeinterval=1</v>
      </c>
      <c r="F19" s="17">
        <v>1</v>
      </c>
      <c r="G19" s="17"/>
      <c r="H19" s="175">
        <v>1090</v>
      </c>
      <c r="I19" s="17" t="str">
        <f>VLOOKUP(J19,字段对应!$D$2:$E$8,2,0)</f>
        <v>Validation.ViewModel.DataStructure.FindMaxOffsetUVTestTool</v>
      </c>
      <c r="J19" s="17" t="s">
        <v>231</v>
      </c>
      <c r="K19" s="21"/>
      <c r="L19" s="21" t="s">
        <v>83</v>
      </c>
      <c r="M19" s="21" t="s">
        <v>88</v>
      </c>
      <c r="N19" s="21"/>
      <c r="O19" s="21"/>
      <c r="P19" s="21"/>
      <c r="Q19" s="21"/>
      <c r="R19" s="186" t="s">
        <v>376</v>
      </c>
      <c r="S19" s="21">
        <v>1</v>
      </c>
      <c r="T19" s="21">
        <v>180</v>
      </c>
      <c r="U19" s="21">
        <v>0.5</v>
      </c>
      <c r="V19" s="17" t="s">
        <v>81</v>
      </c>
      <c r="W19" s="17" t="s">
        <v>123</v>
      </c>
      <c r="X19" s="17" t="s">
        <v>124</v>
      </c>
      <c r="Y19" s="150" t="s">
        <v>124</v>
      </c>
      <c r="Z19" s="18">
        <f>VLOOKUP(A19,对应信息!$D$2:$E$10,2,0)</f>
        <v>8000</v>
      </c>
      <c r="AA19" s="150">
        <f t="shared" si="0"/>
        <v>8001</v>
      </c>
    </row>
    <row r="20" spans="1:27" ht="43.2" x14ac:dyDescent="0.25">
      <c r="A20" s="150" t="s">
        <v>151</v>
      </c>
      <c r="B20" s="17" t="s">
        <v>153</v>
      </c>
      <c r="C20" s="18"/>
      <c r="D20" s="41" t="str">
        <f>IF(L20="","",字段对应!$B$10&amp;"="&amp;VLOOKUP(L20,基础信息!$I$2:$J$6,2,0)&amp;";")&amp;IF(M20="","",字段对应!$B$11&amp;"="&amp;VLOOKUP(M20,基础信息!$K$2:$L$6,2,0)&amp;";")&amp;IF(N20="","",字段对应!$C$2&amp;"="&amp;N20&amp;","&amp;O20&amp;","&amp;P20&amp;";")&amp;IF(Q20="","",字段对应!$B$13&amp;"="&amp;Q20&amp;";")&amp;IF(R20="","",字段对应!$B$14&amp;"="&amp;R20&amp;";")&amp;IF(U20="","",字段对应!$B$22&amp;"="&amp;U20&amp;";")&amp;IF(K20="","",字段对应!$B$21&amp;"="&amp;VLOOKUP(K20,基础信息!$F$2:$G$4,2,0))</f>
        <v>PhotoMode=1;ScanSpeed=2;Slit1=2.0;ResponseTime=0.5;</v>
      </c>
      <c r="E20" s="175" t="str">
        <f>IF(W20="","",检测项信息!W20&amp;":"&amp;字段对应!$B$16&amp;"|")&amp;IF(X20="","",X20&amp;":"&amp;IF(V20="是",字段对应!$C$17,字段对应!$B$17&amp;";"&amp;IF(H20="","",字段对应!$B$15&amp;"="&amp;检测项信息!H20))&amp;"|")&amp;IF(Y20="",":",Y20&amp;":")&amp;IF(V20="是",字段对应!$C$18,字段对应!$B$18&amp;";"&amp;IF(H20="","",字段对应!$B$15&amp;"="&amp;检测项信息!H20)&amp;IF(AND(T20="",S20=""),"",";"&amp;字段对应!$B$20&amp;"="&amp;T20&amp;";"&amp;字段对应!$B$19&amp;"="&amp;S20))</f>
        <v>黑挡块:Dark|空气:Zero;Wl=1090|黑挡块:Measure;Wl=1090;totalcount=180;timeinterval=1</v>
      </c>
      <c r="F20" s="17">
        <v>1</v>
      </c>
      <c r="G20" s="17"/>
      <c r="H20" s="175">
        <v>1090</v>
      </c>
      <c r="I20" s="17" t="str">
        <f>VLOOKUP(J20,字段对应!$D$2:$E$8,2,0)</f>
        <v>Validation.ViewModel.DataStructure.FindMaxOffsetUVTestTool</v>
      </c>
      <c r="J20" s="17" t="s">
        <v>231</v>
      </c>
      <c r="K20" s="21"/>
      <c r="L20" s="21" t="s">
        <v>83</v>
      </c>
      <c r="M20" s="21" t="s">
        <v>88</v>
      </c>
      <c r="N20" s="21"/>
      <c r="O20" s="21"/>
      <c r="P20" s="21"/>
      <c r="Q20" s="21"/>
      <c r="R20" s="186" t="s">
        <v>376</v>
      </c>
      <c r="S20" s="21">
        <v>1</v>
      </c>
      <c r="T20" s="21">
        <v>180</v>
      </c>
      <c r="U20" s="21">
        <v>0.5</v>
      </c>
      <c r="V20" s="17" t="s">
        <v>81</v>
      </c>
      <c r="W20" s="17" t="s">
        <v>123</v>
      </c>
      <c r="X20" s="17" t="s">
        <v>124</v>
      </c>
      <c r="Y20" s="166" t="s">
        <v>241</v>
      </c>
      <c r="Z20" s="18">
        <f>VLOOKUP(A20,对应信息!$D$2:$E$10,2,0)</f>
        <v>8000</v>
      </c>
      <c r="AA20" s="150">
        <f t="shared" si="0"/>
        <v>8002</v>
      </c>
    </row>
    <row r="21" spans="1:27" ht="43.2" x14ac:dyDescent="0.25">
      <c r="A21" s="150" t="s">
        <v>151</v>
      </c>
      <c r="B21" s="17" t="s">
        <v>154</v>
      </c>
      <c r="C21" s="18"/>
      <c r="D21" s="41" t="str">
        <f>IF(L21="","",字段对应!$B$10&amp;"="&amp;VLOOKUP(L21,基础信息!$I$2:$J$6,2,0)&amp;";")&amp;IF(M21="","",字段对应!$B$11&amp;"="&amp;VLOOKUP(M21,基础信息!$K$2:$L$6,2,0)&amp;";")&amp;IF(N21="","",字段对应!$C$2&amp;"="&amp;N21&amp;","&amp;O21&amp;","&amp;P21&amp;";")&amp;IF(Q21="","",字段对应!$B$13&amp;"="&amp;Q21&amp;";")&amp;IF(R21="","",字段对应!$B$14&amp;"="&amp;R21&amp;";")&amp;IF(U21="","",字段对应!$B$22&amp;"="&amp;U21&amp;";")&amp;IF(K21="","",字段对应!$B$21&amp;"="&amp;VLOOKUP(K21,基础信息!$F$2:$G$4,2,0))</f>
        <v>PhotoMode=1;ScanSpeed=2;Slit1=2.0;ResponseTime=0.5;</v>
      </c>
      <c r="E21" s="175" t="str">
        <f>IF(W21="","",检测项信息!W21&amp;":"&amp;字段对应!$B$16&amp;"|")&amp;IF(X21="","",X21&amp;":"&amp;IF(V21="是",字段对应!$C$17,字段对应!$B$17&amp;";"&amp;IF(H21="","",字段对应!$B$15&amp;"="&amp;检测项信息!H21))&amp;"|")&amp;IF(Y21="",":",Y21&amp;":")&amp;IF(V21="是",字段对应!$C$18,字段对应!$B$18&amp;";"&amp;IF(H21="","",字段对应!$B$15&amp;"="&amp;检测项信息!H21)&amp;IF(AND(T21="",S21=""),"",";"&amp;字段对应!$B$20&amp;"="&amp;T21&amp;";"&amp;字段对应!$B$19&amp;"="&amp;S21))</f>
        <v>黑挡块:Dark|空气:Zero;Wl=200|空气:Measure;Wl=200;totalcount=180;timeinterval=1</v>
      </c>
      <c r="F21" s="17">
        <v>1</v>
      </c>
      <c r="G21" s="17"/>
      <c r="H21" s="175">
        <v>200</v>
      </c>
      <c r="I21" s="17" t="str">
        <f>VLOOKUP(J21,字段对应!$D$2:$E$8,2,0)</f>
        <v>Validation.ViewModel.DataStructure.FindMaxOffsetUVTestTool</v>
      </c>
      <c r="J21" s="17" t="s">
        <v>231</v>
      </c>
      <c r="K21" s="21"/>
      <c r="L21" s="21" t="s">
        <v>83</v>
      </c>
      <c r="M21" s="21" t="s">
        <v>88</v>
      </c>
      <c r="N21" s="21"/>
      <c r="O21" s="21"/>
      <c r="P21" s="21"/>
      <c r="Q21" s="21"/>
      <c r="R21" s="186" t="s">
        <v>376</v>
      </c>
      <c r="S21" s="21">
        <v>1</v>
      </c>
      <c r="T21" s="21">
        <v>180</v>
      </c>
      <c r="U21" s="21">
        <v>0.5</v>
      </c>
      <c r="V21" s="17" t="s">
        <v>81</v>
      </c>
      <c r="W21" s="17" t="s">
        <v>123</v>
      </c>
      <c r="X21" s="17" t="s">
        <v>124</v>
      </c>
      <c r="Y21" s="150" t="s">
        <v>124</v>
      </c>
      <c r="Z21" s="18">
        <f>VLOOKUP(A21,对应信息!$D$2:$E$10,2,0)</f>
        <v>8000</v>
      </c>
      <c r="AA21" s="150">
        <f t="shared" si="0"/>
        <v>8003</v>
      </c>
    </row>
    <row r="22" spans="1:27" ht="43.2" x14ac:dyDescent="0.25">
      <c r="A22" s="150" t="s">
        <v>151</v>
      </c>
      <c r="B22" s="17" t="s">
        <v>155</v>
      </c>
      <c r="C22" s="18"/>
      <c r="D22" s="41" t="str">
        <f>IF(L22="","",字段对应!$B$10&amp;"="&amp;VLOOKUP(L22,基础信息!$I$2:$J$6,2,0)&amp;";")&amp;IF(M22="","",字段对应!$B$11&amp;"="&amp;VLOOKUP(M22,基础信息!$K$2:$L$6,2,0)&amp;";")&amp;IF(N22="","",字段对应!$C$2&amp;"="&amp;N22&amp;","&amp;O22&amp;","&amp;P22&amp;";")&amp;IF(Q22="","",字段对应!$B$13&amp;"="&amp;Q22&amp;";")&amp;IF(R22="","",字段对应!$B$14&amp;"="&amp;R22&amp;";")&amp;IF(U22="","",字段对应!$B$22&amp;"="&amp;U22&amp;";")&amp;IF(K22="","",字段对应!$B$21&amp;"="&amp;VLOOKUP(K22,基础信息!$F$2:$G$4,2,0))</f>
        <v>PhotoMode=1;ScanSpeed=2;Slit1=2.0;ResponseTime=0.5;</v>
      </c>
      <c r="E22" s="175" t="str">
        <f>IF(W22="","",检测项信息!W22&amp;":"&amp;字段对应!$B$16&amp;"|")&amp;IF(X22="","",X22&amp;":"&amp;IF(V22="是",字段对应!$C$17,字段对应!$B$17&amp;";"&amp;IF(H22="","",字段对应!$B$15&amp;"="&amp;检测项信息!H22))&amp;"|")&amp;IF(Y22="",":",Y22&amp;":")&amp;IF(V22="是",字段对应!$C$18,字段对应!$B$18&amp;";"&amp;IF(H22="","",字段对应!$B$15&amp;"="&amp;检测项信息!H22)&amp;IF(AND(T22="",S22=""),"",";"&amp;字段对应!$B$20&amp;"="&amp;T22&amp;";"&amp;字段对应!$B$19&amp;"="&amp;S22))</f>
        <v>黑挡块:Dark|空气:Zero;Wl=200|黑挡块:Measure;Wl=200;totalcount=180;timeinterval=1</v>
      </c>
      <c r="F22" s="17">
        <v>1</v>
      </c>
      <c r="G22" s="17"/>
      <c r="H22" s="175">
        <v>200</v>
      </c>
      <c r="I22" s="17" t="str">
        <f>VLOOKUP(J22,字段对应!$D$2:$E$8,2,0)</f>
        <v>Validation.ViewModel.DataStructure.FindMaxOffsetUVTestTool</v>
      </c>
      <c r="J22" s="17" t="s">
        <v>231</v>
      </c>
      <c r="K22" s="21"/>
      <c r="L22" s="21" t="s">
        <v>83</v>
      </c>
      <c r="M22" s="21" t="s">
        <v>88</v>
      </c>
      <c r="N22" s="21"/>
      <c r="O22" s="21"/>
      <c r="P22" s="21"/>
      <c r="Q22" s="21"/>
      <c r="R22" s="186" t="s">
        <v>376</v>
      </c>
      <c r="S22" s="21">
        <v>1</v>
      </c>
      <c r="T22" s="21">
        <v>180</v>
      </c>
      <c r="U22" s="21">
        <v>0.5</v>
      </c>
      <c r="V22" s="17" t="s">
        <v>81</v>
      </c>
      <c r="W22" s="17" t="s">
        <v>123</v>
      </c>
      <c r="X22" s="17" t="s">
        <v>124</v>
      </c>
      <c r="Y22" s="166" t="s">
        <v>241</v>
      </c>
      <c r="Z22" s="18">
        <f>VLOOKUP(A22,对应信息!$D$2:$E$10,2,0)</f>
        <v>8000</v>
      </c>
      <c r="AA22" s="150">
        <f t="shared" si="0"/>
        <v>8004</v>
      </c>
    </row>
    <row r="23" spans="1:27" ht="39.6" customHeight="1" x14ac:dyDescent="0.25">
      <c r="A23" s="150" t="s">
        <v>131</v>
      </c>
      <c r="B23" s="29" t="s">
        <v>213</v>
      </c>
      <c r="C23" s="17"/>
      <c r="D23" s="41" t="str">
        <f>IF(L23="","",字段对应!$B$10&amp;"="&amp;VLOOKUP(L23,基础信息!$I$2:$J$6,2,0)&amp;";")&amp;IF(M23="","",字段对应!$B$11&amp;"="&amp;VLOOKUP(M23,基础信息!$K$2:$L$6,2,0)&amp;";")&amp;IF(N23="","",字段对应!$C$2&amp;"="&amp;N23&amp;","&amp;O23&amp;","&amp;P23&amp;";")&amp;IF(Q23="","",字段对应!$B$13&amp;"="&amp;Q23&amp;";")&amp;IF(R23="","",字段对应!$B$14&amp;"="&amp;R23&amp;";")&amp;IF(U23="","",字段对应!$B$22&amp;"="&amp;U23&amp;";")&amp;IF(K23="","",字段对应!$B$21&amp;"="&amp;VLOOKUP(K23,基础信息!$F$2:$G$4,2,0))</f>
        <v>PhotoMode=1;ScanSpeed=2;Slit1=2.0;</v>
      </c>
      <c r="E23" s="175" t="str">
        <f>IF(W23="","",检测项信息!W23&amp;":"&amp;字段对应!$B$16&amp;"|")&amp;IF(X23="","",X23&amp;":"&amp;IF(V23="是",字段对应!$C$17,字段对应!$B$17&amp;";"&amp;IF(H23="","",字段对应!$B$15&amp;"="&amp;检测项信息!H23))&amp;"|")&amp;IF(Y23="",":",Y23&amp;":")&amp;IF(V23="是",字段对应!$C$18,字段对应!$B$18&amp;";"&amp;IF(H23="","",字段对应!$B$15&amp;"="&amp;检测项信息!H23)&amp;IF(AND(T23="",S23=""),"",";"&amp;字段对应!$B$20&amp;"="&amp;T23&amp;";"&amp;字段对应!$B$19&amp;"="&amp;S23))</f>
        <v>黑挡块:Dark|蒸馏水:Zero;Wl=220|碘化钠溶液:Measure;Wl=220</v>
      </c>
      <c r="F23" s="17">
        <v>3</v>
      </c>
      <c r="G23" s="17">
        <v>1</v>
      </c>
      <c r="H23" s="175" t="s">
        <v>132</v>
      </c>
      <c r="I23" s="17" t="str">
        <f>VLOOKUP(J23,字段对应!$D$2:$E$8,2,0)</f>
        <v>Validation.ViewModel.DataStructure.WlPointsUVTestTool</v>
      </c>
      <c r="J23" s="17" t="s">
        <v>133</v>
      </c>
      <c r="K23" s="21"/>
      <c r="L23" s="21" t="s">
        <v>83</v>
      </c>
      <c r="M23" s="21" t="s">
        <v>88</v>
      </c>
      <c r="N23" s="21"/>
      <c r="O23" s="21"/>
      <c r="P23" s="21"/>
      <c r="Q23" s="21"/>
      <c r="R23" s="186" t="s">
        <v>376</v>
      </c>
      <c r="S23" s="21"/>
      <c r="T23" s="21"/>
      <c r="U23" s="21"/>
      <c r="V23" s="17" t="s">
        <v>81</v>
      </c>
      <c r="W23" s="17" t="s">
        <v>123</v>
      </c>
      <c r="X23" s="17" t="s">
        <v>134</v>
      </c>
      <c r="Y23" s="165" t="s">
        <v>103</v>
      </c>
      <c r="Z23" s="18">
        <f>VLOOKUP(A23,对应信息!$D$2:$E$10,2,0)</f>
        <v>3000</v>
      </c>
      <c r="AA23" s="150">
        <f t="shared" si="0"/>
        <v>3001</v>
      </c>
    </row>
    <row r="24" spans="1:27" ht="28.8" x14ac:dyDescent="0.25">
      <c r="A24" s="150" t="s">
        <v>131</v>
      </c>
      <c r="B24" s="29" t="s">
        <v>214</v>
      </c>
      <c r="C24" s="17"/>
      <c r="D24" s="41" t="str">
        <f>IF(L24="","",字段对应!$B$10&amp;"="&amp;VLOOKUP(L24,基础信息!$I$2:$J$6,2,0)&amp;";")&amp;IF(M24="","",字段对应!$B$11&amp;"="&amp;VLOOKUP(M24,基础信息!$K$2:$L$6,2,0)&amp;";")&amp;IF(N24="","",字段对应!$C$2&amp;"="&amp;N24&amp;","&amp;O24&amp;","&amp;P24&amp;";")&amp;IF(Q24="","",字段对应!$B$13&amp;"="&amp;Q24&amp;";")&amp;IF(R24="","",字段对应!$B$14&amp;"="&amp;R24&amp;";")&amp;IF(U24="","",字段对应!$B$22&amp;"="&amp;U24&amp;";")&amp;IF(K24="","",字段对应!$B$21&amp;"="&amp;VLOOKUP(K24,基础信息!$F$2:$G$4,2,0))</f>
        <v>PhotoMode=1;ScanSpeed=2;Slit1=2.0;</v>
      </c>
      <c r="E24" s="175" t="str">
        <f>IF(W24="","",检测项信息!W24&amp;":"&amp;字段对应!$B$16&amp;"|")&amp;IF(X24="","",X24&amp;":"&amp;IF(V24="是",字段对应!$C$17,字段对应!$B$17&amp;";"&amp;IF(H24="","",字段对应!$B$15&amp;"="&amp;检测项信息!H24))&amp;"|")&amp;IF(Y24="",":",Y24&amp;":")&amp;IF(V24="是",字段对应!$C$18,字段对应!$B$18&amp;";"&amp;IF(H24="","",字段对应!$B$15&amp;"="&amp;检测项信息!H24)&amp;IF(AND(T24="",S24=""),"",";"&amp;字段对应!$B$20&amp;"="&amp;T24&amp;";"&amp;字段对应!$B$19&amp;"="&amp;S24))</f>
        <v>黑挡块:Dark|蒸馏水:Zero;Wl=360|亚硝酸钠溶液:Measure;Wl=360</v>
      </c>
      <c r="F24" s="17">
        <v>3</v>
      </c>
      <c r="G24" s="17">
        <v>1</v>
      </c>
      <c r="H24" s="175" t="s">
        <v>135</v>
      </c>
      <c r="I24" s="17" t="str">
        <f>VLOOKUP(J24,字段对应!$D$2:$E$8,2,0)</f>
        <v>Validation.ViewModel.DataStructure.WlPointsUVTestTool</v>
      </c>
      <c r="J24" s="17" t="s">
        <v>133</v>
      </c>
      <c r="K24" s="21"/>
      <c r="L24" s="21" t="s">
        <v>83</v>
      </c>
      <c r="M24" s="21" t="s">
        <v>88</v>
      </c>
      <c r="N24" s="21"/>
      <c r="O24" s="21"/>
      <c r="P24" s="21"/>
      <c r="Q24" s="21"/>
      <c r="R24" s="187" t="s">
        <v>379</v>
      </c>
      <c r="S24" s="21"/>
      <c r="T24" s="21"/>
      <c r="U24" s="21"/>
      <c r="V24" s="17" t="s">
        <v>81</v>
      </c>
      <c r="W24" s="17" t="s">
        <v>123</v>
      </c>
      <c r="X24" s="17" t="s">
        <v>134</v>
      </c>
      <c r="Y24" s="165" t="s">
        <v>104</v>
      </c>
      <c r="Z24" s="18">
        <f>VLOOKUP(A24,对应信息!$D$2:$E$10,2,0)</f>
        <v>3000</v>
      </c>
      <c r="AA24" s="150">
        <f t="shared" si="0"/>
        <v>3002</v>
      </c>
    </row>
    <row r="25" spans="1:27" ht="57.6" x14ac:dyDescent="0.25">
      <c r="A25" s="149" t="s">
        <v>126</v>
      </c>
      <c r="B25" s="45" t="s">
        <v>129</v>
      </c>
      <c r="C25" s="45"/>
      <c r="D25" s="45" t="str">
        <f>IF(L25="","",字段对应!$B$10&amp;"="&amp;VLOOKUP(L25,基础信息!$I$2:$J$6,2,0)&amp;";")&amp;IF(M25="","",字段对应!$B$11&amp;"="&amp;VLOOKUP(M25,基础信息!$K$2:$L$6,2,0)&amp;";")&amp;IF(N25="","",字段对应!$C$2&amp;"="&amp;N25&amp;","&amp;O25&amp;","&amp;P25&amp;";")&amp;IF(Q25="","",字段对应!$B$13&amp;"="&amp;Q25&amp;";")&amp;IF(R25="","",字段对应!$B$14&amp;"="&amp;R25&amp;";")&amp;IF(U25="","",字段对应!$B$22&amp;"="&amp;U25&amp;";")&amp;IF(K25="","",字段对应!$B$21&amp;"="&amp;VLOOKUP(K25,基础信息!$F$2:$G$4,2,0))</f>
        <v>PhotoMode=1;ScanSpeed=2;Slit1=2.0;</v>
      </c>
      <c r="E25" s="175" t="str">
        <f>IF(W25="","",检测项信息!W25&amp;":"&amp;字段对应!$B$16&amp;"|")&amp;IF(X25="","",X25&amp;":"&amp;IF(V25="是",字段对应!$C$17,字段对应!$B$17&amp;";"&amp;IF(H25="","",字段对应!$B$15&amp;"="&amp;检测项信息!H25))&amp;"|")&amp;IF(Y25="",":",Y25&amp;":")&amp;IF(V25="是",字段对应!$C$18,字段对应!$B$18&amp;";"&amp;IF(H25="","",字段对应!$B$15&amp;"="&amp;检测项信息!H25)&amp;IF(AND(T25="",S25=""),"",";"&amp;字段对应!$B$20&amp;"="&amp;T25&amp;";"&amp;字段对应!$B$19&amp;"="&amp;S25))</f>
        <v>黑挡块:Dark|紫外分光光度计标准物质GBW(E)130066:Zero;Wl=350,313,257,235|紫外分光光度计标准物质GBW(E)130066:Measure;Wl=350,313,257,235</v>
      </c>
      <c r="F25" s="45">
        <v>3</v>
      </c>
      <c r="G25" s="45">
        <v>1</v>
      </c>
      <c r="H25" s="176" t="s">
        <v>370</v>
      </c>
      <c r="I25" s="45" t="str">
        <f>VLOOKUP(J25,字段对应!$D$2:$E$8,2,0)</f>
        <v>Validation.ViewModel.DataStructure.WlPointsAndAverageUVTestTool</v>
      </c>
      <c r="J25" s="45" t="s">
        <v>128</v>
      </c>
      <c r="K25" s="21"/>
      <c r="L25" s="21" t="s">
        <v>83</v>
      </c>
      <c r="M25" s="21" t="s">
        <v>88</v>
      </c>
      <c r="N25" s="21"/>
      <c r="O25" s="21"/>
      <c r="P25" s="21"/>
      <c r="Q25" s="21"/>
      <c r="R25" s="186" t="s">
        <v>376</v>
      </c>
      <c r="S25" s="21"/>
      <c r="T25" s="21"/>
      <c r="U25" s="21"/>
      <c r="V25" s="45" t="s">
        <v>81</v>
      </c>
      <c r="W25" s="45" t="s">
        <v>123</v>
      </c>
      <c r="X25" s="22" t="s">
        <v>130</v>
      </c>
      <c r="Y25" s="165" t="s">
        <v>129</v>
      </c>
      <c r="Z25" s="18">
        <f>VLOOKUP(A25,对应信息!$D$2:$E$10,2,0)</f>
        <v>2000</v>
      </c>
      <c r="AA25" s="150">
        <f t="shared" si="0"/>
        <v>2001</v>
      </c>
    </row>
    <row r="26" spans="1:27" ht="28.8" x14ac:dyDescent="0.25">
      <c r="A26" s="149" t="s">
        <v>126</v>
      </c>
      <c r="B26" s="17" t="s">
        <v>92</v>
      </c>
      <c r="C26" s="17"/>
      <c r="D26" s="41" t="str">
        <f>IF(L26="","",字段对应!$B$10&amp;"="&amp;VLOOKUP(L26,基础信息!$I$2:$J$6,2,0)&amp;";")&amp;IF(M26="","",字段对应!$B$11&amp;"="&amp;VLOOKUP(M26,基础信息!$K$2:$L$6,2,0)&amp;";")&amp;IF(N26="","",字段对应!$C$2&amp;"="&amp;N26&amp;","&amp;O26&amp;","&amp;P26&amp;";")&amp;IF(Q26="","",字段对应!$B$13&amp;"="&amp;Q26&amp;";")&amp;IF(R26="","",字段对应!$B$14&amp;"="&amp;R26&amp;";")&amp;IF(U26="","",字段对应!$B$22&amp;"="&amp;U26&amp;";")&amp;IF(K26="","",字段对应!$B$21&amp;"="&amp;VLOOKUP(K26,基础信息!$F$2:$G$4,2,0))</f>
        <v>PhotoMode=1;ScanSpeed=2;Slit1=2.0;</v>
      </c>
      <c r="E26" s="175" t="str">
        <f>IF(W26="","",检测项信息!W26&amp;":"&amp;字段对应!$B$16&amp;"|")&amp;IF(X26="","",X26&amp;":"&amp;IF(V26="是",字段对应!$C$17,字段对应!$B$17&amp;";"&amp;IF(H26="","",字段对应!$B$15&amp;"="&amp;检测项信息!H26))&amp;"|")&amp;IF(Y26="",":",Y26&amp;":")&amp;IF(V26="是",字段对应!$C$18,字段对应!$B$18&amp;";"&amp;IF(H26="","",字段对应!$B$15&amp;"="&amp;检测项信息!H26)&amp;IF(AND(T26="",S26=""),"",";"&amp;字段对应!$B$20&amp;"="&amp;T26&amp;";"&amp;字段对应!$B$19&amp;"="&amp;S26))</f>
        <v>黑挡块:Dark|空气:Zero;Wl=635,546,440|10%中性滤光片:Measure;Wl=635,546,440</v>
      </c>
      <c r="F26" s="17">
        <v>3</v>
      </c>
      <c r="G26" s="17">
        <v>1</v>
      </c>
      <c r="H26" s="175" t="s">
        <v>127</v>
      </c>
      <c r="I26" s="17" t="str">
        <f>VLOOKUP(J26,字段对应!$D$2:$E$8,2,0)</f>
        <v>Validation.ViewModel.DataStructure.WlPointsAndAverageUVTestTool</v>
      </c>
      <c r="J26" s="17" t="s">
        <v>128</v>
      </c>
      <c r="K26" s="21"/>
      <c r="L26" s="21" t="s">
        <v>83</v>
      </c>
      <c r="M26" s="21" t="s">
        <v>88</v>
      </c>
      <c r="N26" s="21"/>
      <c r="O26" s="21"/>
      <c r="P26" s="21"/>
      <c r="Q26" s="21"/>
      <c r="R26" s="186" t="s">
        <v>376</v>
      </c>
      <c r="S26" s="21"/>
      <c r="T26" s="21"/>
      <c r="U26" s="21"/>
      <c r="V26" s="17" t="s">
        <v>81</v>
      </c>
      <c r="W26" s="17" t="s">
        <v>123</v>
      </c>
      <c r="X26" s="17" t="s">
        <v>124</v>
      </c>
      <c r="Y26" s="165" t="s">
        <v>92</v>
      </c>
      <c r="Z26" s="18">
        <f>VLOOKUP(A26,对应信息!$D$2:$E$10,2,0)</f>
        <v>2000</v>
      </c>
      <c r="AA26" s="150">
        <f t="shared" si="0"/>
        <v>2002</v>
      </c>
    </row>
    <row r="27" spans="1:27" ht="28.8" x14ac:dyDescent="0.25">
      <c r="A27" s="149" t="s">
        <v>126</v>
      </c>
      <c r="B27" s="17" t="s">
        <v>96</v>
      </c>
      <c r="C27" s="17"/>
      <c r="D27" s="41" t="str">
        <f>IF(L27="","",字段对应!$B$10&amp;"="&amp;VLOOKUP(L27,基础信息!$I$2:$J$6,2,0)&amp;";")&amp;IF(M27="","",字段对应!$B$11&amp;"="&amp;VLOOKUP(M27,基础信息!$K$2:$L$6,2,0)&amp;";")&amp;IF(N27="","",字段对应!$C$2&amp;"="&amp;N27&amp;","&amp;O27&amp;","&amp;P27&amp;";")&amp;IF(Q27="","",字段对应!$B$13&amp;"="&amp;Q27&amp;";")&amp;IF(R27="","",字段对应!$B$14&amp;"="&amp;R27&amp;";")&amp;IF(U27="","",字段对应!$B$22&amp;"="&amp;U27&amp;";")&amp;IF(K27="","",字段对应!$B$21&amp;"="&amp;VLOOKUP(K27,基础信息!$F$2:$G$4,2,0))</f>
        <v>PhotoMode=1;ScanSpeed=2;Slit1=2.0;</v>
      </c>
      <c r="E27" s="175" t="str">
        <f>IF(W27="","",检测项信息!W27&amp;":"&amp;字段对应!$B$16&amp;"|")&amp;IF(X27="","",X27&amp;":"&amp;IF(V27="是",字段对应!$C$17,字段对应!$B$17&amp;";"&amp;IF(H27="","",字段对应!$B$15&amp;"="&amp;检测项信息!H27))&amp;"|")&amp;IF(Y27="",":",Y27&amp;":")&amp;IF(V27="是",字段对应!$C$18,字段对应!$B$18&amp;";"&amp;IF(H27="","",字段对应!$B$15&amp;"="&amp;检测项信息!H27)&amp;IF(AND(T27="",S27=""),"",";"&amp;字段对应!$B$20&amp;"="&amp;T27&amp;";"&amp;字段对应!$B$19&amp;"="&amp;S27))</f>
        <v>黑挡块:Dark|空气:Zero;Wl=635,546,440|20%中性滤光片:Measure;Wl=635,546,440</v>
      </c>
      <c r="F27" s="17">
        <v>3</v>
      </c>
      <c r="G27" s="17">
        <v>1</v>
      </c>
      <c r="H27" s="175" t="s">
        <v>127</v>
      </c>
      <c r="I27" s="17" t="str">
        <f>VLOOKUP(J27,字段对应!$D$2:$E$8,2,0)</f>
        <v>Validation.ViewModel.DataStructure.WlPointsAndAverageUVTestTool</v>
      </c>
      <c r="J27" s="17" t="s">
        <v>128</v>
      </c>
      <c r="K27" s="21"/>
      <c r="L27" s="21" t="s">
        <v>83</v>
      </c>
      <c r="M27" s="21" t="s">
        <v>88</v>
      </c>
      <c r="N27" s="21"/>
      <c r="O27" s="21"/>
      <c r="P27" s="21"/>
      <c r="Q27" s="21"/>
      <c r="R27" s="186" t="s">
        <v>376</v>
      </c>
      <c r="S27" s="21"/>
      <c r="T27" s="21"/>
      <c r="U27" s="21"/>
      <c r="V27" s="17" t="s">
        <v>81</v>
      </c>
      <c r="W27" s="17" t="s">
        <v>123</v>
      </c>
      <c r="X27" s="17" t="s">
        <v>124</v>
      </c>
      <c r="Y27" s="165" t="s">
        <v>96</v>
      </c>
      <c r="Z27" s="18">
        <f>VLOOKUP(A27,对应信息!$D$2:$E$10,2,0)</f>
        <v>2000</v>
      </c>
      <c r="AA27" s="150">
        <f t="shared" si="0"/>
        <v>2003</v>
      </c>
    </row>
    <row r="28" spans="1:27" ht="40.200000000000003" customHeight="1" x14ac:dyDescent="0.25">
      <c r="A28" s="149" t="s">
        <v>126</v>
      </c>
      <c r="B28" s="17" t="s">
        <v>99</v>
      </c>
      <c r="C28" s="17"/>
      <c r="D28" s="41" t="str">
        <f>IF(L28="","",字段对应!$B$10&amp;"="&amp;VLOOKUP(L28,基础信息!$I$2:$J$6,2,0)&amp;";")&amp;IF(M28="","",字段对应!$B$11&amp;"="&amp;VLOOKUP(M28,基础信息!$K$2:$L$6,2,0)&amp;";")&amp;IF(N28="","",字段对应!$C$2&amp;"="&amp;N28&amp;","&amp;O28&amp;","&amp;P28&amp;";")&amp;IF(Q28="","",字段对应!$B$13&amp;"="&amp;Q28&amp;";")&amp;IF(R28="","",字段对应!$B$14&amp;"="&amp;R28&amp;";")&amp;IF(U28="","",字段对应!$B$22&amp;"="&amp;U28&amp;";")&amp;IF(K28="","",字段对应!$B$21&amp;"="&amp;VLOOKUP(K28,基础信息!$F$2:$G$4,2,0))</f>
        <v>PhotoMode=1;ScanSpeed=2;Slit1=2.0;</v>
      </c>
      <c r="E28" s="175" t="str">
        <f>IF(W28="","",检测项信息!W28&amp;":"&amp;字段对应!$B$16&amp;"|")&amp;IF(X28="","",X28&amp;":"&amp;IF(V28="是",字段对应!$C$17,字段对应!$B$17&amp;";"&amp;IF(H28="","",字段对应!$B$15&amp;"="&amp;检测项信息!H28))&amp;"|")&amp;IF(Y28="",":",Y28&amp;":")&amp;IF(V28="是",字段对应!$C$18,字段对应!$B$18&amp;";"&amp;IF(H28="","",字段对应!$B$15&amp;"="&amp;检测项信息!H28)&amp;IF(AND(T28="",S28=""),"",";"&amp;字段对应!$B$20&amp;"="&amp;T28&amp;";"&amp;字段对应!$B$19&amp;"="&amp;S28))</f>
        <v>黑挡块:Dark|空气:Zero;Wl=635,546,440|30%中性滤光片:Measure;Wl=635,546,440</v>
      </c>
      <c r="F28" s="17">
        <v>3</v>
      </c>
      <c r="G28" s="17">
        <v>1</v>
      </c>
      <c r="H28" s="175" t="s">
        <v>127</v>
      </c>
      <c r="I28" s="17" t="str">
        <f>VLOOKUP(J28,字段对应!$D$2:$E$8,2,0)</f>
        <v>Validation.ViewModel.DataStructure.WlPointsAndAverageUVTestTool</v>
      </c>
      <c r="J28" s="17" t="s">
        <v>128</v>
      </c>
      <c r="K28" s="21"/>
      <c r="L28" s="21" t="s">
        <v>83</v>
      </c>
      <c r="M28" s="21" t="s">
        <v>88</v>
      </c>
      <c r="N28" s="21"/>
      <c r="O28" s="21"/>
      <c r="P28" s="21"/>
      <c r="Q28" s="21"/>
      <c r="R28" s="186" t="s">
        <v>376</v>
      </c>
      <c r="S28" s="21"/>
      <c r="T28" s="21"/>
      <c r="U28" s="21"/>
      <c r="V28" s="17" t="s">
        <v>81</v>
      </c>
      <c r="W28" s="17" t="s">
        <v>123</v>
      </c>
      <c r="X28" s="17" t="s">
        <v>124</v>
      </c>
      <c r="Y28" s="165" t="s">
        <v>99</v>
      </c>
      <c r="Z28" s="18">
        <f>VLOOKUP(A28,对应信息!$D$2:$E$10,2,0)</f>
        <v>2000</v>
      </c>
      <c r="AA28" s="150">
        <f t="shared" si="0"/>
        <v>2004</v>
      </c>
    </row>
    <row r="29" spans="1:27" ht="43.2" x14ac:dyDescent="0.25">
      <c r="A29" s="150" t="s">
        <v>156</v>
      </c>
      <c r="B29" s="29" t="s">
        <v>224</v>
      </c>
      <c r="C29" s="17" t="s">
        <v>157</v>
      </c>
      <c r="D29" s="41" t="str">
        <f>IF(L29="","",字段对应!$B$10&amp;"="&amp;VLOOKUP(L29,基础信息!$I$2:$J$6,2,0)&amp;";")&amp;IF(M29="","",字段对应!$B$11&amp;"="&amp;VLOOKUP(M29,基础信息!$K$2:$L$6,2,0)&amp;";")&amp;IF(N29="","",字段对应!$C$2&amp;"="&amp;N29&amp;","&amp;O29&amp;","&amp;P29&amp;";")&amp;IF(Q29="","",字段对应!$B$13&amp;"="&amp;Q29&amp;";")&amp;IF(R29="","",字段对应!$B$14&amp;"="&amp;R29&amp;";")&amp;IF(U29="","",字段对应!$B$22&amp;"="&amp;U29&amp;";")&amp;IF(K29="","",字段对应!$B$21&amp;"="&amp;VLOOKUP(K29,基础信息!$F$2:$G$4,2,0))</f>
        <v>PhotoMode=1;ScanSpeed=2;Slit1=2.0;ResponseTime=0.5;</v>
      </c>
      <c r="E29" s="175" t="str">
        <f>IF(W29="","",检测项信息!W29&amp;":"&amp;字段对应!$B$16&amp;"|")&amp;IF(X29="","",X29&amp;":"&amp;IF(V29="是",字段对应!$C$17,字段对应!$B$17&amp;";"&amp;IF(H29="","",字段对应!$B$15&amp;"="&amp;检测项信息!H29))&amp;"|")&amp;IF(Y29="",":",Y29&amp;":")&amp;IF(V29="是",字段对应!$C$18,字段对应!$B$18&amp;";"&amp;IF(H29="","",字段对应!$B$15&amp;"="&amp;检测项信息!H29)&amp;IF(AND(T29="",S29=""),"",";"&amp;字段对应!$B$20&amp;"="&amp;T29&amp;";"&amp;字段对应!$B$19&amp;"="&amp;S29))</f>
        <v>黑挡块:Dark|空气:Zero;Wl=500|空气:Measure;Wl=500;totalcount=3600;timeinterval=1</v>
      </c>
      <c r="F29" s="17">
        <v>1</v>
      </c>
      <c r="G29" s="17"/>
      <c r="H29" s="175">
        <v>500</v>
      </c>
      <c r="I29" s="17" t="str">
        <f>VLOOKUP(J29,字段对应!$D$2:$E$8,2,0)</f>
        <v>Validation.ViewModel.DataStructure.FindMaxOffsetUVTestTool</v>
      </c>
      <c r="J29" s="17" t="s">
        <v>231</v>
      </c>
      <c r="K29" s="21"/>
      <c r="L29" s="21" t="s">
        <v>83</v>
      </c>
      <c r="M29" s="21" t="s">
        <v>88</v>
      </c>
      <c r="N29" s="21"/>
      <c r="O29" s="21"/>
      <c r="P29" s="21"/>
      <c r="Q29" s="21"/>
      <c r="R29" s="186" t="s">
        <v>376</v>
      </c>
      <c r="S29" s="21">
        <v>1</v>
      </c>
      <c r="T29" s="21">
        <v>3600</v>
      </c>
      <c r="U29" s="21">
        <v>0.5</v>
      </c>
      <c r="V29" s="17" t="s">
        <v>81</v>
      </c>
      <c r="W29" s="17" t="s">
        <v>123</v>
      </c>
      <c r="X29" s="17" t="s">
        <v>124</v>
      </c>
      <c r="Y29" s="150" t="s">
        <v>124</v>
      </c>
      <c r="Z29" s="18">
        <f>VLOOKUP(A29,对应信息!$D$2:$E$10,2,0)</f>
        <v>9000</v>
      </c>
      <c r="AA29" s="150">
        <f t="shared" si="0"/>
        <v>9001</v>
      </c>
    </row>
    <row r="35" spans="5:5" x14ac:dyDescent="0.25">
      <c r="E35" s="180"/>
    </row>
  </sheetData>
  <phoneticPr fontId="15" type="noConversion"/>
  <dataValidations count="7">
    <dataValidation type="list" allowBlank="1" showInputMessage="1" showErrorMessage="1" sqref="M25:M1048576">
      <formula1>$L$2:$L$6</formula1>
    </dataValidation>
    <dataValidation type="list" allowBlank="1" showInputMessage="1" showErrorMessage="1" sqref="L25:L1048576">
      <formula1>$J$2:$J$6</formula1>
    </dataValidation>
    <dataValidation type="list" allowBlank="1" showInputMessage="1" showErrorMessage="1" sqref="P25:P1048576">
      <formula1>$N$2:$N$9</formula1>
    </dataValidation>
    <dataValidation type="list" allowBlank="1" showInputMessage="1" showErrorMessage="1" sqref="Q25:Q1048576">
      <formula1>$R$2:$R$8</formula1>
    </dataValidation>
    <dataValidation type="list" allowBlank="1" showInputMessage="1" showErrorMessage="1" sqref="R30:R1048576">
      <formula1>$Q$2:$Q$6</formula1>
    </dataValidation>
    <dataValidation type="list" allowBlank="1" showInputMessage="1" showErrorMessage="1" sqref="V25:V1048576">
      <formula1>$F$2:$F$3</formula1>
    </dataValidation>
    <dataValidation type="list" allowBlank="1" showInputMessage="1" showErrorMessage="1" sqref="K25:K1048576">
      <formula1>$G$2:$G$4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基础信息!$K$2:$K$6</xm:f>
          </x14:formula1>
          <xm:sqref>M1:M24</xm:sqref>
        </x14:dataValidation>
        <x14:dataValidation type="list" allowBlank="1" showInputMessage="1" showErrorMessage="1">
          <x14:formula1>
            <xm:f>字段对应!$D$2:$D$8</xm:f>
          </x14:formula1>
          <xm:sqref>J1:J1048576</xm:sqref>
        </x14:dataValidation>
        <x14:dataValidation type="list" allowBlank="1" showInputMessage="1" showErrorMessage="1">
          <x14:formula1>
            <xm:f>基础信息!$I$2:$I$6</xm:f>
          </x14:formula1>
          <xm:sqref>L1:L24</xm:sqref>
        </x14:dataValidation>
        <x14:dataValidation type="list" allowBlank="1" showInputMessage="1" showErrorMessage="1">
          <x14:formula1>
            <xm:f>基础信息!$M$2:$M$8</xm:f>
          </x14:formula1>
          <xm:sqref>P1:P24</xm:sqref>
        </x14:dataValidation>
        <x14:dataValidation type="list" allowBlank="1" showInputMessage="1" showErrorMessage="1">
          <x14:formula1>
            <xm:f>基础信息!$Q$2:$Q$7</xm:f>
          </x14:formula1>
          <xm:sqref>Q1:Q24</xm:sqref>
        </x14:dataValidation>
        <x14:dataValidation type="list" allowBlank="1" showInputMessage="1" showErrorMessage="1">
          <x14:formula1>
            <xm:f>基础信息!$P$2:$P$6</xm:f>
          </x14:formula1>
          <xm:sqref>R1:R29</xm:sqref>
        </x14:dataValidation>
        <x14:dataValidation type="list" allowBlank="1" showInputMessage="1" showErrorMessage="1">
          <x14:formula1>
            <xm:f>基础信息!$E$2:$E$3</xm:f>
          </x14:formula1>
          <xm:sqref>V1:V24</xm:sqref>
        </x14:dataValidation>
        <x14:dataValidation type="list" allowBlank="1" showInputMessage="1" showErrorMessage="1">
          <x14:formula1>
            <xm:f>基础信息!$F$2:$F$4</xm:f>
          </x14:formula1>
          <xm:sqref>K1:K24</xm:sqref>
        </x14:dataValidation>
        <x14:dataValidation type="list" allowBlank="1" showInputMessage="1" showErrorMessage="1">
          <x14:formula1>
            <xm:f>基础信息!$R$2:$R$5</xm:f>
          </x14:formula1>
          <xm:sqref>U1:U1048576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23"/>
  <sheetViews>
    <sheetView workbookViewId="0">
      <selection activeCell="G19" sqref="G19"/>
    </sheetView>
  </sheetViews>
  <sheetFormatPr defaultRowHeight="14.4" x14ac:dyDescent="0.25"/>
  <cols>
    <col min="1" max="1" width="35.33203125" customWidth="1"/>
    <col min="2" max="2" width="27.44140625" customWidth="1"/>
    <col min="3" max="3" width="15.77734375" customWidth="1"/>
    <col min="4" max="4" width="20.21875" customWidth="1"/>
  </cols>
  <sheetData>
    <row r="1" spans="1:4" x14ac:dyDescent="0.25">
      <c r="A1" s="31" t="s">
        <v>276</v>
      </c>
      <c r="B1" s="31" t="s">
        <v>275</v>
      </c>
      <c r="C1" s="31" t="s">
        <v>66</v>
      </c>
      <c r="D1" s="58" t="s">
        <v>260</v>
      </c>
    </row>
    <row r="2" spans="1:4" x14ac:dyDescent="0.25">
      <c r="A2" s="276" t="s">
        <v>126</v>
      </c>
      <c r="B2" s="278" t="s">
        <v>265</v>
      </c>
      <c r="C2" s="99" t="s">
        <v>206</v>
      </c>
      <c r="D2" s="99">
        <v>23.35</v>
      </c>
    </row>
    <row r="3" spans="1:4" x14ac:dyDescent="0.25">
      <c r="A3" s="276"/>
      <c r="B3" s="278"/>
      <c r="C3" s="99" t="s">
        <v>207</v>
      </c>
      <c r="D3" s="99">
        <v>51.54</v>
      </c>
    </row>
    <row r="4" spans="1:4" ht="12" customHeight="1" x14ac:dyDescent="0.25">
      <c r="A4" s="276"/>
      <c r="B4" s="278"/>
      <c r="C4" s="9" t="s">
        <v>208</v>
      </c>
      <c r="D4" s="99">
        <v>14.09</v>
      </c>
    </row>
    <row r="5" spans="1:4" x14ac:dyDescent="0.25">
      <c r="A5" s="276"/>
      <c r="B5" s="278"/>
      <c r="C5" s="9" t="s">
        <v>209</v>
      </c>
      <c r="D5" s="99">
        <v>18.53</v>
      </c>
    </row>
    <row r="6" spans="1:4" x14ac:dyDescent="0.25">
      <c r="A6" s="276"/>
      <c r="B6" s="279" t="s">
        <v>266</v>
      </c>
      <c r="C6" s="99" t="s">
        <v>203</v>
      </c>
      <c r="D6" s="99">
        <v>13.34</v>
      </c>
    </row>
    <row r="7" spans="1:4" x14ac:dyDescent="0.25">
      <c r="A7" s="276"/>
      <c r="B7" s="279"/>
      <c r="C7" s="99" t="s">
        <v>204</v>
      </c>
      <c r="D7" s="99">
        <v>15.91</v>
      </c>
    </row>
    <row r="8" spans="1:4" x14ac:dyDescent="0.25">
      <c r="A8" s="276"/>
      <c r="B8" s="279"/>
      <c r="C8" s="99" t="s">
        <v>205</v>
      </c>
      <c r="D8" s="99">
        <v>15.34</v>
      </c>
    </row>
    <row r="9" spans="1:4" x14ac:dyDescent="0.25">
      <c r="A9" s="276"/>
      <c r="B9" s="279" t="s">
        <v>267</v>
      </c>
      <c r="C9" s="99" t="s">
        <v>203</v>
      </c>
      <c r="D9" s="99">
        <v>22.78</v>
      </c>
    </row>
    <row r="10" spans="1:4" x14ac:dyDescent="0.25">
      <c r="A10" s="276"/>
      <c r="B10" s="279"/>
      <c r="C10" s="99" t="s">
        <v>204</v>
      </c>
      <c r="D10" s="99">
        <v>29.12</v>
      </c>
    </row>
    <row r="11" spans="1:4" x14ac:dyDescent="0.25">
      <c r="A11" s="276"/>
      <c r="B11" s="279"/>
      <c r="C11" s="99" t="s">
        <v>205</v>
      </c>
      <c r="D11" s="99">
        <v>29.76</v>
      </c>
    </row>
    <row r="12" spans="1:4" x14ac:dyDescent="0.25">
      <c r="A12" s="276"/>
      <c r="B12" s="279" t="s">
        <v>268</v>
      </c>
      <c r="C12" s="99" t="s">
        <v>203</v>
      </c>
      <c r="D12" s="99">
        <v>34.020000000000003</v>
      </c>
    </row>
    <row r="13" spans="1:4" x14ac:dyDescent="0.25">
      <c r="A13" s="276"/>
      <c r="B13" s="279"/>
      <c r="C13" s="99" t="s">
        <v>204</v>
      </c>
      <c r="D13" s="99">
        <v>40.5</v>
      </c>
    </row>
    <row r="14" spans="1:4" x14ac:dyDescent="0.25">
      <c r="A14" s="277"/>
      <c r="B14" s="279"/>
      <c r="C14" s="99" t="s">
        <v>205</v>
      </c>
      <c r="D14" s="99">
        <v>41</v>
      </c>
    </row>
    <row r="15" spans="1:4" x14ac:dyDescent="0.25">
      <c r="A15" s="275" t="s">
        <v>277</v>
      </c>
      <c r="B15" s="98" t="s">
        <v>16</v>
      </c>
      <c r="C15" s="10" t="s">
        <v>255</v>
      </c>
      <c r="D15" s="10"/>
    </row>
    <row r="16" spans="1:4" x14ac:dyDescent="0.25">
      <c r="A16" s="276"/>
      <c r="B16" s="272" t="s">
        <v>245</v>
      </c>
      <c r="C16" s="10" t="s">
        <v>248</v>
      </c>
      <c r="D16" s="10"/>
    </row>
    <row r="17" spans="1:4" x14ac:dyDescent="0.25">
      <c r="A17" s="276"/>
      <c r="B17" s="273"/>
      <c r="C17" s="10" t="s">
        <v>249</v>
      </c>
      <c r="D17" s="10"/>
    </row>
    <row r="18" spans="1:4" x14ac:dyDescent="0.25">
      <c r="A18" s="276"/>
      <c r="B18" s="273"/>
      <c r="C18" s="10" t="s">
        <v>250</v>
      </c>
      <c r="D18" s="10"/>
    </row>
    <row r="19" spans="1:4" x14ac:dyDescent="0.25">
      <c r="A19" s="276"/>
      <c r="B19" s="273"/>
      <c r="C19" s="10" t="s">
        <v>278</v>
      </c>
      <c r="D19" s="10"/>
    </row>
    <row r="20" spans="1:4" x14ac:dyDescent="0.25">
      <c r="A20" s="276"/>
      <c r="B20" s="273"/>
      <c r="C20" s="10" t="s">
        <v>251</v>
      </c>
      <c r="D20" s="10"/>
    </row>
    <row r="21" spans="1:4" x14ac:dyDescent="0.25">
      <c r="A21" s="277"/>
      <c r="B21" s="274"/>
      <c r="C21" s="10" t="s">
        <v>252</v>
      </c>
      <c r="D21" s="10"/>
    </row>
    <row r="23" spans="1:4" x14ac:dyDescent="0.25">
      <c r="A23" s="271" t="s">
        <v>369</v>
      </c>
      <c r="B23" s="271"/>
      <c r="C23" s="271"/>
      <c r="D23" s="271"/>
    </row>
  </sheetData>
  <mergeCells count="8">
    <mergeCell ref="A23:D23"/>
    <mergeCell ref="B16:B21"/>
    <mergeCell ref="A15:A21"/>
    <mergeCell ref="A2:A14"/>
    <mergeCell ref="B2:B5"/>
    <mergeCell ref="B6:B8"/>
    <mergeCell ref="B9:B11"/>
    <mergeCell ref="B12:B14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22"/>
  <sheetViews>
    <sheetView workbookViewId="0">
      <selection activeCell="E20" sqref="E20"/>
    </sheetView>
  </sheetViews>
  <sheetFormatPr defaultColWidth="9" defaultRowHeight="14.4" x14ac:dyDescent="0.25"/>
  <cols>
    <col min="1" max="2" width="16.109375" customWidth="1"/>
    <col min="4" max="4" width="13.88671875" customWidth="1"/>
    <col min="5" max="5" width="69.88671875" customWidth="1"/>
  </cols>
  <sheetData>
    <row r="1" spans="1:5" x14ac:dyDescent="0.25">
      <c r="A1" s="7" t="s">
        <v>159</v>
      </c>
      <c r="B1" s="7" t="s">
        <v>160</v>
      </c>
      <c r="D1" s="7" t="s">
        <v>161</v>
      </c>
      <c r="E1" s="7" t="s">
        <v>162</v>
      </c>
    </row>
    <row r="2" spans="1:5" x14ac:dyDescent="0.25">
      <c r="A2" s="4" t="s">
        <v>112</v>
      </c>
      <c r="B2" s="4" t="s">
        <v>163</v>
      </c>
      <c r="C2" s="4" t="s">
        <v>234</v>
      </c>
      <c r="D2" s="12" t="s">
        <v>122</v>
      </c>
      <c r="E2" s="4" t="s">
        <v>164</v>
      </c>
    </row>
    <row r="3" spans="1:5" x14ac:dyDescent="0.25">
      <c r="A3" s="4" t="s">
        <v>113</v>
      </c>
      <c r="B3" s="4" t="s">
        <v>165</v>
      </c>
      <c r="D3" s="4" t="s">
        <v>128</v>
      </c>
      <c r="E3" s="4" t="s">
        <v>166</v>
      </c>
    </row>
    <row r="4" spans="1:5" x14ac:dyDescent="0.25">
      <c r="A4" s="4" t="s">
        <v>73</v>
      </c>
      <c r="B4" s="4" t="s">
        <v>167</v>
      </c>
      <c r="D4" s="12" t="s">
        <v>133</v>
      </c>
      <c r="E4" s="4" t="s">
        <v>168</v>
      </c>
    </row>
    <row r="5" spans="1:5" x14ac:dyDescent="0.25">
      <c r="A5" s="4" t="s">
        <v>109</v>
      </c>
      <c r="B5" s="4" t="s">
        <v>169</v>
      </c>
      <c r="D5" s="12" t="s">
        <v>232</v>
      </c>
      <c r="E5" s="4" t="s">
        <v>170</v>
      </c>
    </row>
    <row r="6" spans="1:5" x14ac:dyDescent="0.25">
      <c r="A6" s="4" t="s">
        <v>107</v>
      </c>
      <c r="B6" s="4" t="s">
        <v>171</v>
      </c>
      <c r="D6" s="12" t="s">
        <v>141</v>
      </c>
      <c r="E6" s="4" t="s">
        <v>172</v>
      </c>
    </row>
    <row r="7" spans="1:5" x14ac:dyDescent="0.25">
      <c r="A7" s="4" t="s">
        <v>108</v>
      </c>
      <c r="B7" s="4" t="s">
        <v>173</v>
      </c>
      <c r="D7" s="38" t="s">
        <v>233</v>
      </c>
      <c r="E7" s="4" t="s">
        <v>174</v>
      </c>
    </row>
    <row r="8" spans="1:5" x14ac:dyDescent="0.25">
      <c r="A8" s="4" t="s">
        <v>175</v>
      </c>
      <c r="B8" s="4" t="s">
        <v>176</v>
      </c>
      <c r="D8" s="12" t="s">
        <v>158</v>
      </c>
      <c r="E8" s="4" t="s">
        <v>177</v>
      </c>
    </row>
    <row r="9" spans="1:5" x14ac:dyDescent="0.25">
      <c r="A9" s="4" t="s">
        <v>106</v>
      </c>
      <c r="B9" s="4" t="s">
        <v>178</v>
      </c>
    </row>
    <row r="10" spans="1:5" x14ac:dyDescent="0.25">
      <c r="A10" s="13" t="s">
        <v>111</v>
      </c>
      <c r="B10" s="13" t="s">
        <v>179</v>
      </c>
    </row>
    <row r="11" spans="1:5" x14ac:dyDescent="0.25">
      <c r="A11" s="13" t="s">
        <v>71</v>
      </c>
      <c r="B11" s="13" t="s">
        <v>180</v>
      </c>
    </row>
    <row r="12" spans="1:5" x14ac:dyDescent="0.25">
      <c r="A12" s="13" t="s">
        <v>114</v>
      </c>
      <c r="B12" s="13" t="s">
        <v>181</v>
      </c>
    </row>
    <row r="13" spans="1:5" x14ac:dyDescent="0.25">
      <c r="A13" s="13" t="s">
        <v>76</v>
      </c>
      <c r="B13" s="13" t="s">
        <v>182</v>
      </c>
    </row>
    <row r="14" spans="1:5" x14ac:dyDescent="0.25">
      <c r="A14" s="13" t="s">
        <v>33</v>
      </c>
      <c r="B14" s="13" t="s">
        <v>183</v>
      </c>
    </row>
    <row r="15" spans="1:5" x14ac:dyDescent="0.25">
      <c r="A15" s="13" t="s">
        <v>66</v>
      </c>
      <c r="B15" s="13" t="s">
        <v>184</v>
      </c>
    </row>
    <row r="16" spans="1:5" x14ac:dyDescent="0.25">
      <c r="A16" s="4" t="s">
        <v>185</v>
      </c>
      <c r="B16" s="13" t="s">
        <v>186</v>
      </c>
    </row>
    <row r="17" spans="1:4" x14ac:dyDescent="0.25">
      <c r="A17" s="4" t="s">
        <v>187</v>
      </c>
      <c r="B17" s="13" t="s">
        <v>188</v>
      </c>
      <c r="C17" s="4" t="s">
        <v>189</v>
      </c>
    </row>
    <row r="18" spans="1:4" x14ac:dyDescent="0.25">
      <c r="A18" s="13" t="s">
        <v>190</v>
      </c>
      <c r="B18" s="4" t="s">
        <v>191</v>
      </c>
      <c r="C18" s="4" t="s">
        <v>192</v>
      </c>
    </row>
    <row r="19" spans="1:4" x14ac:dyDescent="0.25">
      <c r="A19" s="4" t="s">
        <v>115</v>
      </c>
      <c r="B19" s="33" t="s">
        <v>227</v>
      </c>
    </row>
    <row r="20" spans="1:4" x14ac:dyDescent="0.25">
      <c r="A20" s="4" t="s">
        <v>116</v>
      </c>
      <c r="B20" s="4" t="s">
        <v>226</v>
      </c>
      <c r="D20" s="4"/>
    </row>
    <row r="21" spans="1:4" x14ac:dyDescent="0.25">
      <c r="A21" s="13" t="s">
        <v>239</v>
      </c>
      <c r="B21" s="33" t="s">
        <v>240</v>
      </c>
    </row>
    <row r="22" spans="1:4" x14ac:dyDescent="0.25">
      <c r="A22" s="13" t="s">
        <v>382</v>
      </c>
      <c r="B22" s="188" t="s">
        <v>383</v>
      </c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N23"/>
  <sheetViews>
    <sheetView tabSelected="1" workbookViewId="0">
      <selection activeCell="F24" sqref="F24"/>
    </sheetView>
  </sheetViews>
  <sheetFormatPr defaultColWidth="9" defaultRowHeight="14.4" x14ac:dyDescent="0.25"/>
  <cols>
    <col min="1" max="1" width="11.88671875" style="59" customWidth="1"/>
    <col min="2" max="2" width="9.44140625" style="59" customWidth="1"/>
    <col min="3" max="3" width="10.44140625" style="59" customWidth="1"/>
    <col min="4" max="4" width="10.5546875" style="59" customWidth="1"/>
    <col min="5" max="5" width="9.21875" style="59" customWidth="1"/>
    <col min="6" max="6" width="9" style="64" customWidth="1"/>
    <col min="7" max="7" width="8.5546875" style="170" customWidth="1"/>
    <col min="8" max="8" width="9.6640625" style="64" customWidth="1"/>
    <col min="9" max="9" width="12.88671875" style="59" customWidth="1"/>
    <col min="10" max="10" width="10.44140625" style="59" customWidth="1"/>
    <col min="11" max="11" width="10.77734375" style="59" customWidth="1"/>
    <col min="12" max="12" width="10.5546875" style="67" customWidth="1"/>
    <col min="13" max="13" width="9" style="59"/>
    <col min="14" max="14" width="12.77734375" style="59" customWidth="1"/>
    <col min="15" max="16384" width="9" style="59"/>
  </cols>
  <sheetData>
    <row r="1" spans="1:14" ht="28.8" x14ac:dyDescent="0.25">
      <c r="A1" s="31" t="s">
        <v>215</v>
      </c>
      <c r="B1" s="31" t="s">
        <v>269</v>
      </c>
      <c r="C1" s="280" t="s">
        <v>270</v>
      </c>
      <c r="D1" s="281"/>
      <c r="E1" s="282"/>
      <c r="F1" s="58" t="s">
        <v>193</v>
      </c>
      <c r="G1" s="167" t="s">
        <v>194</v>
      </c>
      <c r="H1" s="58" t="s">
        <v>271</v>
      </c>
      <c r="I1" s="31" t="s">
        <v>195</v>
      </c>
      <c r="J1" s="66" t="s">
        <v>196</v>
      </c>
      <c r="K1" s="66" t="s">
        <v>197</v>
      </c>
    </row>
    <row r="2" spans="1:14" ht="15" customHeight="1" x14ac:dyDescent="0.25">
      <c r="A2" s="148" t="s">
        <v>243</v>
      </c>
      <c r="B2" s="10" t="s">
        <v>125</v>
      </c>
      <c r="C2" s="11"/>
      <c r="D2" s="11"/>
      <c r="E2" s="11"/>
      <c r="F2" s="68" t="str">
        <f>IFERROR(AVERAGE(C2:E2),"")</f>
        <v/>
      </c>
      <c r="G2" s="168" t="str">
        <f>IFERROR(F2-B2,"")</f>
        <v/>
      </c>
      <c r="H2" s="68">
        <f t="shared" ref="H2:H8" si="0">MAX(C2:E2)-MIN(C2:E2)</f>
        <v>0</v>
      </c>
      <c r="I2" s="68">
        <v>0.1</v>
      </c>
      <c r="J2" s="69">
        <v>0.1</v>
      </c>
      <c r="K2" s="34" t="str">
        <f>IFERROR(IF(AND(ROUND(ABS(G2),4)&lt;=ROUND(ABS(I2),4),ROUND(H2,4)&lt;=ROUND(J2,4)),"合格","不合格"),"")</f>
        <v/>
      </c>
      <c r="L2" s="70"/>
    </row>
    <row r="3" spans="1:14" ht="15" customHeight="1" x14ac:dyDescent="0.25">
      <c r="A3" s="148" t="s">
        <v>243</v>
      </c>
      <c r="B3" s="10" t="s">
        <v>258</v>
      </c>
      <c r="C3" s="11"/>
      <c r="D3" s="11"/>
      <c r="E3" s="11"/>
      <c r="F3" s="68" t="str">
        <f t="shared" ref="F3:F14" si="1">IFERROR(AVERAGE(C3:E3),"")</f>
        <v/>
      </c>
      <c r="G3" s="168" t="str">
        <f t="shared" ref="G3:G14" si="2">IFERROR(F3-B3,"")</f>
        <v/>
      </c>
      <c r="H3" s="68">
        <f>MAX(C3:E3)-MIN(C3:E3)</f>
        <v>0</v>
      </c>
      <c r="I3" s="68">
        <v>0.3</v>
      </c>
      <c r="J3" s="69">
        <v>0.1</v>
      </c>
      <c r="K3" s="34" t="str">
        <f t="shared" ref="K3:K14" si="3">IFERROR(IF(AND(ROUND(ABS(G3),4)&lt;=ROUND(ABS(I3),4),ROUND(H3,4)&lt;=ROUND(J3,4)),"合格","不合格"),"")</f>
        <v/>
      </c>
      <c r="L3" s="70"/>
    </row>
    <row r="4" spans="1:14" ht="15" customHeight="1" x14ac:dyDescent="0.25">
      <c r="A4" s="53" t="s">
        <v>16</v>
      </c>
      <c r="B4" s="10" t="str">
        <f>标准值!C15</f>
        <v>807.4</v>
      </c>
      <c r="C4" s="11"/>
      <c r="D4" s="11"/>
      <c r="E4" s="11"/>
      <c r="F4" s="68" t="str">
        <f t="shared" si="1"/>
        <v/>
      </c>
      <c r="G4" s="168" t="str">
        <f t="shared" si="2"/>
        <v/>
      </c>
      <c r="H4" s="68">
        <f>MAX(C4:E4)-MIN(C4:E4)</f>
        <v>0</v>
      </c>
      <c r="I4" s="68">
        <v>0.3</v>
      </c>
      <c r="J4" s="69">
        <v>0.1</v>
      </c>
      <c r="K4" s="34" t="str">
        <f t="shared" si="3"/>
        <v/>
      </c>
      <c r="L4" s="71"/>
      <c r="M4" s="71"/>
      <c r="N4" s="72"/>
    </row>
    <row r="5" spans="1:14" x14ac:dyDescent="0.25">
      <c r="A5" s="287" t="s">
        <v>238</v>
      </c>
      <c r="B5" s="10" t="s">
        <v>198</v>
      </c>
      <c r="C5" s="11"/>
      <c r="D5" s="11"/>
      <c r="E5" s="11"/>
      <c r="F5" s="68" t="str">
        <f t="shared" si="1"/>
        <v/>
      </c>
      <c r="G5" s="168" t="str">
        <f t="shared" si="2"/>
        <v/>
      </c>
      <c r="H5" s="68">
        <f t="shared" si="0"/>
        <v>0</v>
      </c>
      <c r="I5" s="68">
        <v>0.3</v>
      </c>
      <c r="J5" s="69">
        <v>0.1</v>
      </c>
      <c r="K5" s="34" t="str">
        <f t="shared" si="3"/>
        <v/>
      </c>
      <c r="L5" s="70"/>
    </row>
    <row r="6" spans="1:14" x14ac:dyDescent="0.25">
      <c r="A6" s="288"/>
      <c r="B6" s="10" t="s">
        <v>256</v>
      </c>
      <c r="C6" s="11"/>
      <c r="D6" s="11"/>
      <c r="E6" s="11"/>
      <c r="F6" s="68" t="str">
        <f t="shared" si="1"/>
        <v/>
      </c>
      <c r="G6" s="168" t="str">
        <f t="shared" si="2"/>
        <v/>
      </c>
      <c r="H6" s="68">
        <f t="shared" si="0"/>
        <v>0</v>
      </c>
      <c r="I6" s="68">
        <v>0.3</v>
      </c>
      <c r="J6" s="69">
        <v>0.1</v>
      </c>
      <c r="K6" s="34" t="str">
        <f t="shared" si="3"/>
        <v/>
      </c>
      <c r="L6" s="70"/>
    </row>
    <row r="7" spans="1:14" x14ac:dyDescent="0.25">
      <c r="A7" s="288"/>
      <c r="B7" s="10" t="s">
        <v>199</v>
      </c>
      <c r="C7" s="11"/>
      <c r="D7" s="11"/>
      <c r="E7" s="11"/>
      <c r="F7" s="68" t="str">
        <f t="shared" si="1"/>
        <v/>
      </c>
      <c r="G7" s="168" t="str">
        <f t="shared" si="2"/>
        <v/>
      </c>
      <c r="H7" s="68">
        <f t="shared" si="0"/>
        <v>0</v>
      </c>
      <c r="I7" s="68">
        <v>0.3</v>
      </c>
      <c r="J7" s="69">
        <v>0.1</v>
      </c>
      <c r="K7" s="34" t="str">
        <f t="shared" si="3"/>
        <v/>
      </c>
      <c r="L7" s="70"/>
    </row>
    <row r="8" spans="1:14" ht="15" customHeight="1" x14ac:dyDescent="0.25">
      <c r="A8" s="289"/>
      <c r="B8" s="10" t="s">
        <v>433</v>
      </c>
      <c r="C8" s="11"/>
      <c r="D8" s="11"/>
      <c r="E8" s="11"/>
      <c r="F8" s="68" t="str">
        <f t="shared" si="1"/>
        <v/>
      </c>
      <c r="G8" s="168" t="str">
        <f t="shared" si="2"/>
        <v/>
      </c>
      <c r="H8" s="68">
        <f t="shared" si="0"/>
        <v>0</v>
      </c>
      <c r="I8" s="68">
        <v>0.3</v>
      </c>
      <c r="J8" s="69">
        <v>0.1</v>
      </c>
      <c r="K8" s="34" t="str">
        <f t="shared" si="3"/>
        <v/>
      </c>
      <c r="L8" s="70"/>
    </row>
    <row r="9" spans="1:14" ht="12" customHeight="1" x14ac:dyDescent="0.25">
      <c r="A9" s="272" t="s">
        <v>247</v>
      </c>
      <c r="B9" s="10" t="str">
        <f>标准值!C16</f>
        <v>640.79</v>
      </c>
      <c r="C9" s="11"/>
      <c r="D9" s="11"/>
      <c r="E9" s="11"/>
      <c r="F9" s="68" t="str">
        <f t="shared" si="1"/>
        <v/>
      </c>
      <c r="G9" s="168" t="str">
        <f t="shared" si="2"/>
        <v/>
      </c>
      <c r="H9" s="68">
        <f t="shared" ref="H9:H14" si="4">MAX(C9:E9)-MIN(C9:E9)</f>
        <v>0</v>
      </c>
      <c r="I9" s="68">
        <v>0.3</v>
      </c>
      <c r="J9" s="69">
        <v>0.1</v>
      </c>
      <c r="K9" s="34" t="str">
        <f t="shared" si="3"/>
        <v/>
      </c>
      <c r="L9" s="70"/>
    </row>
    <row r="10" spans="1:14" x14ac:dyDescent="0.25">
      <c r="A10" s="273"/>
      <c r="B10" s="10" t="str">
        <f>标准值!C17</f>
        <v>536.86</v>
      </c>
      <c r="C10" s="11"/>
      <c r="D10" s="11"/>
      <c r="E10" s="11"/>
      <c r="F10" s="68" t="str">
        <f t="shared" si="1"/>
        <v/>
      </c>
      <c r="G10" s="168" t="str">
        <f t="shared" si="2"/>
        <v/>
      </c>
      <c r="H10" s="68">
        <f t="shared" si="4"/>
        <v>0</v>
      </c>
      <c r="I10" s="68">
        <v>0.3</v>
      </c>
      <c r="J10" s="69">
        <v>0.1</v>
      </c>
      <c r="K10" s="34" t="str">
        <f t="shared" si="3"/>
        <v/>
      </c>
      <c r="L10" s="70"/>
    </row>
    <row r="11" spans="1:14" x14ac:dyDescent="0.25">
      <c r="A11" s="273"/>
      <c r="B11" s="10" t="str">
        <f>标准值!C18</f>
        <v>416.57</v>
      </c>
      <c r="C11" s="11"/>
      <c r="D11" s="11"/>
      <c r="E11" s="11"/>
      <c r="F11" s="68" t="str">
        <f t="shared" si="1"/>
        <v/>
      </c>
      <c r="G11" s="168" t="str">
        <f t="shared" si="2"/>
        <v/>
      </c>
      <c r="H11" s="68">
        <f t="shared" si="4"/>
        <v>0</v>
      </c>
      <c r="I11" s="68">
        <v>0.3</v>
      </c>
      <c r="J11" s="69">
        <v>0.1</v>
      </c>
      <c r="K11" s="34" t="str">
        <f t="shared" si="3"/>
        <v/>
      </c>
      <c r="L11" s="70"/>
    </row>
    <row r="12" spans="1:14" ht="15" customHeight="1" x14ac:dyDescent="0.25">
      <c r="A12" s="273"/>
      <c r="B12" s="10" t="str">
        <f>标准值!C19</f>
        <v>361.12</v>
      </c>
      <c r="C12" s="11"/>
      <c r="D12" s="11"/>
      <c r="E12" s="11"/>
      <c r="F12" s="68" t="str">
        <f t="shared" si="1"/>
        <v/>
      </c>
      <c r="G12" s="168" t="str">
        <f t="shared" si="2"/>
        <v/>
      </c>
      <c r="H12" s="68">
        <f t="shared" si="4"/>
        <v>0</v>
      </c>
      <c r="I12" s="68">
        <v>0.3</v>
      </c>
      <c r="J12" s="69">
        <v>0.1</v>
      </c>
      <c r="K12" s="34" t="str">
        <f t="shared" si="3"/>
        <v/>
      </c>
      <c r="L12" s="70"/>
    </row>
    <row r="13" spans="1:14" ht="15" customHeight="1" x14ac:dyDescent="0.25">
      <c r="A13" s="273"/>
      <c r="B13" s="10" t="str">
        <f>标准值!C20</f>
        <v>287.52</v>
      </c>
      <c r="C13" s="11"/>
      <c r="D13" s="11"/>
      <c r="E13" s="11"/>
      <c r="F13" s="68" t="str">
        <f t="shared" si="1"/>
        <v/>
      </c>
      <c r="G13" s="168" t="str">
        <f t="shared" si="2"/>
        <v/>
      </c>
      <c r="H13" s="68">
        <f t="shared" si="4"/>
        <v>0</v>
      </c>
      <c r="I13" s="68">
        <v>0.3</v>
      </c>
      <c r="J13" s="69">
        <v>0.1</v>
      </c>
      <c r="K13" s="34" t="str">
        <f t="shared" si="3"/>
        <v/>
      </c>
      <c r="L13" s="70"/>
    </row>
    <row r="14" spans="1:14" ht="15" customHeight="1" x14ac:dyDescent="0.25">
      <c r="A14" s="274"/>
      <c r="B14" s="10" t="str">
        <f>标准值!C21</f>
        <v>241.12</v>
      </c>
      <c r="C14" s="11"/>
      <c r="D14" s="11"/>
      <c r="E14" s="11"/>
      <c r="F14" s="68" t="str">
        <f t="shared" si="1"/>
        <v/>
      </c>
      <c r="G14" s="168" t="str">
        <f t="shared" si="2"/>
        <v/>
      </c>
      <c r="H14" s="68">
        <f t="shared" si="4"/>
        <v>0</v>
      </c>
      <c r="I14" s="68">
        <v>0.3</v>
      </c>
      <c r="J14" s="69">
        <v>0.1</v>
      </c>
      <c r="K14" s="34" t="str">
        <f t="shared" si="3"/>
        <v/>
      </c>
      <c r="L14" s="70"/>
    </row>
    <row r="15" spans="1:14" ht="15" customHeight="1" x14ac:dyDescent="0.25">
      <c r="A15" s="52"/>
      <c r="B15" s="50"/>
      <c r="C15" s="51"/>
      <c r="D15" s="73"/>
      <c r="E15" s="73"/>
      <c r="F15" s="73"/>
      <c r="G15" s="169"/>
      <c r="H15" s="73"/>
      <c r="I15" s="73"/>
      <c r="J15" s="74"/>
      <c r="K15" s="75"/>
      <c r="L15" s="70"/>
    </row>
    <row r="16" spans="1:14" x14ac:dyDescent="0.25">
      <c r="L16" s="59"/>
    </row>
    <row r="17" spans="12:12" x14ac:dyDescent="0.25">
      <c r="L17" s="59"/>
    </row>
    <row r="18" spans="12:12" x14ac:dyDescent="0.25">
      <c r="L18" s="59"/>
    </row>
    <row r="19" spans="12:12" x14ac:dyDescent="0.25">
      <c r="L19" s="59"/>
    </row>
    <row r="20" spans="12:12" x14ac:dyDescent="0.25">
      <c r="L20" s="59"/>
    </row>
    <row r="21" spans="12:12" x14ac:dyDescent="0.25">
      <c r="L21" s="59"/>
    </row>
    <row r="22" spans="12:12" x14ac:dyDescent="0.25">
      <c r="L22" s="59"/>
    </row>
    <row r="23" spans="12:12" x14ac:dyDescent="0.25">
      <c r="L23" s="59"/>
    </row>
  </sheetData>
  <mergeCells count="3">
    <mergeCell ref="C1:E1"/>
    <mergeCell ref="A5:A8"/>
    <mergeCell ref="A9:A14"/>
  </mergeCells>
  <phoneticPr fontId="15" type="noConversion"/>
  <conditionalFormatting sqref="K2:K14">
    <cfRule type="cellIs" dxfId="18" priority="1" operator="equal">
      <formula>"不合格"</formula>
    </cfRule>
    <cfRule type="cellIs" dxfId="17" priority="7" operator="equal">
      <formula>"不合格"</formula>
    </cfRule>
  </conditionalFormatting>
  <conditionalFormatting sqref="K15">
    <cfRule type="cellIs" dxfId="16" priority="5" operator="equal">
      <formula>"不合格"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33"/>
  <sheetViews>
    <sheetView workbookViewId="0">
      <selection activeCell="S14" sqref="S14"/>
    </sheetView>
  </sheetViews>
  <sheetFormatPr defaultColWidth="9" defaultRowHeight="14.4" x14ac:dyDescent="0.25"/>
  <cols>
    <col min="1" max="1" width="23.6640625" style="59" customWidth="1"/>
    <col min="2" max="2" width="7.21875" style="63" customWidth="1"/>
    <col min="3" max="3" width="7.33203125" style="64" customWidth="1"/>
    <col min="4" max="6" width="8.33203125" style="65" customWidth="1"/>
    <col min="7" max="7" width="7.88671875" style="64" customWidth="1"/>
    <col min="8" max="8" width="7.88671875" style="170" customWidth="1"/>
    <col min="9" max="9" width="7.77734375" style="64" customWidth="1"/>
    <col min="10" max="10" width="9.109375" style="59" customWidth="1"/>
    <col min="11" max="11" width="8.88671875" style="59" customWidth="1"/>
    <col min="12" max="12" width="10" style="59" customWidth="1"/>
    <col min="13" max="13" width="9" style="59"/>
    <col min="14" max="14" width="14.33203125" style="59" customWidth="1"/>
    <col min="15" max="20" width="9" style="59"/>
    <col min="21" max="21" width="16.109375" style="59" customWidth="1"/>
    <col min="22" max="22" width="13.88671875" style="59" customWidth="1"/>
    <col min="23" max="16384" width="9" style="59"/>
  </cols>
  <sheetData>
    <row r="1" spans="1:12" ht="43.2" x14ac:dyDescent="0.25">
      <c r="A1" s="31" t="s">
        <v>215</v>
      </c>
      <c r="B1" s="37" t="s">
        <v>372</v>
      </c>
      <c r="C1" s="58" t="s">
        <v>260</v>
      </c>
      <c r="D1" s="283" t="s">
        <v>261</v>
      </c>
      <c r="E1" s="284"/>
      <c r="F1" s="285"/>
      <c r="G1" s="58" t="s">
        <v>262</v>
      </c>
      <c r="H1" s="167" t="s">
        <v>263</v>
      </c>
      <c r="I1" s="58" t="s">
        <v>264</v>
      </c>
      <c r="J1" s="31" t="s">
        <v>201</v>
      </c>
      <c r="K1" s="31" t="s">
        <v>202</v>
      </c>
      <c r="L1" s="31" t="s">
        <v>197</v>
      </c>
    </row>
    <row r="2" spans="1:12" ht="15" customHeight="1" x14ac:dyDescent="0.25">
      <c r="A2" s="278" t="s">
        <v>265</v>
      </c>
      <c r="B2" s="54">
        <v>350</v>
      </c>
      <c r="C2" s="54">
        <f>标准值!D2</f>
        <v>23.35</v>
      </c>
      <c r="D2" s="43"/>
      <c r="E2" s="43"/>
      <c r="F2" s="43"/>
      <c r="G2" s="60" t="str">
        <f>IFERROR(AVERAGE(D2:F2),"")</f>
        <v/>
      </c>
      <c r="H2" s="171" t="str">
        <f>IFERROR(G2-C2,"")</f>
        <v/>
      </c>
      <c r="I2" s="60">
        <f>MAX(D2:F2)-MIN(D2:F2)</f>
        <v>0</v>
      </c>
      <c r="J2" s="61">
        <v>0.3</v>
      </c>
      <c r="K2" s="61">
        <v>0.1</v>
      </c>
      <c r="L2" s="34" t="str">
        <f>IFERROR(IF(AND(ROUND(ABS(H2),4)&lt;=ROUND(ABS(J2),4),ROUND(I2,4)&lt;=ROUND(K2,4)),"合格","不合格"),"")</f>
        <v/>
      </c>
    </row>
    <row r="3" spans="1:12" x14ac:dyDescent="0.25">
      <c r="A3" s="278"/>
      <c r="B3" s="54">
        <v>313</v>
      </c>
      <c r="C3" s="54">
        <f>标准值!D3</f>
        <v>51.54</v>
      </c>
      <c r="D3" s="43"/>
      <c r="E3" s="43"/>
      <c r="F3" s="43"/>
      <c r="G3" s="60" t="str">
        <f t="shared" ref="G3:G13" si="0">IFERROR(AVERAGE(D3:F3),"")</f>
        <v/>
      </c>
      <c r="H3" s="171" t="str">
        <f t="shared" ref="H3:H13" si="1">IFERROR(G3-C3,"")</f>
        <v/>
      </c>
      <c r="I3" s="60">
        <f>MAX(D3:F3)-MIN(D3:F3)</f>
        <v>0</v>
      </c>
      <c r="J3" s="61">
        <v>0.3</v>
      </c>
      <c r="K3" s="61">
        <v>0.1</v>
      </c>
      <c r="L3" s="34" t="str">
        <f t="shared" ref="L3:L14" si="2">IFERROR(IF(AND(ROUND(ABS(H3),4)&lt;=ROUND(ABS(J3),4),ROUND(I3,4)&lt;=ROUND(K3,4)),"合格","不合格"),"")</f>
        <v/>
      </c>
    </row>
    <row r="4" spans="1:12" x14ac:dyDescent="0.25">
      <c r="A4" s="278"/>
      <c r="B4" s="9">
        <v>257</v>
      </c>
      <c r="C4" s="54">
        <f>标准值!D4</f>
        <v>14.09</v>
      </c>
      <c r="D4" s="43"/>
      <c r="E4" s="43"/>
      <c r="F4" s="43"/>
      <c r="G4" s="60" t="str">
        <f t="shared" si="0"/>
        <v/>
      </c>
      <c r="H4" s="171" t="str">
        <f t="shared" si="1"/>
        <v/>
      </c>
      <c r="I4" s="60">
        <f>MAX(D4:F4)-MIN(D4:F4)</f>
        <v>0</v>
      </c>
      <c r="J4" s="61">
        <v>0.3</v>
      </c>
      <c r="K4" s="61">
        <v>0.1</v>
      </c>
      <c r="L4" s="34" t="str">
        <f t="shared" si="2"/>
        <v/>
      </c>
    </row>
    <row r="5" spans="1:12" x14ac:dyDescent="0.25">
      <c r="A5" s="278"/>
      <c r="B5" s="9">
        <v>235</v>
      </c>
      <c r="C5" s="54">
        <f>标准值!D5</f>
        <v>18.53</v>
      </c>
      <c r="D5" s="43"/>
      <c r="E5" s="43"/>
      <c r="F5" s="43"/>
      <c r="G5" s="60" t="str">
        <f t="shared" si="0"/>
        <v/>
      </c>
      <c r="H5" s="171" t="str">
        <f t="shared" si="1"/>
        <v/>
      </c>
      <c r="I5" s="60">
        <f>MAX(D5:F5)-MIN(D5:F5)</f>
        <v>0</v>
      </c>
      <c r="J5" s="61">
        <v>0.3</v>
      </c>
      <c r="K5" s="61">
        <v>0.1</v>
      </c>
      <c r="L5" s="34" t="str">
        <f t="shared" si="2"/>
        <v/>
      </c>
    </row>
    <row r="6" spans="1:12" x14ac:dyDescent="0.25">
      <c r="A6" s="279" t="s">
        <v>266</v>
      </c>
      <c r="B6" s="54">
        <v>635</v>
      </c>
      <c r="C6" s="54">
        <f>标准值!D6</f>
        <v>13.34</v>
      </c>
      <c r="D6" s="43"/>
      <c r="E6" s="43"/>
      <c r="F6" s="43"/>
      <c r="G6" s="60" t="str">
        <f t="shared" si="0"/>
        <v/>
      </c>
      <c r="H6" s="171" t="str">
        <f t="shared" si="1"/>
        <v/>
      </c>
      <c r="I6" s="60">
        <f>MAX(D6:F6)-MIN(D6:F6)</f>
        <v>0</v>
      </c>
      <c r="J6" s="61">
        <v>0.3</v>
      </c>
      <c r="K6" s="61">
        <v>0.1</v>
      </c>
      <c r="L6" s="34" t="str">
        <f t="shared" si="2"/>
        <v/>
      </c>
    </row>
    <row r="7" spans="1:12" ht="15" customHeight="1" x14ac:dyDescent="0.25">
      <c r="A7" s="279"/>
      <c r="B7" s="54">
        <v>546</v>
      </c>
      <c r="C7" s="54">
        <f>标准值!D7</f>
        <v>15.91</v>
      </c>
      <c r="D7" s="43"/>
      <c r="E7" s="43"/>
      <c r="F7" s="43"/>
      <c r="G7" s="60" t="str">
        <f t="shared" si="0"/>
        <v/>
      </c>
      <c r="H7" s="171" t="str">
        <f t="shared" si="1"/>
        <v/>
      </c>
      <c r="I7" s="60">
        <f t="shared" ref="I7:I14" si="3">MAX(D7:F7)-MIN(D7:F7)</f>
        <v>0</v>
      </c>
      <c r="J7" s="61">
        <v>0.3</v>
      </c>
      <c r="K7" s="61">
        <v>0.1</v>
      </c>
      <c r="L7" s="34" t="str">
        <f t="shared" si="2"/>
        <v/>
      </c>
    </row>
    <row r="8" spans="1:12" ht="15" customHeight="1" x14ac:dyDescent="0.25">
      <c r="A8" s="279"/>
      <c r="B8" s="54">
        <v>440</v>
      </c>
      <c r="C8" s="54">
        <f>标准值!D8</f>
        <v>15.34</v>
      </c>
      <c r="D8" s="43"/>
      <c r="E8" s="43"/>
      <c r="F8" s="43"/>
      <c r="G8" s="60" t="str">
        <f t="shared" si="0"/>
        <v/>
      </c>
      <c r="H8" s="171" t="str">
        <f t="shared" si="1"/>
        <v/>
      </c>
      <c r="I8" s="60">
        <f t="shared" si="3"/>
        <v>0</v>
      </c>
      <c r="J8" s="61">
        <v>0.3</v>
      </c>
      <c r="K8" s="61">
        <v>0.1</v>
      </c>
      <c r="L8" s="34" t="str">
        <f t="shared" si="2"/>
        <v/>
      </c>
    </row>
    <row r="9" spans="1:12" ht="15" customHeight="1" x14ac:dyDescent="0.25">
      <c r="A9" s="279" t="s">
        <v>267</v>
      </c>
      <c r="B9" s="54">
        <v>635</v>
      </c>
      <c r="C9" s="54">
        <f>标准值!D9</f>
        <v>22.78</v>
      </c>
      <c r="D9" s="43"/>
      <c r="E9" s="43"/>
      <c r="F9" s="43"/>
      <c r="G9" s="60" t="str">
        <f t="shared" si="0"/>
        <v/>
      </c>
      <c r="H9" s="171" t="str">
        <f t="shared" si="1"/>
        <v/>
      </c>
      <c r="I9" s="60">
        <f t="shared" si="3"/>
        <v>0</v>
      </c>
      <c r="J9" s="61">
        <v>0.3</v>
      </c>
      <c r="K9" s="61">
        <v>0.1</v>
      </c>
      <c r="L9" s="34" t="str">
        <f t="shared" si="2"/>
        <v/>
      </c>
    </row>
    <row r="10" spans="1:12" ht="15" customHeight="1" x14ac:dyDescent="0.25">
      <c r="A10" s="279"/>
      <c r="B10" s="54">
        <v>546</v>
      </c>
      <c r="C10" s="54">
        <f>标准值!D10</f>
        <v>29.12</v>
      </c>
      <c r="D10" s="43"/>
      <c r="E10" s="43"/>
      <c r="F10" s="43"/>
      <c r="G10" s="60" t="str">
        <f t="shared" si="0"/>
        <v/>
      </c>
      <c r="H10" s="171" t="str">
        <f t="shared" si="1"/>
        <v/>
      </c>
      <c r="I10" s="60">
        <f t="shared" si="3"/>
        <v>0</v>
      </c>
      <c r="J10" s="61">
        <v>0.3</v>
      </c>
      <c r="K10" s="61">
        <v>0.1</v>
      </c>
      <c r="L10" s="34" t="str">
        <f t="shared" si="2"/>
        <v/>
      </c>
    </row>
    <row r="11" spans="1:12" x14ac:dyDescent="0.25">
      <c r="A11" s="279"/>
      <c r="B11" s="54">
        <v>440</v>
      </c>
      <c r="C11" s="54">
        <f>标准值!D11</f>
        <v>29.76</v>
      </c>
      <c r="D11" s="43"/>
      <c r="E11" s="43"/>
      <c r="F11" s="43"/>
      <c r="G11" s="60" t="str">
        <f t="shared" si="0"/>
        <v/>
      </c>
      <c r="H11" s="171" t="str">
        <f t="shared" si="1"/>
        <v/>
      </c>
      <c r="I11" s="60">
        <f t="shared" si="3"/>
        <v>0</v>
      </c>
      <c r="J11" s="61">
        <v>0.3</v>
      </c>
      <c r="K11" s="61">
        <v>0.1</v>
      </c>
      <c r="L11" s="34" t="str">
        <f t="shared" si="2"/>
        <v/>
      </c>
    </row>
    <row r="12" spans="1:12" x14ac:dyDescent="0.25">
      <c r="A12" s="279" t="s">
        <v>268</v>
      </c>
      <c r="B12" s="54">
        <v>635</v>
      </c>
      <c r="C12" s="54">
        <f>标准值!D12</f>
        <v>34.020000000000003</v>
      </c>
      <c r="D12" s="43"/>
      <c r="E12" s="43"/>
      <c r="F12" s="43"/>
      <c r="G12" s="60" t="str">
        <f t="shared" si="0"/>
        <v/>
      </c>
      <c r="H12" s="171" t="str">
        <f t="shared" si="1"/>
        <v/>
      </c>
      <c r="I12" s="60">
        <f t="shared" si="3"/>
        <v>0</v>
      </c>
      <c r="J12" s="61">
        <v>0.3</v>
      </c>
      <c r="K12" s="61">
        <v>0.1</v>
      </c>
      <c r="L12" s="34" t="str">
        <f t="shared" si="2"/>
        <v/>
      </c>
    </row>
    <row r="13" spans="1:12" x14ac:dyDescent="0.25">
      <c r="A13" s="279"/>
      <c r="B13" s="54">
        <v>546</v>
      </c>
      <c r="C13" s="54">
        <f>标准值!D13</f>
        <v>40.5</v>
      </c>
      <c r="D13" s="43"/>
      <c r="E13" s="43"/>
      <c r="F13" s="43"/>
      <c r="G13" s="60" t="str">
        <f t="shared" si="0"/>
        <v/>
      </c>
      <c r="H13" s="171" t="str">
        <f t="shared" si="1"/>
        <v/>
      </c>
      <c r="I13" s="60">
        <f t="shared" si="3"/>
        <v>0</v>
      </c>
      <c r="J13" s="61">
        <v>0.3</v>
      </c>
      <c r="K13" s="61">
        <v>0.1</v>
      </c>
      <c r="L13" s="34" t="str">
        <f t="shared" si="2"/>
        <v/>
      </c>
    </row>
    <row r="14" spans="1:12" x14ac:dyDescent="0.25">
      <c r="A14" s="279"/>
      <c r="B14" s="54">
        <v>440</v>
      </c>
      <c r="C14" s="54">
        <f>标准值!D14</f>
        <v>41</v>
      </c>
      <c r="D14" s="43"/>
      <c r="E14" s="43"/>
      <c r="F14" s="43"/>
      <c r="G14" s="60" t="str">
        <f>IFERROR(AVERAGE(D14:F14),"")</f>
        <v/>
      </c>
      <c r="H14" s="171" t="str">
        <f>IFERROR(G14-C14,"")</f>
        <v/>
      </c>
      <c r="I14" s="60">
        <f t="shared" si="3"/>
        <v>0</v>
      </c>
      <c r="J14" s="61">
        <v>0.3</v>
      </c>
      <c r="K14" s="61">
        <v>0.1</v>
      </c>
      <c r="L14" s="34" t="str">
        <f t="shared" si="2"/>
        <v/>
      </c>
    </row>
    <row r="18" ht="15" customHeight="1" x14ac:dyDescent="0.25"/>
    <row r="19" ht="15" customHeight="1" x14ac:dyDescent="0.25"/>
    <row r="25" ht="15" customHeight="1" x14ac:dyDescent="0.25"/>
    <row r="26" ht="15" customHeight="1" x14ac:dyDescent="0.25"/>
    <row r="28" ht="15" customHeight="1" x14ac:dyDescent="0.25"/>
    <row r="31" ht="15" customHeight="1" x14ac:dyDescent="0.25"/>
    <row r="32" ht="15" customHeight="1" x14ac:dyDescent="0.25"/>
    <row r="33" ht="15" customHeight="1" x14ac:dyDescent="0.25"/>
  </sheetData>
  <mergeCells count="5">
    <mergeCell ref="D1:F1"/>
    <mergeCell ref="A6:A8"/>
    <mergeCell ref="A9:A11"/>
    <mergeCell ref="A12:A14"/>
    <mergeCell ref="A2:A5"/>
  </mergeCells>
  <phoneticPr fontId="15" type="noConversion"/>
  <conditionalFormatting sqref="L2:L14">
    <cfRule type="cellIs" dxfId="15" priority="2" operator="equal">
      <formula>"不合格"</formula>
    </cfRule>
  </conditionalFormatting>
  <conditionalFormatting sqref="L2:L14">
    <cfRule type="cellIs" dxfId="14" priority="1" operator="equal">
      <formula>"不合格"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G5"/>
  <sheetViews>
    <sheetView workbookViewId="0">
      <selection activeCell="I19" sqref="I19"/>
    </sheetView>
  </sheetViews>
  <sheetFormatPr defaultColWidth="9" defaultRowHeight="14.4" x14ac:dyDescent="0.25"/>
  <cols>
    <col min="1" max="1" width="18.33203125" style="59" bestFit="1" customWidth="1"/>
    <col min="2" max="2" width="9" style="59"/>
    <col min="3" max="3" width="9.33203125" style="77" bestFit="1" customWidth="1"/>
    <col min="4" max="5" width="9" style="77"/>
    <col min="6" max="6" width="16.6640625" style="64" customWidth="1"/>
    <col min="7" max="7" width="9.33203125" style="59" customWidth="1"/>
    <col min="8" max="16384" width="9" style="59"/>
  </cols>
  <sheetData>
    <row r="1" spans="1:7" ht="31.2" customHeight="1" x14ac:dyDescent="0.25">
      <c r="A1" s="31" t="s">
        <v>216</v>
      </c>
      <c r="B1" s="37" t="s">
        <v>384</v>
      </c>
      <c r="C1" s="286" t="s">
        <v>261</v>
      </c>
      <c r="D1" s="286"/>
      <c r="E1" s="286"/>
      <c r="F1" s="189" t="s">
        <v>385</v>
      </c>
      <c r="G1" s="31" t="s">
        <v>197</v>
      </c>
    </row>
    <row r="2" spans="1:7" ht="18" customHeight="1" x14ac:dyDescent="0.25">
      <c r="A2" s="8" t="s">
        <v>26</v>
      </c>
      <c r="B2" s="8">
        <v>220</v>
      </c>
      <c r="C2" s="191"/>
      <c r="D2" s="191"/>
      <c r="E2" s="191"/>
      <c r="F2" s="46">
        <v>0.01</v>
      </c>
      <c r="G2" s="34" t="str">
        <f>IFERROR(IF(ROUND(ABS(AVERAGE(C2:E2)),4)&lt;ROUND(F2,4),"合格","不合格"),"")</f>
        <v/>
      </c>
    </row>
    <row r="3" spans="1:7" ht="16.2" customHeight="1" x14ac:dyDescent="0.25">
      <c r="A3" s="8" t="s">
        <v>28</v>
      </c>
      <c r="B3" s="8">
        <v>360</v>
      </c>
      <c r="C3" s="191"/>
      <c r="D3" s="191"/>
      <c r="E3" s="191"/>
      <c r="F3" s="46">
        <v>0.05</v>
      </c>
      <c r="G3" s="34" t="str">
        <f>IFERROR(IF(ROUND(ABS(AVERAGE(C3:E3)),4)&lt;ROUND(F3,4),"合格","不合格"),"")</f>
        <v/>
      </c>
    </row>
    <row r="5" spans="1:7" x14ac:dyDescent="0.25">
      <c r="A5" s="76"/>
    </row>
  </sheetData>
  <mergeCells count="1">
    <mergeCell ref="C1:E1"/>
  </mergeCells>
  <phoneticPr fontId="15" type="noConversion"/>
  <conditionalFormatting sqref="G2:G3">
    <cfRule type="cellIs" dxfId="13" priority="2" operator="equal">
      <formula>"不合格"</formula>
    </cfRule>
  </conditionalFormatting>
  <conditionalFormatting sqref="G2:G3">
    <cfRule type="cellIs" dxfId="12" priority="1" operator="equal">
      <formula>"不合格"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5"/>
  <sheetViews>
    <sheetView workbookViewId="0">
      <selection activeCell="B2" sqref="B2"/>
    </sheetView>
  </sheetViews>
  <sheetFormatPr defaultColWidth="9" defaultRowHeight="14.4" x14ac:dyDescent="0.25"/>
  <cols>
    <col min="1" max="1" width="11.77734375" customWidth="1"/>
    <col min="2" max="2" width="16.109375" style="57" bestFit="1" customWidth="1"/>
    <col min="3" max="3" width="17.44140625" customWidth="1"/>
    <col min="4" max="4" width="12.21875" customWidth="1"/>
  </cols>
  <sheetData>
    <row r="1" spans="1:4" ht="29.4" customHeight="1" x14ac:dyDescent="0.25">
      <c r="A1" s="31" t="s">
        <v>216</v>
      </c>
      <c r="B1" s="55" t="s">
        <v>30</v>
      </c>
      <c r="C1" s="1" t="s">
        <v>386</v>
      </c>
      <c r="D1" s="1" t="s">
        <v>197</v>
      </c>
    </row>
    <row r="2" spans="1:4" x14ac:dyDescent="0.25">
      <c r="A2" s="30" t="s">
        <v>218</v>
      </c>
      <c r="B2" s="94"/>
      <c r="C2" s="110">
        <v>5.0000000000000001E-4</v>
      </c>
      <c r="D2" s="34" t="str">
        <f>IF(OR(B2="",(ABS(B2)&gt;C2)),"不合格","合格")</f>
        <v>不合格</v>
      </c>
    </row>
    <row r="4" spans="1:4" x14ac:dyDescent="0.25">
      <c r="B4" s="56"/>
    </row>
    <row r="5" spans="1:4" x14ac:dyDescent="0.25">
      <c r="A5" s="3"/>
    </row>
  </sheetData>
  <phoneticPr fontId="15" type="noConversion"/>
  <conditionalFormatting sqref="D2">
    <cfRule type="cellIs" dxfId="11" priority="1" operator="equal">
      <formula>"不合格"</formula>
    </cfRule>
    <cfRule type="cellIs" dxfId="10" priority="3" operator="equal">
      <formula>"不合格"</formula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5"/>
  <sheetViews>
    <sheetView workbookViewId="0">
      <selection activeCell="B2" sqref="B2"/>
    </sheetView>
  </sheetViews>
  <sheetFormatPr defaultColWidth="9" defaultRowHeight="14.4" x14ac:dyDescent="0.25"/>
  <cols>
    <col min="1" max="1" width="12.21875" customWidth="1"/>
    <col min="2" max="2" width="12.77734375" style="44" customWidth="1"/>
    <col min="3" max="3" width="13.21875" style="82" customWidth="1"/>
    <col min="4" max="4" width="10.21875" customWidth="1"/>
    <col min="5" max="5" width="13.44140625" customWidth="1"/>
    <col min="9" max="9" width="10" customWidth="1"/>
  </cols>
  <sheetData>
    <row r="1" spans="1:4" ht="26.4" customHeight="1" x14ac:dyDescent="0.25">
      <c r="A1" s="31" t="s">
        <v>216</v>
      </c>
      <c r="B1" s="47" t="s">
        <v>273</v>
      </c>
      <c r="C1" s="81" t="s">
        <v>387</v>
      </c>
      <c r="D1" s="1" t="s">
        <v>197</v>
      </c>
    </row>
    <row r="2" spans="1:4" x14ac:dyDescent="0.25">
      <c r="A2" s="30" t="s">
        <v>220</v>
      </c>
      <c r="B2" s="62"/>
      <c r="C2" s="95">
        <v>0.1</v>
      </c>
      <c r="D2" s="7" t="str">
        <f>IF(B2="","不合格",IF(ABS(ROUND(B2,4))&lt;ROUND(C2,4),"合格","不合格"))</f>
        <v>不合格</v>
      </c>
    </row>
    <row r="4" spans="1:4" x14ac:dyDescent="0.25">
      <c r="B4" s="48"/>
    </row>
    <row r="5" spans="1:4" x14ac:dyDescent="0.25">
      <c r="A5" s="3"/>
    </row>
  </sheetData>
  <phoneticPr fontId="15" type="noConversion"/>
  <conditionalFormatting sqref="D2">
    <cfRule type="cellIs" dxfId="9" priority="1" operator="equal">
      <formula>"不合格"</formula>
    </cfRule>
    <cfRule type="cellIs" dxfId="8" priority="2" operator="equal">
      <formula>"不合格"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10"/>
  <sheetViews>
    <sheetView workbookViewId="0">
      <selection activeCell="K17" sqref="K17"/>
    </sheetView>
  </sheetViews>
  <sheetFormatPr defaultColWidth="9" defaultRowHeight="14.4" x14ac:dyDescent="0.25"/>
  <cols>
    <col min="1" max="1" width="9.33203125" style="59" customWidth="1"/>
    <col min="2" max="2" width="9.33203125" style="63" customWidth="1"/>
    <col min="3" max="3" width="11.33203125" style="67" customWidth="1"/>
    <col min="4" max="4" width="14.77734375" style="65" customWidth="1"/>
    <col min="5" max="5" width="12.109375" style="65" customWidth="1"/>
    <col min="6" max="6" width="14.88671875" style="65" customWidth="1"/>
    <col min="7" max="7" width="10" style="59" customWidth="1"/>
    <col min="8" max="11" width="9" style="59"/>
    <col min="12" max="12" width="16.44140625" style="59" customWidth="1"/>
    <col min="13" max="16384" width="9" style="59"/>
  </cols>
  <sheetData>
    <row r="1" spans="1:7" ht="24" customHeight="1" x14ac:dyDescent="0.25">
      <c r="A1" s="31" t="s">
        <v>216</v>
      </c>
      <c r="B1" s="100" t="s">
        <v>228</v>
      </c>
      <c r="C1" s="81" t="s">
        <v>298</v>
      </c>
      <c r="D1" s="78" t="s">
        <v>210</v>
      </c>
      <c r="E1" s="78" t="s">
        <v>272</v>
      </c>
      <c r="F1" s="78" t="s">
        <v>274</v>
      </c>
      <c r="G1" s="31" t="s">
        <v>197</v>
      </c>
    </row>
    <row r="2" spans="1:7" ht="15" customHeight="1" x14ac:dyDescent="0.25">
      <c r="A2" s="30" t="s">
        <v>140</v>
      </c>
      <c r="B2" s="109">
        <v>656.1</v>
      </c>
      <c r="C2" s="101">
        <v>5</v>
      </c>
      <c r="D2" s="190"/>
      <c r="E2" s="79">
        <f>(D2-C2)/C2*100</f>
        <v>-100</v>
      </c>
      <c r="F2" s="103">
        <v>20</v>
      </c>
      <c r="G2" s="34" t="str">
        <f>IF(D2="","不合格",IF(ABS(E2)&lt;=ABS(F2),"合格","不合格"))</f>
        <v>不合格</v>
      </c>
    </row>
    <row r="3" spans="1:7" ht="15" customHeight="1" x14ac:dyDescent="0.25">
      <c r="A3" s="108" t="s">
        <v>297</v>
      </c>
      <c r="B3" s="109">
        <v>656.1</v>
      </c>
      <c r="C3" s="101">
        <v>2</v>
      </c>
      <c r="D3" s="190"/>
      <c r="E3" s="79">
        <f>(D3-C3)/C3*100</f>
        <v>-100</v>
      </c>
      <c r="F3" s="103">
        <v>20</v>
      </c>
      <c r="G3" s="34" t="str">
        <f>IF(D3="","不合格",IF(ABS(E3)&lt;=ABS(F3),"合格","不合格"))</f>
        <v>不合格</v>
      </c>
    </row>
    <row r="4" spans="1:7" x14ac:dyDescent="0.25">
      <c r="A4" s="30" t="s">
        <v>143</v>
      </c>
      <c r="B4" s="109">
        <v>656.1</v>
      </c>
      <c r="C4" s="101">
        <v>1</v>
      </c>
      <c r="D4" s="190"/>
      <c r="E4" s="79">
        <f>(D4-C4)/C4*100</f>
        <v>-100</v>
      </c>
      <c r="F4" s="103">
        <v>20</v>
      </c>
      <c r="G4" s="34" t="str">
        <f>IF(D4="","不合格",IF(ABS(E4)&lt;=ABS(F4),"合格","不合格"))</f>
        <v>不合格</v>
      </c>
    </row>
    <row r="5" spans="1:7" x14ac:dyDescent="0.25">
      <c r="A5" s="30" t="s">
        <v>144</v>
      </c>
      <c r="B5" s="109">
        <v>656.1</v>
      </c>
      <c r="C5" s="101">
        <v>0.5</v>
      </c>
      <c r="D5" s="190"/>
      <c r="E5" s="79">
        <f>(D5-C5)/C5*100</f>
        <v>-100</v>
      </c>
      <c r="F5" s="103">
        <v>20</v>
      </c>
      <c r="G5" s="34" t="str">
        <f>IF(D5="","不合格",IF(ABS(E5)&lt;=ABS(F5),"合格","不合格"))</f>
        <v>不合格</v>
      </c>
    </row>
    <row r="6" spans="1:7" x14ac:dyDescent="0.25">
      <c r="A6" s="30" t="s">
        <v>145</v>
      </c>
      <c r="B6" s="109">
        <v>656.1</v>
      </c>
      <c r="C6" s="101">
        <v>0.2</v>
      </c>
      <c r="D6" s="190"/>
      <c r="E6" s="79">
        <f>(D6-C6)/C6*100</f>
        <v>-100</v>
      </c>
      <c r="F6" s="104">
        <v>20</v>
      </c>
      <c r="G6" s="34" t="str">
        <f>IF(D6="","不合格",IF(ABS(E6)&lt;=ABS(F6),"合格","不合格"))</f>
        <v>不合格</v>
      </c>
    </row>
    <row r="7" spans="1:7" x14ac:dyDescent="0.25">
      <c r="C7" s="102"/>
      <c r="D7" s="80"/>
      <c r="E7" s="80"/>
      <c r="F7" s="80"/>
      <c r="G7" s="63"/>
    </row>
    <row r="10" spans="1:7" ht="28.8" customHeight="1" x14ac:dyDescent="0.25"/>
  </sheetData>
  <phoneticPr fontId="15" type="noConversion"/>
  <conditionalFormatting sqref="G2:G6">
    <cfRule type="cellIs" dxfId="7" priority="2" operator="equal">
      <formula>"不合格"</formula>
    </cfRule>
  </conditionalFormatting>
  <conditionalFormatting sqref="G2:G6">
    <cfRule type="cellIs" dxfId="6" priority="1" operator="equal">
      <formula>"不合格"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7"/>
  <sheetViews>
    <sheetView workbookViewId="0">
      <selection activeCell="C3" sqref="C3"/>
    </sheetView>
  </sheetViews>
  <sheetFormatPr defaultColWidth="9" defaultRowHeight="14.4" x14ac:dyDescent="0.25"/>
  <cols>
    <col min="1" max="1" width="15" customWidth="1"/>
    <col min="2" max="2" width="11.33203125" customWidth="1"/>
    <col min="3" max="3" width="14.6640625" style="89" customWidth="1"/>
    <col min="4" max="4" width="14.109375" style="86" customWidth="1"/>
    <col min="5" max="5" width="10" customWidth="1"/>
  </cols>
  <sheetData>
    <row r="1" spans="1:5" ht="28.8" customHeight="1" x14ac:dyDescent="0.25">
      <c r="A1" s="32" t="s">
        <v>222</v>
      </c>
      <c r="B1" s="31" t="s">
        <v>228</v>
      </c>
      <c r="C1" s="87" t="s">
        <v>210</v>
      </c>
      <c r="D1" s="84" t="s">
        <v>211</v>
      </c>
      <c r="E1" s="1" t="s">
        <v>197</v>
      </c>
    </row>
    <row r="2" spans="1:5" x14ac:dyDescent="0.25">
      <c r="A2" s="35" t="s">
        <v>147</v>
      </c>
      <c r="B2" s="5">
        <v>500</v>
      </c>
      <c r="C2" s="88"/>
      <c r="D2" s="83">
        <v>0.05</v>
      </c>
      <c r="E2" s="34" t="str">
        <f>IF(C2="","不合格",IF(C2&lt;=D2,"合格","不合格"))</f>
        <v>不合格</v>
      </c>
    </row>
    <row r="3" spans="1:5" x14ac:dyDescent="0.25">
      <c r="A3" s="35" t="s">
        <v>148</v>
      </c>
      <c r="B3" s="5">
        <v>500</v>
      </c>
      <c r="C3" s="172"/>
      <c r="D3" s="85">
        <v>5.0000000000000001E-3</v>
      </c>
      <c r="E3" s="34" t="str">
        <f>IF(C3="","不合格",IF(C3&lt;=D3,"合格","不合格"))</f>
        <v>不合格</v>
      </c>
    </row>
    <row r="4" spans="1:5" x14ac:dyDescent="0.25">
      <c r="A4" s="35" t="s">
        <v>149</v>
      </c>
      <c r="B4" s="5">
        <v>250</v>
      </c>
      <c r="C4" s="88"/>
      <c r="D4" s="83">
        <v>0.05</v>
      </c>
      <c r="E4" s="34" t="str">
        <f>IF(C4="","不合格",IF(C4&lt;=D4,"合格","不合格"))</f>
        <v>不合格</v>
      </c>
    </row>
    <row r="5" spans="1:5" x14ac:dyDescent="0.25">
      <c r="A5" s="35" t="s">
        <v>150</v>
      </c>
      <c r="B5" s="5">
        <v>250</v>
      </c>
      <c r="C5" s="172"/>
      <c r="D5" s="85">
        <v>5.0000000000000001E-3</v>
      </c>
      <c r="E5" s="34" t="str">
        <f>IF(C5="","不合格",IF(C5&lt;=D5,"合格","不合格"))</f>
        <v>不合格</v>
      </c>
    </row>
    <row r="7" spans="1:5" x14ac:dyDescent="0.25">
      <c r="A7" s="3"/>
      <c r="B7" s="6"/>
    </row>
  </sheetData>
  <phoneticPr fontId="15" type="noConversion"/>
  <conditionalFormatting sqref="E2:E5">
    <cfRule type="cellIs" dxfId="5" priority="2" operator="equal">
      <formula>"不合格"</formula>
    </cfRule>
  </conditionalFormatting>
  <conditionalFormatting sqref="E2:E5">
    <cfRule type="cellIs" dxfId="4" priority="1" operator="equal">
      <formula>"不合格"</formula>
    </cfRule>
  </conditionalFormatting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7"/>
  <sheetViews>
    <sheetView workbookViewId="0">
      <selection activeCell="C3" sqref="C3"/>
    </sheetView>
  </sheetViews>
  <sheetFormatPr defaultColWidth="9" defaultRowHeight="14.4" x14ac:dyDescent="0.25"/>
  <cols>
    <col min="1" max="1" width="16.109375" customWidth="1"/>
    <col min="2" max="2" width="11.33203125" customWidth="1"/>
    <col min="3" max="3" width="14.33203125" style="89" customWidth="1"/>
    <col min="4" max="4" width="14.21875" style="91" customWidth="1"/>
    <col min="5" max="5" width="10.77734375" customWidth="1"/>
  </cols>
  <sheetData>
    <row r="1" spans="1:5" x14ac:dyDescent="0.25">
      <c r="A1" s="32" t="s">
        <v>223</v>
      </c>
      <c r="B1" s="31" t="s">
        <v>230</v>
      </c>
      <c r="C1" s="87" t="s">
        <v>210</v>
      </c>
      <c r="D1" s="90" t="s">
        <v>211</v>
      </c>
      <c r="E1" s="1" t="s">
        <v>197</v>
      </c>
    </row>
    <row r="2" spans="1:5" x14ac:dyDescent="0.25">
      <c r="A2" s="35" t="s">
        <v>152</v>
      </c>
      <c r="B2" s="5">
        <v>1090</v>
      </c>
      <c r="C2" s="42"/>
      <c r="D2" s="93">
        <v>0.1</v>
      </c>
      <c r="E2" s="34" t="str">
        <f>IF(C2="","不合格",IF(C2&lt;=D2,"合格","不合格"))</f>
        <v>不合格</v>
      </c>
    </row>
    <row r="3" spans="1:5" x14ac:dyDescent="0.25">
      <c r="A3" s="35" t="s">
        <v>153</v>
      </c>
      <c r="B3" s="5">
        <v>1090</v>
      </c>
      <c r="C3" s="173"/>
      <c r="D3" s="83">
        <v>0.02</v>
      </c>
      <c r="E3" s="34" t="str">
        <f>IF(C3="","不合格",IF(C3&lt;=D3,"合格","不合格"))</f>
        <v>不合格</v>
      </c>
    </row>
    <row r="4" spans="1:5" x14ac:dyDescent="0.25">
      <c r="A4" s="35" t="s">
        <v>154</v>
      </c>
      <c r="B4" s="5">
        <v>200</v>
      </c>
      <c r="C4" s="42"/>
      <c r="D4" s="93">
        <v>0.1</v>
      </c>
      <c r="E4" s="34" t="str">
        <f>IF(C4="","不合格",IF(C4&lt;=D4,"合格","不合格"))</f>
        <v>不合格</v>
      </c>
    </row>
    <row r="5" spans="1:5" x14ac:dyDescent="0.25">
      <c r="A5" s="35" t="s">
        <v>155</v>
      </c>
      <c r="B5" s="5">
        <v>200</v>
      </c>
      <c r="C5" s="173"/>
      <c r="D5" s="83">
        <v>0.02</v>
      </c>
      <c r="E5" s="34" t="str">
        <f>IF(C5="","不合格",IF(C5&lt;=D5,"合格","不合格"))</f>
        <v>不合格</v>
      </c>
    </row>
    <row r="7" spans="1:5" x14ac:dyDescent="0.25">
      <c r="A7" s="3"/>
      <c r="B7" s="6"/>
    </row>
  </sheetData>
  <phoneticPr fontId="15" type="noConversion"/>
  <conditionalFormatting sqref="E2:E5">
    <cfRule type="cellIs" dxfId="3" priority="2" operator="equal">
      <formula>"不合格"</formula>
    </cfRule>
  </conditionalFormatting>
  <conditionalFormatting sqref="E2:E5">
    <cfRule type="cellIs" dxfId="2" priority="1" operator="equal">
      <formula>"不合格"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E5"/>
  <sheetViews>
    <sheetView workbookViewId="0">
      <selection activeCell="F11" sqref="F11"/>
    </sheetView>
  </sheetViews>
  <sheetFormatPr defaultColWidth="9" defaultRowHeight="14.4" x14ac:dyDescent="0.25"/>
  <cols>
    <col min="1" max="2" width="10.44140625" customWidth="1"/>
    <col min="3" max="3" width="16.6640625" style="89" customWidth="1"/>
    <col min="4" max="4" width="16.6640625" customWidth="1"/>
    <col min="5" max="5" width="10.77734375" customWidth="1"/>
  </cols>
  <sheetData>
    <row r="1" spans="1:5" ht="24" customHeight="1" x14ac:dyDescent="0.25">
      <c r="A1" s="31" t="s">
        <v>216</v>
      </c>
      <c r="B1" s="31" t="s">
        <v>229</v>
      </c>
      <c r="C1" s="92" t="s">
        <v>32</v>
      </c>
      <c r="D1" s="37" t="s">
        <v>388</v>
      </c>
      <c r="E1" s="37" t="s">
        <v>197</v>
      </c>
    </row>
    <row r="2" spans="1:5" x14ac:dyDescent="0.25">
      <c r="A2" s="30" t="s">
        <v>225</v>
      </c>
      <c r="B2" s="36">
        <v>500</v>
      </c>
      <c r="C2" s="96"/>
      <c r="D2" s="97">
        <v>0.1</v>
      </c>
      <c r="E2" s="34" t="str">
        <f>IF(C2="","不合格",IF(C2&lt;=D2,"合格","不合格"))</f>
        <v>不合格</v>
      </c>
    </row>
    <row r="5" spans="1:5" x14ac:dyDescent="0.25">
      <c r="A5" s="3"/>
    </row>
  </sheetData>
  <phoneticPr fontId="15" type="noConversion"/>
  <conditionalFormatting sqref="E2">
    <cfRule type="cellIs" dxfId="1" priority="1" operator="equal">
      <formula>"不合格"</formula>
    </cfRule>
    <cfRule type="cellIs" dxfId="0" priority="2" operator="equal">
      <formula>"不合格"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Report</vt:lpstr>
      <vt:lpstr>基础信息</vt:lpstr>
      <vt:lpstr>测量结果表</vt:lpstr>
      <vt:lpstr>管理表</vt:lpstr>
      <vt:lpstr>对应信息</vt:lpstr>
      <vt:lpstr>检测项信息</vt:lpstr>
      <vt:lpstr>标准值</vt:lpstr>
      <vt:lpstr>字段对应</vt:lpstr>
      <vt:lpstr>波长示值误差与重复性校验</vt:lpstr>
      <vt:lpstr>透射比示值误差与重复性校验</vt:lpstr>
      <vt:lpstr>杂散光校验</vt:lpstr>
      <vt:lpstr>基线平直度检验</vt:lpstr>
      <vt:lpstr>基线暗噪声检验</vt:lpstr>
      <vt:lpstr>光谱带宽与仪器最小光谱带宽</vt:lpstr>
      <vt:lpstr>噪声检验</vt:lpstr>
      <vt:lpstr>波长边缘噪声</vt:lpstr>
      <vt:lpstr>漂移检验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99153</cp:lastModifiedBy>
  <cp:lastPrinted>2021-12-22T05:19:20Z</cp:lastPrinted>
  <dcterms:created xsi:type="dcterms:W3CDTF">2006-09-16T00:00:00Z</dcterms:created>
  <dcterms:modified xsi:type="dcterms:W3CDTF">2022-05-06T04:22:28Z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0204A0C973744855B60E6985BE12601E</vt:lpwstr>
  </property>
  <property fmtid="{D5CDD505-2E9C-101B-9397-08002B2CF9AE}" pid="3" name="KSOProductBuildVer">
    <vt:lpwstr>2052-11.1.0.11045</vt:lpwstr>
  </property>
</Properties>
</file>