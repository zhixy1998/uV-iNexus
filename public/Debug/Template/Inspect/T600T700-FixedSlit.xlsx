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98" firstSheet="2" activeTab="18"/>
  </bookViews>
  <sheets>
    <sheet name="Report" sheetId="21" r:id="rId1"/>
    <sheet name="基础信息" sheetId="13" r:id="rId2"/>
    <sheet name="测量结果表" sheetId="20" r:id="rId3"/>
    <sheet name="管理表" sheetId="19" r:id="rId4"/>
    <sheet name="对应信息" sheetId="17" state="hidden" r:id="rId5"/>
    <sheet name="检测项信息" sheetId="14" r:id="rId6"/>
    <sheet name="仪器状态" sheetId="22" r:id="rId7"/>
    <sheet name="样品池准确度与重复性校验" sheetId="23" state="hidden" r:id="rId8"/>
    <sheet name="标准值" sheetId="16" r:id="rId9"/>
    <sheet name="字段对应" sheetId="15" state="hidden" r:id="rId10"/>
    <sheet name="波长示值误差与重复性校验" sheetId="3" r:id="rId11"/>
    <sheet name="透射比示值误差与重复性校验" sheetId="4" r:id="rId12"/>
    <sheet name="杂散光校验" sheetId="5" r:id="rId13"/>
    <sheet name="基线平直度检验" sheetId="6" r:id="rId14"/>
    <sheet name="基线暗噪声检验" sheetId="7" r:id="rId15"/>
    <sheet name="光谱带宽与仪器最小光谱带宽" sheetId="8" r:id="rId16"/>
    <sheet name="噪声检验" sheetId="9" r:id="rId17"/>
    <sheet name="波长边缘噪声" sheetId="10" r:id="rId18"/>
    <sheet name="漂移检验" sheetId="11" r:id="rId19"/>
  </sheets>
  <definedNames>
    <definedName name="OLE_LINK10" localSheetId="0">Report!#REF!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<sst xmlns="http://schemas.openxmlformats.org/spreadsheetml/2006/main" count="871" uniqueCount="362">
  <si>
    <t>北京普析通用仪器有限责任公司</t>
  </si>
  <si>
    <t>文件编号</t>
  </si>
  <si>
    <t>T600T700系列紫外可见分光光度计整机检验原始记录表</t>
  </si>
  <si>
    <t>版本/修订</t>
  </si>
  <si>
    <t>发布/修订日期</t>
  </si>
  <si>
    <t>产品型号</t>
  </si>
  <si>
    <t>产品编号</t>
  </si>
  <si>
    <t>检验员</t>
  </si>
  <si>
    <t>检验日期</t>
  </si>
  <si>
    <t>复核员</t>
  </si>
  <si>
    <t>T600T700-FixedSlit</t>
  </si>
  <si>
    <t>dd</t>
  </si>
  <si>
    <t>温度(℃)</t>
  </si>
  <si>
    <t>相对湿度(%)</t>
  </si>
  <si>
    <t>检验结果</t>
  </si>
  <si>
    <t>UVWin版本号</t>
  </si>
  <si>
    <t>UVTouch版本号</t>
  </si>
  <si>
    <t>检验软件版本号</t>
  </si>
  <si>
    <t>2.2.24.1119</t>
  </si>
  <si>
    <t>序号</t>
  </si>
  <si>
    <t>检验项目</t>
  </si>
  <si>
    <t>结果</t>
  </si>
  <si>
    <t>波长示值误差与重复性</t>
  </si>
  <si>
    <t xml:space="preserve">
波长示值误差
氘灯：
±0.1nm
镨钕：
±0.3nm
波长重复性
≤0.1nm 
</t>
  </si>
  <si>
    <t>波长段</t>
  </si>
  <si>
    <t>B段</t>
  </si>
  <si>
    <t>检测工具</t>
  </si>
  <si>
    <t>镨钕滤光片</t>
  </si>
  <si>
    <t>氘灯</t>
  </si>
  <si>
    <t>标准值(nm)</t>
  </si>
  <si>
    <t>测量值（nm）</t>
  </si>
  <si>
    <t>平均值(nm)</t>
  </si>
  <si>
    <t>误差值(nm)</t>
  </si>
  <si>
    <t>重复性(nm)</t>
  </si>
  <si>
    <t xml:space="preserve">波长示值误差与重复性
</t>
  </si>
  <si>
    <t xml:space="preserve">
波长示值误差
钬溶液：
±0.3nm
波长重复性
≤0.1nm </t>
  </si>
  <si>
    <t>钬溶液</t>
  </si>
  <si>
    <t>透射比示值误差与重复性
(可见区）</t>
  </si>
  <si>
    <t xml:space="preserve">透射比示值误差
±0.3%
透射比重复性
≤0.1%
</t>
  </si>
  <si>
    <t>10%中性滤光片、20%中性滤光片、30%中性滤光片
（以标定的标准值为准）</t>
  </si>
  <si>
    <t>型号</t>
  </si>
  <si>
    <t>测量点</t>
  </si>
  <si>
    <t>10%中性滤光片</t>
  </si>
  <si>
    <t>标准值(%)</t>
  </si>
  <si>
    <t>测量值(%)</t>
  </si>
  <si>
    <t>平均值(%)</t>
  </si>
  <si>
    <t>误差值(%)</t>
  </si>
  <si>
    <t>重复性(%)</t>
  </si>
  <si>
    <t>20%中性滤光片</t>
  </si>
  <si>
    <t>透射比示值误差
±0.3%
透射比重复性
≤0.1%</t>
  </si>
  <si>
    <t>30%中性滤光片</t>
  </si>
  <si>
    <t xml:space="preserve">透射比示值误差与
重复性
（紫外区）
</t>
  </si>
  <si>
    <t>紫外分光光度计标准物质GBW(E)130066</t>
  </si>
  <si>
    <t>标准值（%）</t>
  </si>
  <si>
    <t>测量值（%）</t>
  </si>
  <si>
    <t>杂散光</t>
  </si>
  <si>
    <t>检验工具</t>
  </si>
  <si>
    <t>220nm</t>
  </si>
  <si>
    <t>&lt;0.01%</t>
  </si>
  <si>
    <t>碘化钠标准溶液</t>
  </si>
  <si>
    <t>测量值
（%）</t>
  </si>
  <si>
    <t>360nm</t>
  </si>
  <si>
    <t>≤0.02%</t>
  </si>
  <si>
    <t>亚硝酸钠标准溶液</t>
  </si>
  <si>
    <t>基线平直度</t>
  </si>
  <si>
    <t>≤±0.0005（2.0nm光谱带宽）</t>
  </si>
  <si>
    <t>测量值（Abs）</t>
  </si>
  <si>
    <t>基线暗噪声</t>
  </si>
  <si>
    <t>≤±0.1%</t>
  </si>
  <si>
    <t>光谱带宽</t>
  </si>
  <si>
    <t>不超过标称光谱带宽的±20%</t>
  </si>
  <si>
    <t>光谱带宽（nm）</t>
  </si>
  <si>
    <t>氘灯2.0</t>
  </si>
  <si>
    <t>测量值(nm)</t>
  </si>
  <si>
    <t>偏差（%）</t>
  </si>
  <si>
    <t>噪声500nm</t>
  </si>
  <si>
    <t>≤0.05%</t>
  </si>
  <si>
    <t>≤0.005%</t>
  </si>
  <si>
    <t>噪声250nm</t>
  </si>
  <si>
    <t>边缘噪声
1090 nm</t>
  </si>
  <si>
    <t>≤0.1%</t>
  </si>
  <si>
    <t>边缘噪声200nm</t>
  </si>
  <si>
    <t>漂移</t>
  </si>
  <si>
    <t>500nm ≤0.1%/h</t>
  </si>
  <si>
    <t>电源电压的适应性</t>
  </si>
  <si>
    <t>±0.2%</t>
  </si>
  <si>
    <t>电压</t>
  </si>
  <si>
    <t>198V</t>
  </si>
  <si>
    <t>220V</t>
  </si>
  <si>
    <t>242V</t>
  </si>
  <si>
    <t>调压器，数字万用表</t>
  </si>
  <si>
    <t>500nm测量值（%）</t>
  </si>
  <si>
    <t>500nm处的透射比变化（%）</t>
  </si>
  <si>
    <t>250nm测量值（%）</t>
  </si>
  <si>
    <t>250nm处的透射比变化（%）</t>
  </si>
  <si>
    <t>介电强度</t>
  </si>
  <si>
    <t>无击穿和飞弧现象</t>
  </si>
  <si>
    <t>检验工具：耐压测试仪</t>
  </si>
  <si>
    <t xml:space="preserve">  有 □        无 □</t>
  </si>
  <si>
    <t>接触电流</t>
  </si>
  <si>
    <t>正常条件≤0.5mA</t>
  </si>
  <si>
    <t>检验工具：泄漏电流测试仪</t>
  </si>
  <si>
    <t>测量值（mA）</t>
  </si>
  <si>
    <t>单一故障≤3.5mA</t>
  </si>
  <si>
    <t>保护接地</t>
  </si>
  <si>
    <t>≤0.1Ω</t>
  </si>
  <si>
    <t>检验工具：程控接地电阻测试仪</t>
  </si>
  <si>
    <t>测量值（Ω）</t>
  </si>
  <si>
    <t>绝缘电阻</t>
  </si>
  <si>
    <t>≥20MΩ</t>
  </si>
  <si>
    <t>检验工具：绝缘电阻测试仪</t>
  </si>
  <si>
    <t>测量值（MΩ）</t>
  </si>
  <si>
    <t>样品池准确度于重复性校验</t>
  </si>
  <si>
    <t>准确度：100%±0.1%
重复性：&lt;0.1%</t>
  </si>
  <si>
    <t>1号池测量值(%)</t>
  </si>
  <si>
    <t>外观和结构</t>
  </si>
  <si>
    <t>仪器外观应清洁，所有电镀件表面不应有脱皮现象，喷漆表面色泽应均匀，无掉漆与划痕，不得有明显的擦伤、露底、裂纹、起泡现象，外露部件结合处应整齐，无粗糙不平现象。仪器应有下列标志：仪器名称、型号、制造厂名、出厂日期、仪器编号、工作电源电压、频率、制造计量器具许可证标志及编号，仪器的铭牌、二维码的内容及粘贴方向应正确。仪器的各紧固件均应紧固良好，外露螺钉无损伤，生锈，缺失。各按键、开关、指示灯工作正常，电缆线的接插件均能紧密配合且接地良好，启动后无异常杂音。</t>
  </si>
  <si>
    <t>合格□
不合格□</t>
  </si>
  <si>
    <t>检验结论</t>
  </si>
  <si>
    <t>合格 □                 不合格 □</t>
  </si>
  <si>
    <t>备注</t>
  </si>
  <si>
    <t xml:space="preserve">1.本表格依据T600T700系列紫外可见分光光度计整机检验工艺编制；
2. 测量结果保留的小数点位数应与指标要求的小数点位数一致；
3. 表格中的标准值依据有效期内的标准物质证书提供的标准值为准。
</t>
  </si>
  <si>
    <t>名称</t>
  </si>
  <si>
    <t>特征值</t>
  </si>
  <si>
    <t>标准值</t>
  </si>
  <si>
    <t>是否为光谱扫描</t>
  </si>
  <si>
    <t>灯状态</t>
  </si>
  <si>
    <t>较零物质</t>
  </si>
  <si>
    <t>光度方式</t>
  </si>
  <si>
    <t>扫描速度</t>
  </si>
  <si>
    <t>扫描间隔(nm)</t>
  </si>
  <si>
    <t>重复次数</t>
  </si>
  <si>
    <t>重复时间间隔(S)</t>
  </si>
  <si>
    <t>光谱带宽(nm)</t>
  </si>
  <si>
    <t>增益</t>
  </si>
  <si>
    <t>响应时间</t>
  </si>
  <si>
    <t>是</t>
  </si>
  <si>
    <t>钨灯</t>
  </si>
  <si>
    <t>Abs</t>
  </si>
  <si>
    <t>极慢</t>
  </si>
  <si>
    <t>低压汞灯A段</t>
  </si>
  <si>
    <t>否</t>
  </si>
  <si>
    <t>其它</t>
  </si>
  <si>
    <t>T%</t>
  </si>
  <si>
    <t>慢速</t>
  </si>
  <si>
    <t>低压汞灯B段</t>
  </si>
  <si>
    <t>365.0,435.8,546.1</t>
  </si>
  <si>
    <t>汞灯</t>
  </si>
  <si>
    <t>Es</t>
  </si>
  <si>
    <t>中速</t>
  </si>
  <si>
    <t>1.0</t>
  </si>
  <si>
    <t>739.2,,807.4</t>
  </si>
  <si>
    <t>Er</t>
  </si>
  <si>
    <t>快速</t>
  </si>
  <si>
    <t>2.0</t>
  </si>
  <si>
    <t>635.0,546.0,440.0</t>
  </si>
  <si>
    <t>R%</t>
  </si>
  <si>
    <t>极快</t>
  </si>
  <si>
    <t>5.0</t>
  </si>
  <si>
    <t>635.0,546.0,440.1</t>
  </si>
  <si>
    <t xml:space="preserve"> </t>
  </si>
  <si>
    <t>635.0,546.0,440.2</t>
  </si>
  <si>
    <t>重铬酸钾标准物质</t>
  </si>
  <si>
    <t>22.9,51.3,13.7,18.2</t>
  </si>
  <si>
    <t>碘化钠溶液</t>
  </si>
  <si>
    <t>亚硝酸钠溶液</t>
  </si>
  <si>
    <t>项目编号</t>
  </si>
  <si>
    <t>仪器ID</t>
  </si>
  <si>
    <t>平均值</t>
  </si>
  <si>
    <t>误差值</t>
  </si>
  <si>
    <t>重复性</t>
  </si>
  <si>
    <t>检验地点</t>
  </si>
  <si>
    <t>温度</t>
  </si>
  <si>
    <t>湿度</t>
  </si>
  <si>
    <t>判定结果</t>
  </si>
  <si>
    <t>其他</t>
  </si>
  <si>
    <t>子项目编号-与检测项信息对应的</t>
  </si>
  <si>
    <t>父项目编号</t>
  </si>
  <si>
    <t>父项目名称</t>
  </si>
  <si>
    <t>子项目编号</t>
  </si>
  <si>
    <t>子项目名称</t>
  </si>
  <si>
    <t>可允许误差范围</t>
  </si>
  <si>
    <t>波长重复性</t>
  </si>
  <si>
    <t>T700S</t>
  </si>
  <si>
    <t>波长示值误差与重复性校验</t>
  </si>
  <si>
    <t>656.1</t>
  </si>
  <si>
    <t>807.4</t>
  </si>
  <si>
    <t>640.79</t>
  </si>
  <si>
    <t>536.86</t>
  </si>
  <si>
    <t>416.57</t>
  </si>
  <si>
    <t>361.12</t>
  </si>
  <si>
    <t>287.52</t>
  </si>
  <si>
    <t>241.12</t>
  </si>
  <si>
    <t>透射比示值误差与重复性校验</t>
  </si>
  <si>
    <t>350nm</t>
  </si>
  <si>
    <t>313nm</t>
  </si>
  <si>
    <t>257nm</t>
  </si>
  <si>
    <t>235nm</t>
  </si>
  <si>
    <t>635nm</t>
  </si>
  <si>
    <t>546nm</t>
  </si>
  <si>
    <t>440nm</t>
  </si>
  <si>
    <t>杂散光校验</t>
  </si>
  <si>
    <t>基线平直度检验</t>
  </si>
  <si>
    <t>基线暗噪声检验</t>
  </si>
  <si>
    <t>光谱带宽与仪器最小光谱带宽</t>
  </si>
  <si>
    <t>噪声检验</t>
  </si>
  <si>
    <t>500nm100%噪声</t>
  </si>
  <si>
    <t>500nm0%噪声</t>
  </si>
  <si>
    <t>250nm100%噪声</t>
  </si>
  <si>
    <t>250nm0%噪声</t>
  </si>
  <si>
    <t>波长边缘噪声</t>
  </si>
  <si>
    <t>1090nm100%噪声</t>
  </si>
  <si>
    <t>1090nm0%噪声</t>
  </si>
  <si>
    <t>200nm100%噪声</t>
  </si>
  <si>
    <t>200nm0%噪声</t>
  </si>
  <si>
    <t>漂移检验</t>
  </si>
  <si>
    <t>500nm</t>
  </si>
  <si>
    <t>U1601</t>
  </si>
  <si>
    <t>T600B</t>
  </si>
  <si>
    <t>U1602</t>
  </si>
  <si>
    <t>T600A</t>
  </si>
  <si>
    <t>U1603</t>
  </si>
  <si>
    <t>T600S</t>
  </si>
  <si>
    <t>U1604</t>
  </si>
  <si>
    <t>T600AS</t>
  </si>
  <si>
    <t>U1701</t>
  </si>
  <si>
    <t>T700B</t>
  </si>
  <si>
    <t>U1702</t>
  </si>
  <si>
    <t>T700A</t>
  </si>
  <si>
    <t>U1703</t>
  </si>
  <si>
    <t>U1704</t>
  </si>
  <si>
    <t>T700AS</t>
  </si>
  <si>
    <t>检测类别</t>
  </si>
  <si>
    <t>项目名称</t>
  </si>
  <si>
    <t>提示</t>
  </si>
  <si>
    <t>方法信息</t>
  </si>
  <si>
    <t>测量信息</t>
  </si>
  <si>
    <t>重复时间间隔</t>
  </si>
  <si>
    <t>分析方法</t>
  </si>
  <si>
    <t>光度模式</t>
  </si>
  <si>
    <t>起始波长</t>
  </si>
  <si>
    <t>终止波长</t>
  </si>
  <si>
    <t>扫描间隔</t>
  </si>
  <si>
    <t>时间间隔</t>
  </si>
  <si>
    <t>扫描个数</t>
  </si>
  <si>
    <t>暗电流物质</t>
  </si>
  <si>
    <t>校零物质</t>
  </si>
  <si>
    <t>测量物质</t>
  </si>
  <si>
    <t>氘灯(656.1)</t>
  </si>
  <si>
    <t>寻峰</t>
  </si>
  <si>
    <t>空气</t>
  </si>
  <si>
    <t>氘灯(486.0)</t>
  </si>
  <si>
    <t>黑挡块</t>
  </si>
  <si>
    <t>640.7,536.8,416.5,361.0,287.4,241.0</t>
  </si>
  <si>
    <t>求半峰宽</t>
  </si>
  <si>
    <t>求最大偏移量</t>
  </si>
  <si>
    <t>最大最小值差</t>
  </si>
  <si>
    <t>220nm杂散光</t>
  </si>
  <si>
    <t>220</t>
  </si>
  <si>
    <t>多次测量</t>
  </si>
  <si>
    <t>碘化钠空白溶液</t>
  </si>
  <si>
    <t>360nm杂散光</t>
  </si>
  <si>
    <t>360</t>
  </si>
  <si>
    <t>亚硝酸钠空白溶液</t>
  </si>
  <si>
    <t>350,313,257,235</t>
  </si>
  <si>
    <t>求平均</t>
  </si>
  <si>
    <t>紫外分光光度计标准物质空白溶液</t>
  </si>
  <si>
    <t>23.2,51.58,14.06,18.42</t>
  </si>
  <si>
    <t>635,546,440</t>
  </si>
  <si>
    <t>7.57,10.1,10.07</t>
  </si>
  <si>
    <t>18.89,20.09,20.91</t>
  </si>
  <si>
    <t>29.96,30.43,28.88</t>
  </si>
  <si>
    <t>仪器预热1小时之后进行检验</t>
  </si>
  <si>
    <t>仪器id</t>
  </si>
  <si>
    <t>项目</t>
  </si>
  <si>
    <t>能量</t>
  </si>
  <si>
    <t>id</t>
  </si>
  <si>
    <t>父id</t>
  </si>
  <si>
    <t>关灯，增益1下的RSD值</t>
  </si>
  <si>
    <t>关灯，增益2下的RSD值</t>
  </si>
  <si>
    <t>关灯，增益3下的RSD值</t>
  </si>
  <si>
    <t>关灯，增益4下的RSD值</t>
  </si>
  <si>
    <t>开灯，增益1下的RSD值</t>
  </si>
  <si>
    <t>开灯，增益2下的RSD值</t>
  </si>
  <si>
    <t>开灯，增益3下的RSD值</t>
  </si>
  <si>
    <t>开灯，增益4下的RSD值</t>
  </si>
  <si>
    <t>氘灯656.1能量</t>
  </si>
  <si>
    <t>氘灯486.0能量</t>
  </si>
  <si>
    <t>紫外分光光度计标准物质GBW(E)130066-350nm能量</t>
  </si>
  <si>
    <t>紫外分光光度计标准物质GBW(E)130066-313nm能量</t>
  </si>
  <si>
    <t>紫外分光光度计标准物质GBW(E)130066-257nm能量</t>
  </si>
  <si>
    <t>紫外分光光度计标准物质GBW(E)130066-235nm能量</t>
  </si>
  <si>
    <t>碘化钠标准溶液-220nm能量</t>
  </si>
  <si>
    <t>亚硝酸钠标准溶液-360nm能量</t>
  </si>
  <si>
    <t>基线平直度-全波长能量</t>
  </si>
  <si>
    <t>测试项</t>
  </si>
  <si>
    <t>640.7</t>
  </si>
  <si>
    <t>536.8</t>
  </si>
  <si>
    <t>416.5</t>
  </si>
  <si>
    <t>361.0</t>
  </si>
  <si>
    <t>287.4</t>
  </si>
  <si>
    <t>241.0</t>
  </si>
  <si>
    <t>修改标准值时，该仪器对应的模板文件必须未打开，同时修改后光标要在未修改的单元格内！方可保存成功！</t>
  </si>
  <si>
    <t>仪器方法标记</t>
  </si>
  <si>
    <t>仪器方法字段</t>
  </si>
  <si>
    <t>算法标记</t>
  </si>
  <si>
    <t>算法字段</t>
  </si>
  <si>
    <t>StartWl</t>
  </si>
  <si>
    <t>WlRange</t>
  </si>
  <si>
    <t>Validation.ViewModel.DataStructure.FindPeakAndAverageUVTestTool</t>
  </si>
  <si>
    <t>EndWl</t>
  </si>
  <si>
    <t>Validation.ViewModel.DataStructure.WlPointsAndAverageUVTestTool</t>
  </si>
  <si>
    <t>RepeatTimes</t>
  </si>
  <si>
    <t>Validation.ViewModel.DataStructure.WlPointsUVTestTool</t>
  </si>
  <si>
    <t>RepeatInterval</t>
  </si>
  <si>
    <t>Validation.ViewModel.DataStructure.FindMaxOffsetUVTestTool</t>
  </si>
  <si>
    <t>MethodStr</t>
  </si>
  <si>
    <t>Validation.ViewModel.DataStructure.FindHalfPeakUVTestTool</t>
  </si>
  <si>
    <t>MeasurePara</t>
  </si>
  <si>
    <t>Validation.ViewModel.DataStructure.GetMaxDIstanceUVTestTool</t>
  </si>
  <si>
    <t>使用物质</t>
  </si>
  <si>
    <t>ToolStr</t>
  </si>
  <si>
    <t>求漂移</t>
  </si>
  <si>
    <t>Validation.ViewModel.DataStructure.GetDriftUVTestTool</t>
  </si>
  <si>
    <t>Name</t>
  </si>
  <si>
    <t>PhotoMode</t>
  </si>
  <si>
    <t>ScanSpeed</t>
  </si>
  <si>
    <t>ScanWlInterval</t>
  </si>
  <si>
    <t>Gain</t>
  </si>
  <si>
    <t>Slit1</t>
  </si>
  <si>
    <t>Wl</t>
  </si>
  <si>
    <t>暗电流</t>
  </si>
  <si>
    <t>Dark</t>
  </si>
  <si>
    <t>校零</t>
  </si>
  <si>
    <t>Zero</t>
  </si>
  <si>
    <t>BaseLine</t>
  </si>
  <si>
    <t>测量</t>
  </si>
  <si>
    <t>Measure</t>
  </si>
  <si>
    <t>Scan</t>
  </si>
  <si>
    <t>timeinterval</t>
  </si>
  <si>
    <t>totalcount</t>
  </si>
  <si>
    <t>LampPos</t>
  </si>
  <si>
    <t>ResponseTime</t>
  </si>
  <si>
    <t>特征值（nm）</t>
  </si>
  <si>
    <t>平均值（nm）</t>
  </si>
  <si>
    <t>误差值（nm）</t>
  </si>
  <si>
    <t>重复性（nm）</t>
  </si>
  <si>
    <t>波长示值误差(nm)</t>
  </si>
  <si>
    <t>氘灯656.1</t>
  </si>
  <si>
    <t>氘灯486</t>
  </si>
  <si>
    <t>486</t>
  </si>
  <si>
    <t>特征值(nm)</t>
  </si>
  <si>
    <t>平均值（%）</t>
  </si>
  <si>
    <t>误差值（%）</t>
  </si>
  <si>
    <t>重复性（%）</t>
  </si>
  <si>
    <t>透射比示值误差</t>
  </si>
  <si>
    <t>透射比重复性</t>
  </si>
  <si>
    <t>波长点</t>
  </si>
  <si>
    <t>指标要求</t>
  </si>
  <si>
    <t>误差范围（%）</t>
  </si>
  <si>
    <t>垂直距离范围</t>
  </si>
  <si>
    <t>测量波长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</si>
</sst>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.0_);[Red]\(0.0\)"/>
    <numFmt numFmtId="179" formatCode="0.000_);[Red]\(0.000\)"/>
    <numFmt numFmtId="180" formatCode="0.0"/>
    <numFmt numFmtId="181" formatCode="0.000_ "/>
    <numFmt numFmtId="182" formatCode="0.0000_);[Red]\(0.0000\)"/>
    <numFmt numFmtId="183" formatCode="0.0000_ "/>
    <numFmt numFmtId="184" formatCode="0.00000"/>
    <numFmt numFmtId="185" formatCode="0.00_);[Red]\-0.00\ "/>
    <numFmt numFmtId="186" formatCode="0.0000000_);[Red]\-0.0000000\ "/>
    <numFmt numFmtId="187" formatCode="[$-10804]yyyy&quot;年&quot;m&quot;月&quot;d&quot;日&quot;"/>
    <numFmt numFmtId="188" formatCode="[$-10804]yyyy/m/d\ h:mm"/>
    <numFmt numFmtId="189" formatCode="0.000"/>
    <numFmt numFmtId="190" formatCode="#,##0%;\-#,##0%"/>
    <numFmt numFmtId="191" formatCode="0.0000"/>
  </numFmts>
  <fonts count="41">
    <font>
      <sz val="11"/>
      <name val="宋体"/>
      <charset val="134"/>
    </font>
    <font>
      <b/>
      <sz val="10.5"/>
      <color theme="1"/>
      <name val="宋体"/>
      <charset val="134"/>
    </font>
    <font>
      <b/>
      <sz val="10.5"/>
      <color rgb="FF00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color rgb="FF000000"/>
      <name val="Times New Roman"/>
      <charset val="134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0.5"/>
      <color theme="1"/>
      <name val="Times New Roman"/>
      <charset val="134"/>
    </font>
    <font>
      <sz val="10.5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0.5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b/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8"/>
      <color theme="1"/>
      <name val="黑体"/>
      <charset val="134"/>
    </font>
    <font>
      <sz val="16"/>
      <color theme="1"/>
      <name val="黑体"/>
      <charset val="134"/>
    </font>
    <font>
      <sz val="12"/>
      <color theme="1"/>
      <name val="黑体"/>
      <charset val="134"/>
    </font>
    <font>
      <sz val="10.5"/>
      <color theme="1"/>
      <name val="黑体"/>
      <charset val="134"/>
    </font>
    <font>
      <sz val="11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 tint="0.7994628742332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462874233222"/>
        <bgColor indexed="64"/>
      </patternFill>
    </fill>
    <fill>
      <patternFill patternType="solid">
        <fgColor theme="4" tint="0.7994933927426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top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0" fillId="9" borderId="18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19">
      <alignment vertical="center"/>
    </xf>
    <xf numFmtId="0" fontId="28" fillId="0" borderId="19">
      <alignment vertical="center"/>
    </xf>
    <xf numFmtId="0" fontId="29" fillId="0" borderId="20">
      <alignment vertical="center"/>
    </xf>
    <xf numFmtId="0" fontId="29" fillId="0" borderId="0">
      <alignment vertical="center"/>
    </xf>
    <xf numFmtId="0" fontId="30" fillId="10" borderId="21">
      <alignment vertical="center"/>
    </xf>
    <xf numFmtId="0" fontId="31" fillId="11" borderId="22">
      <alignment vertical="center"/>
    </xf>
    <xf numFmtId="0" fontId="32" fillId="11" borderId="21">
      <alignment vertical="center"/>
    </xf>
    <xf numFmtId="0" fontId="33" fillId="12" borderId="23">
      <alignment vertical="center"/>
    </xf>
    <xf numFmtId="0" fontId="34" fillId="0" borderId="24">
      <alignment vertical="center"/>
    </xf>
    <xf numFmtId="0" fontId="35" fillId="0" borderId="25">
      <alignment vertical="center"/>
    </xf>
    <xf numFmtId="0" fontId="36" fillId="13" borderId="0">
      <alignment vertical="center"/>
    </xf>
    <xf numFmtId="0" fontId="37" fillId="14" borderId="0">
      <alignment vertical="center"/>
    </xf>
    <xf numFmtId="0" fontId="38" fillId="15" borderId="0">
      <alignment vertical="center"/>
    </xf>
    <xf numFmtId="0" fontId="39" fillId="16" borderId="0">
      <alignment vertical="center"/>
    </xf>
    <xf numFmtId="0" fontId="40" fillId="17" borderId="0">
      <alignment vertical="center"/>
    </xf>
    <xf numFmtId="0" fontId="40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40" fillId="21" borderId="0">
      <alignment vertical="center"/>
    </xf>
    <xf numFmtId="0" fontId="40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40" fillId="25" borderId="0">
      <alignment vertical="center"/>
    </xf>
    <xf numFmtId="0" fontId="40" fillId="26" borderId="0">
      <alignment vertical="center"/>
    </xf>
    <xf numFmtId="0" fontId="39" fillId="27" borderId="0">
      <alignment vertical="center"/>
    </xf>
    <xf numFmtId="0" fontId="39" fillId="28" borderId="0">
      <alignment vertical="center"/>
    </xf>
    <xf numFmtId="0" fontId="40" fillId="29" borderId="0">
      <alignment vertical="center"/>
    </xf>
    <xf numFmtId="0" fontId="40" fillId="30" borderId="0">
      <alignment vertical="center"/>
    </xf>
    <xf numFmtId="0" fontId="39" fillId="31" borderId="0">
      <alignment vertical="center"/>
    </xf>
    <xf numFmtId="0" fontId="39" fillId="32" borderId="0">
      <alignment vertical="center"/>
    </xf>
    <xf numFmtId="0" fontId="40" fillId="33" borderId="0">
      <alignment vertical="center"/>
    </xf>
    <xf numFmtId="0" fontId="40" fillId="34" borderId="0">
      <alignment vertical="center"/>
    </xf>
    <xf numFmtId="0" fontId="39" fillId="35" borderId="0">
      <alignment vertical="center"/>
    </xf>
    <xf numFmtId="0" fontId="39" fillId="36" borderId="0">
      <alignment vertical="center"/>
    </xf>
    <xf numFmtId="0" fontId="40" fillId="37" borderId="0">
      <alignment vertical="center"/>
    </xf>
    <xf numFmtId="0" fontId="40" fillId="38" borderId="0">
      <alignment vertical="center"/>
    </xf>
    <xf numFmtId="0" fontId="39" fillId="39" borderId="0">
      <alignment vertical="center"/>
    </xf>
    <xf numFmtId="0" fontId="0" fillId="0" borderId="0"/>
    <xf numFmtId="0" fontId="0" fillId="0" borderId="0"/>
  </cellStyleXfs>
  <cellXfs count="336">
    <xf numFmtId="0" fontId="0" fillId="0" borderId="0" xfId="0" applyNumberFormat="1" applyFont="1" applyFill="1" applyBorder="1" applyAlignment="1" applyProtection="1">
      <alignment vertical="top"/>
    </xf>
    <xf numFmtId="0" fontId="0" fillId="0" borderId="0" xfId="0" applyNumberFormat="1" applyFont="1" applyFill="1" applyBorder="1" applyAlignment="1" applyProtection="1"/>
    <xf numFmtId="176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176" fontId="1" fillId="2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7" fontId="3" fillId="0" borderId="1" xfId="0" applyNumberFormat="1" applyFont="1" applyFill="1" applyBorder="1" applyAlignment="1" applyProtection="1">
      <alignment horizontal="center" vertical="center"/>
    </xf>
    <xf numFmtId="178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/>
    </xf>
    <xf numFmtId="179" fontId="0" fillId="0" borderId="0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>
      <alignment vertical="center" wrapText="1"/>
    </xf>
    <xf numFmtId="179" fontId="1" fillId="2" borderId="1" xfId="0" applyNumberFormat="1" applyFont="1" applyFill="1" applyBorder="1" applyAlignment="1" applyProtection="1">
      <alignment vertical="center" wrapText="1"/>
    </xf>
    <xf numFmtId="176" fontId="1" fillId="3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/>
    <xf numFmtId="180" fontId="4" fillId="0" borderId="1" xfId="0" applyNumberFormat="1" applyFont="1" applyFill="1" applyBorder="1" applyAlignment="1" applyProtection="1">
      <alignment horizontal="center" vertical="center" wrapText="1"/>
    </xf>
    <xf numFmtId="181" fontId="0" fillId="0" borderId="1" xfId="0" applyNumberFormat="1" applyFont="1" applyFill="1" applyBorder="1" applyAlignment="1" applyProtection="1"/>
    <xf numFmtId="178" fontId="1" fillId="0" borderId="1" xfId="0" applyNumberFormat="1" applyFont="1" applyFill="1" applyBorder="1" applyAlignment="1" applyProtection="1">
      <alignment horizontal="center" vertical="center" wrapText="1"/>
    </xf>
    <xf numFmtId="176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horizontal="center"/>
    </xf>
    <xf numFmtId="182" fontId="0" fillId="0" borderId="0" xfId="0" applyNumberFormat="1" applyFont="1" applyFill="1" applyBorder="1" applyAlignment="1" applyProtection="1"/>
    <xf numFmtId="182" fontId="1" fillId="2" borderId="1" xfId="0" applyNumberFormat="1" applyFont="1" applyFill="1" applyBorder="1" applyAlignment="1" applyProtection="1">
      <alignment vertical="center" wrapText="1"/>
    </xf>
    <xf numFmtId="179" fontId="1" fillId="3" borderId="1" xfId="0" applyNumberFormat="1" applyFont="1" applyFill="1" applyBorder="1" applyAlignment="1" applyProtection="1">
      <alignment vertical="center" wrapText="1"/>
    </xf>
    <xf numFmtId="183" fontId="0" fillId="0" borderId="1" xfId="0" applyNumberFormat="1" applyFont="1" applyFill="1" applyBorder="1" applyAlignment="1" applyProtection="1"/>
    <xf numFmtId="179" fontId="1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center"/>
    </xf>
    <xf numFmtId="178" fontId="3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178" fontId="1" fillId="2" borderId="1" xfId="0" applyNumberFormat="1" applyFont="1" applyFill="1" applyBorder="1" applyAlignment="1" applyProtection="1">
      <alignment horizontal="center" vertical="center" wrapText="1"/>
    </xf>
    <xf numFmtId="2" fontId="1" fillId="2" borderId="1" xfId="0" applyNumberFormat="1" applyFont="1" applyFill="1" applyBorder="1" applyAlignment="1" applyProtection="1">
      <alignment horizontal="center" vertical="center" wrapText="1"/>
    </xf>
    <xf numFmtId="2" fontId="1" fillId="3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178" fontId="4" fillId="0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>
      <alignment horizontal="center"/>
    </xf>
    <xf numFmtId="2" fontId="3" fillId="0" borderId="1" xfId="0" applyNumberFormat="1" applyFont="1" applyFill="1" applyBorder="1" applyAlignment="1" applyProtection="1">
      <alignment horizontal="center"/>
    </xf>
    <xf numFmtId="2" fontId="1" fillId="0" borderId="1" xfId="0" applyNumberFormat="1" applyFont="1" applyFill="1" applyBorder="1" applyAlignment="1" applyProtection="1">
      <alignment horizontal="center" vertical="center" wrapText="1"/>
    </xf>
    <xf numFmtId="178" fontId="3" fillId="0" borderId="0" xfId="0" applyNumberFormat="1" applyFont="1" applyFill="1" applyBorder="1" applyAlignment="1" applyProtection="1">
      <alignment horizontal="center"/>
    </xf>
    <xf numFmtId="2" fontId="3" fillId="0" borderId="0" xfId="0" applyNumberFormat="1" applyFont="1" applyFill="1" applyBorder="1" applyAlignment="1" applyProtection="1">
      <alignment horizontal="center"/>
    </xf>
    <xf numFmtId="2" fontId="0" fillId="0" borderId="0" xfId="0" applyNumberFormat="1" applyFont="1" applyFill="1" applyBorder="1" applyAlignment="1" applyProtection="1"/>
    <xf numFmtId="178" fontId="0" fillId="0" borderId="0" xfId="0" applyNumberFormat="1" applyFont="1" applyFill="1" applyBorder="1" applyAlignment="1" applyProtection="1"/>
    <xf numFmtId="178" fontId="1" fillId="3" borderId="1" xfId="0" applyNumberFormat="1" applyFont="1" applyFill="1" applyBorder="1" applyAlignment="1" applyProtection="1">
      <alignment horizontal="center" vertical="center" wrapText="1"/>
    </xf>
    <xf numFmtId="177" fontId="3" fillId="0" borderId="1" xfId="0" applyNumberFormat="1" applyFont="1" applyFill="1" applyBorder="1" applyAlignment="1" applyProtection="1"/>
    <xf numFmtId="178" fontId="3" fillId="0" borderId="1" xfId="0" applyNumberFormat="1" applyFont="1" applyFill="1" applyBorder="1" applyAlignment="1" applyProtection="1"/>
    <xf numFmtId="2" fontId="5" fillId="0" borderId="0" xfId="0" applyNumberFormat="1" applyFont="1" applyFill="1" applyBorder="1" applyAlignment="1" applyProtection="1"/>
    <xf numFmtId="184" fontId="0" fillId="0" borderId="0" xfId="0" applyNumberFormat="1" applyFont="1" applyFill="1" applyBorder="1" applyAlignment="1" applyProtection="1"/>
    <xf numFmtId="184" fontId="1" fillId="2" borderId="1" xfId="0" applyNumberFormat="1" applyFont="1" applyFill="1" applyBorder="1" applyAlignment="1" applyProtection="1">
      <alignment horizontal="center" vertical="center" wrapText="1"/>
    </xf>
    <xf numFmtId="182" fontId="3" fillId="0" borderId="1" xfId="0" applyNumberFormat="1" applyFont="1" applyFill="1" applyBorder="1" applyAlignment="1" applyProtection="1"/>
    <xf numFmtId="184" fontId="5" fillId="0" borderId="0" xfId="0" applyNumberFormat="1" applyFont="1" applyFill="1" applyBorder="1" applyAlignment="1" applyProtection="1"/>
    <xf numFmtId="179" fontId="3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/>
    <xf numFmtId="179" fontId="1" fillId="2" borderId="2" xfId="0" applyNumberFormat="1" applyFont="1" applyFill="1" applyBorder="1" applyAlignment="1" applyProtection="1">
      <alignment horizontal="center" vertical="center" wrapText="1"/>
    </xf>
    <xf numFmtId="179" fontId="1" fillId="2" borderId="3" xfId="0" applyNumberFormat="1" applyFont="1" applyFill="1" applyBorder="1" applyAlignment="1" applyProtection="1">
      <alignment horizontal="center" vertical="center" wrapText="1"/>
    </xf>
    <xf numFmtId="179" fontId="1" fillId="2" borderId="4" xfId="0" applyNumberFormat="1" applyFont="1" applyFill="1" applyBorder="1" applyAlignment="1" applyProtection="1">
      <alignment horizontal="center" vertical="center" wrapText="1"/>
    </xf>
    <xf numFmtId="176" fontId="1" fillId="3" borderId="1" xfId="0" applyNumberFormat="1" applyFont="1" applyFill="1" applyBorder="1" applyAlignment="1" applyProtection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 wrapText="1"/>
    </xf>
    <xf numFmtId="181" fontId="3" fillId="0" borderId="1" xfId="0" applyNumberFormat="1" applyFont="1" applyFill="1" applyBorder="1" applyAlignment="1" applyProtection="1"/>
    <xf numFmtId="176" fontId="4" fillId="0" borderId="1" xfId="0" applyNumberFormat="1" applyFont="1" applyFill="1" applyBorder="1" applyAlignment="1" applyProtection="1">
      <alignment vertical="center" wrapText="1"/>
    </xf>
    <xf numFmtId="0" fontId="6" fillId="0" borderId="0" xfId="0" applyNumberFormat="1" applyFont="1" applyFill="1" applyBorder="1" applyAlignment="1" applyProtection="1"/>
    <xf numFmtId="176" fontId="3" fillId="0" borderId="0" xfId="0" applyNumberFormat="1" applyFont="1" applyFill="1" applyBorder="1" applyAlignment="1" applyProtection="1">
      <alignment horizontal="center" vertical="center"/>
    </xf>
    <xf numFmtId="185" fontId="3" fillId="0" borderId="0" xfId="0" applyNumberFormat="1" applyFont="1" applyFill="1" applyBorder="1" applyAlignment="1" applyProtection="1">
      <alignment horizontal="center" vertical="center"/>
    </xf>
    <xf numFmtId="2" fontId="1" fillId="2" borderId="2" xfId="0" applyNumberFormat="1" applyFont="1" applyFill="1" applyBorder="1" applyAlignment="1" applyProtection="1">
      <alignment horizontal="center" vertical="center" wrapText="1"/>
    </xf>
    <xf numFmtId="2" fontId="1" fillId="2" borderId="3" xfId="0" applyNumberFormat="1" applyFont="1" applyFill="1" applyBorder="1" applyAlignment="1" applyProtection="1">
      <alignment horizontal="center" vertical="center" wrapText="1"/>
    </xf>
    <xf numFmtId="2" fontId="1" fillId="2" borderId="4" xfId="0" applyNumberFormat="1" applyFont="1" applyFill="1" applyBorder="1" applyAlignment="1" applyProtection="1">
      <alignment horizontal="center" vertical="center" wrapText="1"/>
    </xf>
    <xf numFmtId="185" fontId="1" fillId="2" borderId="1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177" fontId="7" fillId="0" borderId="1" xfId="0" applyNumberFormat="1" applyFont="1" applyFill="1" applyBorder="1" applyAlignment="1" applyProtection="1">
      <alignment vertical="center" wrapText="1"/>
    </xf>
    <xf numFmtId="177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176" fontId="3" fillId="0" borderId="1" xfId="0" applyNumberFormat="1" applyFont="1" applyFill="1" applyBorder="1" applyAlignment="1" applyProtection="1"/>
    <xf numFmtId="185" fontId="3" fillId="0" borderId="0" xfId="0" applyNumberFormat="1" applyFont="1" applyFill="1" applyBorder="1" applyAlignment="1" applyProtection="1"/>
    <xf numFmtId="176" fontId="1" fillId="2" borderId="2" xfId="0" applyNumberFormat="1" applyFont="1" applyFill="1" applyBorder="1" applyAlignment="1" applyProtection="1">
      <alignment horizontal="center" vertical="center" wrapText="1"/>
    </xf>
    <xf numFmtId="176" fontId="1" fillId="2" borderId="3" xfId="0" applyNumberFormat="1" applyFont="1" applyFill="1" applyBorder="1" applyAlignment="1" applyProtection="1">
      <alignment horizontal="center" vertical="center" wrapText="1"/>
    </xf>
    <xf numFmtId="176" fontId="1" fillId="2" borderId="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7" fillId="0" borderId="1" xfId="0" applyNumberFormat="1" applyFont="1" applyFill="1" applyBorder="1" applyAlignment="1" applyProtection="1">
      <alignment horizontal="center" vertical="center" wrapText="1"/>
    </xf>
    <xf numFmtId="177" fontId="7" fillId="0" borderId="1" xfId="0" applyNumberFormat="1" applyFont="1" applyFill="1" applyBorder="1" applyAlignment="1" applyProtection="1">
      <alignment horizontal="center" vertical="center" wrapText="1"/>
    </xf>
    <xf numFmtId="180" fontId="3" fillId="0" borderId="1" xfId="0" applyNumberFormat="1" applyFont="1" applyFill="1" applyBorder="1" applyAlignment="1" applyProtection="1">
      <alignment horizontal="center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 wrapText="1"/>
    </xf>
    <xf numFmtId="176" fontId="7" fillId="0" borderId="0" xfId="0" applyNumberFormat="1" applyFont="1" applyFill="1" applyBorder="1" applyAlignment="1" applyProtection="1">
      <alignment horizontal="center" vertical="center" wrapText="1"/>
    </xf>
    <xf numFmtId="176" fontId="3" fillId="0" borderId="0" xfId="0" applyNumberFormat="1" applyFont="1" applyFill="1" applyBorder="1" applyAlignment="1" applyProtection="1">
      <alignment horizontal="center"/>
    </xf>
    <xf numFmtId="185" fontId="3" fillId="0" borderId="0" xfId="0" applyNumberFormat="1" applyFont="1" applyFill="1" applyBorder="1" applyAlignment="1" applyProtection="1">
      <alignment horizontal="center"/>
    </xf>
    <xf numFmtId="0" fontId="1" fillId="3" borderId="11" xfId="0" applyNumberFormat="1" applyFont="1" applyFill="1" applyBorder="1" applyAlignment="1" applyProtection="1">
      <alignment horizontal="center" vertical="center" wrapText="1"/>
    </xf>
    <xf numFmtId="0" fontId="1" fillId="2" borderId="1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/>
    </xf>
    <xf numFmtId="11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186" fontId="3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5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/>
    <xf numFmtId="0" fontId="0" fillId="4" borderId="1" xfId="0" applyNumberFormat="1" applyFont="1" applyFill="1" applyBorder="1" applyAlignment="1" applyProtection="1"/>
    <xf numFmtId="0" fontId="8" fillId="4" borderId="1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wrapText="1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wrapText="1"/>
    </xf>
    <xf numFmtId="0" fontId="0" fillId="0" borderId="1" xfId="0" applyNumberFormat="1" applyFont="1" applyFill="1" applyBorder="1" applyAlignment="1" applyProtection="1">
      <alignment vertic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10" fillId="6" borderId="1" xfId="0" applyNumberFormat="1" applyFont="1" applyFill="1" applyBorder="1" applyAlignment="1" applyProtection="1">
      <alignment horizontal="center" vertical="center" wrapText="1"/>
    </xf>
    <xf numFmtId="0" fontId="0" fillId="6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NumberFormat="1" applyFont="1" applyFill="1" applyBorder="1" applyAlignment="1" applyProtection="1">
      <alignment horizontal="center" vertical="center" wrapText="1"/>
    </xf>
    <xf numFmtId="49" fontId="10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/>
    </xf>
    <xf numFmtId="3" fontId="0" fillId="0" borderId="1" xfId="0" applyNumberFormat="1" applyFont="1" applyFill="1" applyBorder="1" applyAlignment="1" applyProtection="1">
      <alignment horizontal="center" vertical="center"/>
    </xf>
    <xf numFmtId="0" fontId="0" fillId="7" borderId="1" xfId="0" applyNumberFormat="1" applyFont="1" applyFill="1" applyBorder="1" applyAlignment="1" applyProtection="1">
      <alignment horizontal="center" vertical="center"/>
    </xf>
    <xf numFmtId="187" fontId="0" fillId="0" borderId="0" xfId="0" applyNumberFormat="1" applyFont="1" applyFill="1" applyBorder="1" applyAlignment="1" applyProtection="1"/>
    <xf numFmtId="0" fontId="3" fillId="7" borderId="2" xfId="0" applyNumberFormat="1" applyFont="1" applyFill="1" applyBorder="1" applyAlignment="1" applyProtection="1">
      <alignment horizontal="center" vertical="center"/>
    </xf>
    <xf numFmtId="0" fontId="3" fillId="7" borderId="3" xfId="0" applyNumberFormat="1" applyFont="1" applyFill="1" applyBorder="1" applyAlignment="1" applyProtection="1">
      <alignment horizontal="center" vertical="center"/>
    </xf>
    <xf numFmtId="0" fontId="3" fillId="7" borderId="4" xfId="0" applyNumberFormat="1" applyFont="1" applyFill="1" applyBorder="1" applyAlignment="1" applyProtection="1">
      <alignment horizontal="center" vertical="center"/>
    </xf>
    <xf numFmtId="0" fontId="3" fillId="7" borderId="1" xfId="0" applyNumberFormat="1" applyFont="1" applyFill="1" applyBorder="1" applyAlignment="1" applyProtection="1">
      <alignment horizontal="center"/>
    </xf>
    <xf numFmtId="0" fontId="11" fillId="7" borderId="1" xfId="0" applyNumberFormat="1" applyFont="1" applyFill="1" applyBorder="1" applyAlignment="1" applyProtection="1">
      <alignment horizontal="center" vertical="center" wrapText="1"/>
    </xf>
    <xf numFmtId="49" fontId="12" fillId="7" borderId="1" xfId="0" applyNumberFormat="1" applyFont="1" applyFill="1" applyBorder="1" applyAlignment="1" applyProtection="1">
      <alignment horizontal="center" vertical="center" wrapText="1"/>
    </xf>
    <xf numFmtId="176" fontId="0" fillId="7" borderId="1" xfId="0" applyNumberFormat="1" applyFont="1" applyFill="1" applyBorder="1" applyAlignment="1" applyProtection="1">
      <alignment horizontal="center"/>
    </xf>
    <xf numFmtId="49" fontId="0" fillId="7" borderId="1" xfId="0" applyNumberFormat="1" applyFont="1" applyFill="1" applyBorder="1" applyAlignment="1" applyProtection="1">
      <alignment horizontal="center"/>
    </xf>
    <xf numFmtId="0" fontId="12" fillId="7" borderId="1" xfId="0" applyNumberFormat="1" applyFont="1" applyFill="1" applyBorder="1" applyAlignment="1" applyProtection="1">
      <alignment horizontal="center" vertical="center" wrapText="1"/>
    </xf>
    <xf numFmtId="0" fontId="8" fillId="7" borderId="1" xfId="0" applyNumberFormat="1" applyFont="1" applyFill="1" applyBorder="1" applyAlignment="1" applyProtection="1">
      <alignment horizontal="center" vertical="center" wrapText="1"/>
    </xf>
    <xf numFmtId="0" fontId="13" fillId="7" borderId="1" xfId="0" applyNumberFormat="1" applyFont="1" applyFill="1" applyBorder="1" applyAlignment="1" applyProtection="1">
      <alignment horizontal="center" vertical="center" wrapText="1"/>
    </xf>
    <xf numFmtId="176" fontId="13" fillId="7" borderId="1" xfId="0" applyNumberFormat="1" applyFont="1" applyFill="1" applyBorder="1" applyAlignment="1" applyProtection="1">
      <alignment horizontal="center" vertical="center" wrapText="1"/>
    </xf>
    <xf numFmtId="182" fontId="0" fillId="7" borderId="1" xfId="0" applyNumberFormat="1" applyFont="1" applyFill="1" applyBorder="1" applyAlignment="1" applyProtection="1">
      <alignment horizontal="center"/>
    </xf>
    <xf numFmtId="178" fontId="0" fillId="7" borderId="1" xfId="0" applyNumberFormat="1" applyFont="1" applyFill="1" applyBorder="1" applyAlignment="1" applyProtection="1">
      <alignment horizontal="center"/>
    </xf>
    <xf numFmtId="2" fontId="11" fillId="7" borderId="1" xfId="0" applyNumberFormat="1" applyFont="1" applyFill="1" applyBorder="1" applyAlignment="1" applyProtection="1">
      <alignment horizontal="center" vertical="center" wrapText="1"/>
    </xf>
    <xf numFmtId="180" fontId="13" fillId="7" borderId="1" xfId="0" applyNumberFormat="1" applyFont="1" applyFill="1" applyBorder="1" applyAlignment="1" applyProtection="1">
      <alignment horizontal="center" vertical="center" wrapText="1"/>
    </xf>
    <xf numFmtId="176" fontId="11" fillId="7" borderId="1" xfId="0" applyNumberFormat="1" applyFont="1" applyFill="1" applyBorder="1" applyAlignment="1" applyProtection="1">
      <alignment horizontal="center" vertical="center" wrapText="1"/>
    </xf>
    <xf numFmtId="179" fontId="11" fillId="7" borderId="1" xfId="0" applyNumberFormat="1" applyFont="1" applyFill="1" applyBorder="1" applyAlignment="1" applyProtection="1">
      <alignment horizontal="center" vertical="center" wrapText="1"/>
    </xf>
    <xf numFmtId="178" fontId="11" fillId="7" borderId="1" xfId="0" applyNumberFormat="1" applyFont="1" applyFill="1" applyBorder="1" applyAlignment="1" applyProtection="1">
      <alignment horizontal="center" vertical="center" wrapText="1"/>
    </xf>
    <xf numFmtId="178" fontId="0" fillId="7" borderId="1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/>
    </xf>
    <xf numFmtId="0" fontId="0" fillId="4" borderId="0" xfId="0" applyNumberFormat="1" applyFont="1" applyFill="1" applyBorder="1" applyAlignment="1" applyProtection="1">
      <alignment horizontal="left" vertical="center"/>
    </xf>
    <xf numFmtId="187" fontId="0" fillId="0" borderId="0" xfId="0" applyNumberFormat="1" applyFont="1" applyFill="1" applyBorder="1" applyAlignment="1" applyProtection="1">
      <alignment horizontal="left"/>
    </xf>
    <xf numFmtId="0" fontId="3" fillId="8" borderId="1" xfId="0" applyNumberFormat="1" applyFont="1" applyFill="1" applyBorder="1" applyAlignment="1" applyProtection="1">
      <alignment horizontal="center" vertical="center"/>
    </xf>
    <xf numFmtId="0" fontId="3" fillId="8" borderId="1" xfId="0" applyNumberFormat="1" applyFont="1" applyFill="1" applyBorder="1" applyAlignment="1" applyProtection="1">
      <alignment horizontal="left" vertical="center"/>
    </xf>
    <xf numFmtId="0" fontId="3" fillId="8" borderId="1" xfId="0" applyNumberFormat="1" applyFont="1" applyFill="1" applyBorder="1" applyAlignment="1" applyProtection="1">
      <alignment horizontal="left"/>
    </xf>
    <xf numFmtId="0" fontId="12" fillId="0" borderId="1" xfId="0" applyNumberFormat="1" applyFont="1" applyFill="1" applyBorder="1" applyAlignment="1" applyProtection="1">
      <alignment horizontal="center" vertical="center" wrapText="1"/>
    </xf>
    <xf numFmtId="0" fontId="0" fillId="0" borderId="1" xfId="0" applyNumberFormat="1" applyFont="1" applyFill="1" applyBorder="1" applyAlignment="1" applyProtection="1">
      <alignment horizontal="left"/>
    </xf>
    <xf numFmtId="187" fontId="3" fillId="8" borderId="1" xfId="0" applyNumberFormat="1" applyFont="1" applyFill="1" applyBorder="1" applyAlignment="1" applyProtection="1">
      <alignment horizontal="left"/>
    </xf>
    <xf numFmtId="188" fontId="0" fillId="0" borderId="1" xfId="0" applyNumberFormat="1" applyFont="1" applyFill="1" applyBorder="1" applyAlignment="1" applyProtection="1">
      <alignment horizontal="left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4" fillId="0" borderId="1" xfId="0" applyNumberFormat="1" applyFont="1" applyFill="1" applyBorder="1" applyAlignment="1" applyProtection="1">
      <alignment horizontal="center" vertical="center" wrapText="1"/>
    </xf>
    <xf numFmtId="0" fontId="15" fillId="0" borderId="1" xfId="0" applyNumberFormat="1" applyFont="1" applyFill="1" applyBorder="1" applyAlignment="1" applyProtection="1">
      <alignment horizontal="center" vertical="center"/>
    </xf>
    <xf numFmtId="49" fontId="14" fillId="0" borderId="1" xfId="0" applyNumberFormat="1" applyFont="1" applyFill="1" applyBorder="1" applyAlignment="1" applyProtection="1">
      <alignment horizontal="center" vertical="center" wrapText="1"/>
    </xf>
    <xf numFmtId="49" fontId="0" fillId="0" borderId="1" xfId="0" applyNumberFormat="1" applyFont="1" applyFill="1" applyBorder="1" applyAlignment="1" applyProtection="1">
      <alignment horizontal="center" vertical="center"/>
    </xf>
    <xf numFmtId="0" fontId="0" fillId="4" borderId="0" xfId="0" applyNumberFormat="1" applyFont="1" applyFill="1" applyBorder="1" applyAlignment="1" applyProtection="1"/>
    <xf numFmtId="0" fontId="12" fillId="0" borderId="12" xfId="0" applyNumberFormat="1" applyFont="1" applyFill="1" applyBorder="1" applyAlignment="1" applyProtection="1">
      <alignment vertical="center" wrapText="1"/>
    </xf>
    <xf numFmtId="0" fontId="12" fillId="0" borderId="8" xfId="0" applyNumberFormat="1" applyFont="1" applyFill="1" applyBorder="1" applyAlignment="1" applyProtection="1">
      <alignment vertical="center" wrapText="1"/>
    </xf>
    <xf numFmtId="0" fontId="16" fillId="0" borderId="2" xfId="0" applyNumberFormat="1" applyFont="1" applyFill="1" applyBorder="1" applyAlignment="1" applyProtection="1">
      <alignment horizontal="center" vertical="center" wrapText="1"/>
    </xf>
    <xf numFmtId="0" fontId="16" fillId="0" borderId="3" xfId="0" applyNumberFormat="1" applyFont="1" applyFill="1" applyBorder="1" applyAlignment="1" applyProtection="1">
      <alignment horizontal="center" vertical="center" wrapText="1"/>
    </xf>
    <xf numFmtId="0" fontId="12" fillId="0" borderId="13" xfId="0" applyNumberFormat="1" applyFont="1" applyFill="1" applyBorder="1" applyAlignment="1" applyProtection="1">
      <alignment vertical="center" wrapText="1"/>
    </xf>
    <xf numFmtId="0" fontId="12" fillId="0" borderId="9" xfId="0" applyNumberFormat="1" applyFont="1" applyFill="1" applyBorder="1" applyAlignment="1" applyProtection="1">
      <alignment vertical="center" wrapText="1"/>
    </xf>
    <xf numFmtId="0" fontId="17" fillId="0" borderId="12" xfId="0" applyNumberFormat="1" applyFont="1" applyFill="1" applyBorder="1" applyAlignment="1" applyProtection="1">
      <alignment horizontal="center" vertical="center" wrapText="1"/>
    </xf>
    <xf numFmtId="0" fontId="17" fillId="0" borderId="14" xfId="0" applyNumberFormat="1" applyFont="1" applyFill="1" applyBorder="1" applyAlignment="1" applyProtection="1">
      <alignment horizontal="center" vertical="center" wrapText="1"/>
    </xf>
    <xf numFmtId="0" fontId="12" fillId="0" borderId="15" xfId="0" applyNumberFormat="1" applyFont="1" applyFill="1" applyBorder="1" applyAlignment="1" applyProtection="1">
      <alignment vertical="center" wrapText="1"/>
    </xf>
    <xf numFmtId="0" fontId="12" fillId="0" borderId="10" xfId="0" applyNumberFormat="1" applyFont="1" applyFill="1" applyBorder="1" applyAlignment="1" applyProtection="1">
      <alignment vertical="center" wrapText="1"/>
    </xf>
    <xf numFmtId="0" fontId="17" fillId="0" borderId="15" xfId="0" applyNumberFormat="1" applyFont="1" applyFill="1" applyBorder="1" applyAlignment="1" applyProtection="1">
      <alignment horizontal="center" vertical="center" wrapText="1"/>
    </xf>
    <xf numFmtId="0" fontId="17" fillId="0" borderId="16" xfId="0" applyNumberFormat="1" applyFont="1" applyFill="1" applyBorder="1" applyAlignment="1" applyProtection="1">
      <alignment horizontal="center" vertical="center" wrapText="1"/>
    </xf>
    <xf numFmtId="0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horizontal="center" vertical="center" wrapText="1"/>
    </xf>
    <xf numFmtId="0" fontId="0" fillId="0" borderId="4" xfId="0" applyNumberFormat="1" applyFont="1" applyFill="1" applyBorder="1" applyAlignment="1" applyProtection="1">
      <alignment horizontal="center" vertical="center" wrapText="1"/>
    </xf>
    <xf numFmtId="3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 vertical="center" wrapText="1"/>
    </xf>
    <xf numFmtId="0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13" xfId="0" applyNumberFormat="1" applyFont="1" applyFill="1" applyBorder="1" applyAlignment="1" applyProtection="1">
      <alignment horizontal="center" vertical="center" wrapText="1"/>
    </xf>
    <xf numFmtId="0" fontId="0" fillId="0" borderId="9" xfId="0" applyNumberFormat="1" applyFont="1" applyFill="1" applyBorder="1" applyAlignment="1" applyProtection="1">
      <alignment horizontal="center" vertical="center" wrapText="1"/>
    </xf>
    <xf numFmtId="0" fontId="0" fillId="0" borderId="12" xfId="0" applyNumberFormat="1" applyFont="1" applyFill="1" applyBorder="1" applyAlignment="1" applyProtection="1">
      <alignment horizontal="center"/>
    </xf>
    <xf numFmtId="0" fontId="0" fillId="0" borderId="17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ont="1" applyFill="1" applyBorder="1" applyAlignment="1" applyProtection="1">
      <alignment horizontal="center" vertical="center" wrapText="1"/>
    </xf>
    <xf numFmtId="0" fontId="0" fillId="0" borderId="16" xfId="0" applyNumberFormat="1" applyFont="1" applyFill="1" applyBorder="1" applyAlignment="1" applyProtection="1">
      <alignment horizontal="center" vertical="center" wrapText="1"/>
    </xf>
    <xf numFmtId="0" fontId="0" fillId="0" borderId="10" xfId="0" applyNumberFormat="1" applyFont="1" applyFill="1" applyBorder="1" applyAlignment="1" applyProtection="1">
      <alignment horizontal="center" vertical="center" wrapText="1"/>
    </xf>
    <xf numFmtId="0" fontId="0" fillId="0" borderId="5" xfId="0" applyNumberFormat="1" applyFont="1" applyFill="1" applyBorder="1" applyAlignment="1" applyProtection="1">
      <alignment horizontal="center" vertical="center" wrapText="1"/>
    </xf>
    <xf numFmtId="0" fontId="0" fillId="0" borderId="6" xfId="0" applyNumberFormat="1" applyFont="1" applyFill="1" applyBorder="1" applyAlignment="1" applyProtection="1">
      <alignment horizontal="center" vertical="center" wrapText="1"/>
    </xf>
    <xf numFmtId="176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ont="1" applyFill="1" applyBorder="1" applyAlignment="1" applyProtection="1">
      <alignment horizontal="center" vertical="center" wrapText="1"/>
    </xf>
    <xf numFmtId="2" fontId="0" fillId="0" borderId="2" xfId="0" applyNumberFormat="1" applyFont="1" applyFill="1" applyBorder="1" applyAlignment="1" applyProtection="1">
      <alignment horizontal="center" vertical="center" wrapText="1"/>
    </xf>
    <xf numFmtId="0" fontId="0" fillId="0" borderId="7" xfId="0" applyNumberFormat="1" applyFont="1" applyFill="1" applyBorder="1" applyAlignment="1" applyProtection="1">
      <alignment horizontal="center" vertical="center" wrapText="1"/>
    </xf>
    <xf numFmtId="185" fontId="0" fillId="0" borderId="2" xfId="0" applyNumberFormat="1" applyFont="1" applyFill="1" applyBorder="1" applyAlignment="1" applyProtection="1">
      <alignment horizontal="center" vertical="center" wrapText="1"/>
    </xf>
    <xf numFmtId="176" fontId="0" fillId="0" borderId="12" xfId="0" applyNumberFormat="1" applyFont="1" applyFill="1" applyBorder="1" applyAlignment="1" applyProtection="1">
      <alignment horizontal="center" vertical="center" wrapText="1"/>
    </xf>
    <xf numFmtId="176" fontId="0" fillId="0" borderId="15" xfId="0" applyNumberFormat="1" applyFont="1" applyFill="1" applyBorder="1" applyAlignment="1" applyProtection="1">
      <alignment horizontal="center" vertical="center" wrapText="1"/>
    </xf>
    <xf numFmtId="2" fontId="0" fillId="0" borderId="12" xfId="0" applyNumberFormat="1" applyFont="1" applyFill="1" applyBorder="1" applyAlignment="1" applyProtection="1">
      <alignment horizontal="center" vertical="center" wrapText="1"/>
    </xf>
    <xf numFmtId="2" fontId="0" fillId="0" borderId="15" xfId="0" applyNumberFormat="1" applyFont="1" applyFill="1" applyBorder="1" applyAlignment="1" applyProtection="1">
      <alignment horizontal="center" vertical="center" wrapText="1"/>
    </xf>
    <xf numFmtId="185" fontId="0" fillId="0" borderId="12" xfId="0" applyNumberFormat="1" applyFont="1" applyFill="1" applyBorder="1" applyAlignment="1" applyProtection="1">
      <alignment horizontal="center" vertical="center" wrapText="1"/>
    </xf>
    <xf numFmtId="185" fontId="0" fillId="0" borderId="15" xfId="0" applyNumberFormat="1" applyFont="1" applyFill="1" applyBorder="1" applyAlignment="1" applyProtection="1">
      <alignment horizontal="center" vertical="center" wrapText="1"/>
    </xf>
    <xf numFmtId="0" fontId="16" fillId="0" borderId="4" xfId="0" applyNumberFormat="1" applyFont="1" applyFill="1" applyBorder="1" applyAlignment="1" applyProtection="1">
      <alignment horizontal="center" vertical="center" wrapText="1"/>
    </xf>
    <xf numFmtId="0" fontId="18" fillId="0" borderId="2" xfId="0" applyNumberFormat="1" applyFont="1" applyFill="1" applyBorder="1" applyAlignment="1" applyProtection="1">
      <alignment horizontal="center" vertical="center" wrapText="1"/>
    </xf>
    <xf numFmtId="0" fontId="18" fillId="0" borderId="4" xfId="0" applyNumberFormat="1" applyFont="1" applyFill="1" applyBorder="1" applyAlignment="1" applyProtection="1">
      <alignment horizontal="center" vertical="center" wrapText="1"/>
    </xf>
    <xf numFmtId="0" fontId="19" fillId="0" borderId="2" xfId="0" applyNumberFormat="1" applyFont="1" applyFill="1" applyBorder="1" applyAlignment="1" applyProtection="1">
      <alignment horizontal="center" vertical="center" wrapText="1"/>
    </xf>
    <xf numFmtId="0" fontId="19" fillId="0" borderId="4" xfId="0" applyNumberFormat="1" applyFont="1" applyFill="1" applyBorder="1" applyAlignment="1" applyProtection="1">
      <alignment horizontal="center" vertical="center" wrapText="1"/>
    </xf>
    <xf numFmtId="0" fontId="17" fillId="0" borderId="8" xfId="0" applyNumberFormat="1" applyFont="1" applyFill="1" applyBorder="1" applyAlignment="1" applyProtection="1">
      <alignment horizontal="center" vertical="center" wrapText="1"/>
    </xf>
    <xf numFmtId="0" fontId="17" fillId="0" borderId="10" xfId="0" applyNumberFormat="1" applyFont="1" applyFill="1" applyBorder="1" applyAlignment="1" applyProtection="1">
      <alignment horizontal="center" vertical="center" wrapText="1"/>
    </xf>
    <xf numFmtId="0" fontId="18" fillId="0" borderId="2" xfId="0" applyNumberFormat="1" applyFont="1" applyFill="1" applyBorder="1" applyAlignment="1" applyProtection="1">
      <alignment horizontal="center" vertical="center"/>
    </xf>
    <xf numFmtId="0" fontId="18" fillId="0" borderId="4" xfId="0" applyNumberFormat="1" applyFont="1" applyFill="1" applyBorder="1" applyAlignment="1" applyProtection="1">
      <alignment horizontal="center" vertical="center"/>
    </xf>
    <xf numFmtId="0" fontId="11" fillId="0" borderId="2" xfId="0" applyNumberFormat="1" applyFont="1" applyFill="1" applyBorder="1" applyAlignment="1" applyProtection="1">
      <alignment horizontal="center" vertical="center" wrapText="1"/>
    </xf>
    <xf numFmtId="0" fontId="11" fillId="0" borderId="4" xfId="0" applyNumberFormat="1" applyFont="1" applyFill="1" applyBorder="1" applyAlignment="1" applyProtection="1">
      <alignment horizontal="center" vertical="center" wrapText="1"/>
    </xf>
    <xf numFmtId="3" fontId="0" fillId="0" borderId="14" xfId="0" applyNumberFormat="1" applyFont="1" applyFill="1" applyBorder="1" applyAlignment="1" applyProtection="1">
      <alignment horizontal="center" vertical="center" wrapText="1"/>
    </xf>
    <xf numFmtId="3" fontId="0" fillId="0" borderId="8" xfId="0" applyNumberFormat="1" applyFont="1" applyFill="1" applyBorder="1" applyAlignment="1" applyProtection="1">
      <alignment horizontal="center" vertical="center" wrapText="1"/>
    </xf>
    <xf numFmtId="0" fontId="0" fillId="0" borderId="14" xfId="0" applyNumberFormat="1" applyFont="1" applyFill="1" applyBorder="1" applyAlignment="1" applyProtection="1">
      <alignment horizontal="center"/>
    </xf>
    <xf numFmtId="0" fontId="0" fillId="0" borderId="8" xfId="0" applyNumberFormat="1" applyFont="1" applyFill="1" applyBorder="1" applyAlignment="1" applyProtection="1">
      <alignment horizontal="center"/>
    </xf>
    <xf numFmtId="0" fontId="0" fillId="0" borderId="2" xfId="0" applyNumberFormat="1" applyFont="1" applyFill="1" applyBorder="1" applyAlignment="1" applyProtection="1">
      <alignment horizontal="center"/>
    </xf>
    <xf numFmtId="0" fontId="0" fillId="0" borderId="4" xfId="0" applyNumberFormat="1" applyFont="1" applyFill="1" applyBorder="1" applyAlignment="1" applyProtection="1">
      <alignment horizontal="center"/>
    </xf>
    <xf numFmtId="0" fontId="0" fillId="0" borderId="3" xfId="0" applyNumberFormat="1" applyFont="1" applyFill="1" applyBorder="1" applyAlignment="1" applyProtection="1">
      <alignment horizontal="center"/>
    </xf>
    <xf numFmtId="176" fontId="0" fillId="0" borderId="4" xfId="0" applyNumberFormat="1" applyFont="1" applyFill="1" applyBorder="1" applyAlignment="1" applyProtection="1">
      <alignment horizontal="center" vertical="center" wrapText="1"/>
    </xf>
    <xf numFmtId="176" fontId="0" fillId="0" borderId="3" xfId="0" applyNumberFormat="1" applyFont="1" applyFill="1" applyBorder="1" applyAlignment="1" applyProtection="1">
      <alignment horizontal="center" vertical="center" wrapText="1"/>
    </xf>
    <xf numFmtId="2" fontId="0" fillId="0" borderId="3" xfId="0" applyNumberFormat="1" applyFont="1" applyFill="1" applyBorder="1" applyAlignment="1" applyProtection="1">
      <alignment horizontal="center" vertical="center" wrapText="1"/>
    </xf>
    <xf numFmtId="2" fontId="0" fillId="0" borderId="4" xfId="0" applyNumberFormat="1" applyFont="1" applyFill="1" applyBorder="1" applyAlignment="1" applyProtection="1">
      <alignment horizontal="center" vertical="center" wrapText="1"/>
    </xf>
    <xf numFmtId="185" fontId="0" fillId="0" borderId="3" xfId="0" applyNumberFormat="1" applyFont="1" applyFill="1" applyBorder="1" applyAlignment="1" applyProtection="1">
      <alignment horizontal="center" vertical="center" wrapText="1"/>
    </xf>
    <xf numFmtId="185" fontId="0" fillId="0" borderId="4" xfId="0" applyNumberFormat="1" applyFont="1" applyFill="1" applyBorder="1" applyAlignment="1" applyProtection="1">
      <alignment horizontal="center" vertical="center" wrapText="1"/>
    </xf>
    <xf numFmtId="176" fontId="0" fillId="0" borderId="8" xfId="0" applyNumberFormat="1" applyFont="1" applyFill="1" applyBorder="1" applyAlignment="1" applyProtection="1">
      <alignment horizontal="center" vertical="center" wrapText="1"/>
    </xf>
    <xf numFmtId="176" fontId="0" fillId="0" borderId="5" xfId="0" applyNumberFormat="1" applyFont="1" applyFill="1" applyBorder="1" applyAlignment="1" applyProtection="1">
      <alignment horizontal="center" vertical="center" wrapText="1"/>
    </xf>
    <xf numFmtId="176" fontId="0" fillId="0" borderId="10" xfId="0" applyNumberFormat="1" applyFont="1" applyFill="1" applyBorder="1" applyAlignment="1" applyProtection="1">
      <alignment horizontal="center" vertical="center" wrapText="1"/>
    </xf>
    <xf numFmtId="176" fontId="0" fillId="0" borderId="7" xfId="0" applyNumberFormat="1" applyFont="1" applyFill="1" applyBorder="1" applyAlignment="1" applyProtection="1">
      <alignment horizontal="center" vertical="center" wrapText="1"/>
    </xf>
    <xf numFmtId="2" fontId="0" fillId="0" borderId="8" xfId="0" applyNumberFormat="1" applyFont="1" applyFill="1" applyBorder="1" applyAlignment="1" applyProtection="1">
      <alignment horizontal="center" vertical="center" wrapText="1"/>
    </xf>
    <xf numFmtId="2" fontId="0" fillId="0" borderId="5" xfId="0" applyNumberFormat="1" applyFont="1" applyFill="1" applyBorder="1" applyAlignment="1" applyProtection="1">
      <alignment horizontal="center" vertical="center" wrapText="1"/>
    </xf>
    <xf numFmtId="2" fontId="0" fillId="0" borderId="10" xfId="0" applyNumberFormat="1" applyFont="1" applyFill="1" applyBorder="1" applyAlignment="1" applyProtection="1">
      <alignment horizontal="center" vertical="center" wrapText="1"/>
    </xf>
    <xf numFmtId="2" fontId="0" fillId="0" borderId="7" xfId="0" applyNumberFormat="1" applyFont="1" applyFill="1" applyBorder="1" applyAlignment="1" applyProtection="1">
      <alignment horizontal="center" vertical="center" wrapText="1"/>
    </xf>
    <xf numFmtId="185" fontId="0" fillId="0" borderId="8" xfId="0" applyNumberFormat="1" applyFont="1" applyFill="1" applyBorder="1" applyAlignment="1" applyProtection="1">
      <alignment horizontal="center" vertical="center" wrapText="1"/>
    </xf>
    <xf numFmtId="185" fontId="0" fillId="0" borderId="5" xfId="0" applyNumberFormat="1" applyFont="1" applyFill="1" applyBorder="1" applyAlignment="1" applyProtection="1">
      <alignment horizontal="center" vertical="center" wrapText="1"/>
    </xf>
    <xf numFmtId="185" fontId="0" fillId="0" borderId="10" xfId="0" applyNumberFormat="1" applyFont="1" applyFill="1" applyBorder="1" applyAlignment="1" applyProtection="1">
      <alignment horizontal="center" vertical="center" wrapText="1"/>
    </xf>
    <xf numFmtId="185" fontId="0" fillId="0" borderId="7" xfId="0" applyNumberFormat="1" applyFont="1" applyFill="1" applyBorder="1" applyAlignment="1" applyProtection="1">
      <alignment horizontal="center" vertical="center" wrapText="1"/>
    </xf>
    <xf numFmtId="0" fontId="0" fillId="4" borderId="2" xfId="0" applyNumberFormat="1" applyFont="1" applyFill="1" applyBorder="1" applyAlignment="1" applyProtection="1">
      <alignment horizontal="center" vertical="center" wrapText="1"/>
    </xf>
    <xf numFmtId="0" fontId="0" fillId="4" borderId="4" xfId="0" applyNumberFormat="1" applyFont="1" applyFill="1" applyBorder="1" applyAlignment="1" applyProtection="1">
      <alignment horizontal="center" vertical="center" wrapText="1"/>
    </xf>
    <xf numFmtId="176" fontId="0" fillId="4" borderId="2" xfId="0" applyNumberFormat="1" applyFont="1" applyFill="1" applyBorder="1" applyAlignment="1" applyProtection="1">
      <alignment horizontal="center" vertical="center" wrapText="1"/>
    </xf>
    <xf numFmtId="176" fontId="0" fillId="4" borderId="4" xfId="0" applyNumberFormat="1" applyFont="1" applyFill="1" applyBorder="1" applyAlignment="1" applyProtection="1">
      <alignment horizontal="center" vertical="center" wrapText="1"/>
    </xf>
    <xf numFmtId="2" fontId="0" fillId="4" borderId="2" xfId="0" applyNumberFormat="1" applyFont="1" applyFill="1" applyBorder="1" applyAlignment="1" applyProtection="1">
      <alignment horizontal="center" vertical="center" wrapText="1"/>
    </xf>
    <xf numFmtId="2" fontId="0" fillId="4" borderId="4" xfId="0" applyNumberFormat="1" applyFont="1" applyFill="1" applyBorder="1" applyAlignment="1" applyProtection="1">
      <alignment horizontal="center" vertical="center" wrapText="1"/>
    </xf>
    <xf numFmtId="0" fontId="20" fillId="0" borderId="5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 wrapText="1"/>
    </xf>
    <xf numFmtId="0" fontId="20" fillId="0" borderId="14" xfId="0" applyNumberFormat="1" applyFont="1" applyFill="1" applyBorder="1" applyAlignment="1" applyProtection="1">
      <alignment horizontal="center" vertical="center" wrapText="1"/>
    </xf>
    <xf numFmtId="0" fontId="20" fillId="0" borderId="8" xfId="0" applyNumberFormat="1" applyFont="1" applyFill="1" applyBorder="1" applyAlignment="1" applyProtection="1">
      <alignment horizontal="center" vertical="center" wrapText="1"/>
    </xf>
    <xf numFmtId="0" fontId="20" fillId="0" borderId="6" xfId="0" applyNumberFormat="1" applyFont="1" applyFill="1" applyBorder="1" applyAlignment="1" applyProtection="1">
      <alignment horizontal="center" vertical="center" wrapText="1"/>
    </xf>
    <xf numFmtId="0" fontId="20" fillId="0" borderId="15" xfId="0" applyNumberFormat="1" applyFont="1" applyFill="1" applyBorder="1" applyAlignment="1" applyProtection="1">
      <alignment horizontal="center" vertical="center" wrapText="1"/>
    </xf>
    <xf numFmtId="0" fontId="20" fillId="0" borderId="16" xfId="0" applyNumberFormat="1" applyFont="1" applyFill="1" applyBorder="1" applyAlignment="1" applyProtection="1">
      <alignment horizontal="center" vertical="center" wrapText="1"/>
    </xf>
    <xf numFmtId="0" fontId="20" fillId="0" borderId="10" xfId="0" applyNumberFormat="1" applyFont="1" applyFill="1" applyBorder="1" applyAlignment="1" applyProtection="1">
      <alignment horizontal="center" vertical="center" wrapText="1"/>
    </xf>
    <xf numFmtId="0" fontId="20" fillId="0" borderId="5" xfId="0" applyNumberFormat="1" applyFont="1" applyFill="1" applyBorder="1" applyAlignment="1" applyProtection="1">
      <alignment horizontal="center" vertical="center"/>
    </xf>
    <xf numFmtId="0" fontId="20" fillId="0" borderId="7" xfId="0" applyNumberFormat="1" applyFont="1" applyFill="1" applyBorder="1" applyAlignment="1" applyProtection="1">
      <alignment horizontal="center" vertical="center"/>
    </xf>
    <xf numFmtId="0" fontId="20" fillId="0" borderId="7" xfId="0" applyNumberFormat="1" applyFont="1" applyFill="1" applyBorder="1" applyAlignment="1" applyProtection="1">
      <alignment horizontal="center" vertical="center" wrapText="1"/>
    </xf>
    <xf numFmtId="0" fontId="20" fillId="0" borderId="2" xfId="0" applyNumberFormat="1" applyFont="1" applyFill="1" applyBorder="1" applyAlignment="1" applyProtection="1">
      <alignment horizontal="center" vertical="center" wrapText="1"/>
    </xf>
    <xf numFmtId="0" fontId="20" fillId="0" borderId="3" xfId="0" applyNumberFormat="1" applyFont="1" applyFill="1" applyBorder="1" applyAlignment="1" applyProtection="1">
      <alignment horizontal="center" vertical="center" wrapText="1"/>
    </xf>
    <xf numFmtId="0" fontId="20" fillId="0" borderId="4" xfId="0" applyNumberFormat="1" applyFont="1" applyFill="1" applyBorder="1" applyAlignment="1" applyProtection="1">
      <alignment horizontal="center" vertical="center" wrapText="1"/>
    </xf>
    <xf numFmtId="180" fontId="20" fillId="0" borderId="2" xfId="0" applyNumberFormat="1" applyFont="1" applyFill="1" applyBorder="1" applyAlignment="1" applyProtection="1">
      <alignment horizontal="center" vertical="center" wrapText="1"/>
    </xf>
    <xf numFmtId="189" fontId="20" fillId="0" borderId="2" xfId="0" applyNumberFormat="1" applyFont="1" applyFill="1" applyBorder="1" applyAlignment="1" applyProtection="1">
      <alignment horizontal="center" vertical="center" wrapText="1"/>
    </xf>
    <xf numFmtId="190" fontId="0" fillId="0" borderId="5" xfId="0" applyNumberFormat="1" applyFont="1" applyFill="1" applyBorder="1" applyAlignment="1" applyProtection="1">
      <alignment horizontal="center" vertical="center" wrapText="1"/>
    </xf>
    <xf numFmtId="189" fontId="0" fillId="0" borderId="12" xfId="0" applyNumberFormat="1" applyFont="1" applyFill="1" applyBorder="1" applyAlignment="1" applyProtection="1">
      <alignment horizontal="center" vertical="center" wrapText="1"/>
    </xf>
    <xf numFmtId="190" fontId="0" fillId="0" borderId="7" xfId="0" applyNumberFormat="1" applyFont="1" applyFill="1" applyBorder="1" applyAlignment="1" applyProtection="1">
      <alignment horizontal="center" vertical="center" wrapText="1"/>
    </xf>
    <xf numFmtId="189" fontId="0" fillId="0" borderId="15" xfId="0" applyNumberFormat="1" applyFont="1" applyFill="1" applyBorder="1" applyAlignment="1" applyProtection="1">
      <alignment horizontal="center" vertical="center" wrapText="1"/>
    </xf>
    <xf numFmtId="0" fontId="20" fillId="0" borderId="12" xfId="0" applyNumberFormat="1" applyFont="1" applyFill="1" applyBorder="1" applyAlignment="1" applyProtection="1">
      <alignment horizontal="center" vertical="center"/>
    </xf>
    <xf numFmtId="0" fontId="20" fillId="0" borderId="15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center" vertical="center" wrapText="1"/>
    </xf>
    <xf numFmtId="0" fontId="20" fillId="0" borderId="0" xfId="0" applyNumberFormat="1" applyFont="1" applyFill="1" applyBorder="1" applyAlignment="1" applyProtection="1">
      <alignment horizontal="center" vertical="center" wrapText="1"/>
    </xf>
    <xf numFmtId="0" fontId="21" fillId="0" borderId="12" xfId="0" applyNumberFormat="1" applyFont="1" applyFill="1" applyBorder="1" applyAlignment="1" applyProtection="1">
      <alignment horizontal="left" vertical="center" wrapText="1"/>
    </xf>
    <xf numFmtId="0" fontId="21" fillId="0" borderId="14" xfId="0" applyNumberFormat="1" applyFont="1" applyFill="1" applyBorder="1" applyAlignment="1" applyProtection="1">
      <alignment horizontal="left" vertical="center" wrapText="1"/>
    </xf>
    <xf numFmtId="0" fontId="21" fillId="0" borderId="13" xfId="0" applyNumberFormat="1" applyFont="1" applyFill="1" applyBorder="1" applyAlignment="1" applyProtection="1">
      <alignment horizontal="left" vertical="center" wrapText="1"/>
    </xf>
    <xf numFmtId="0" fontId="21" fillId="0" borderId="0" xfId="0" applyNumberFormat="1" applyFont="1" applyFill="1" applyBorder="1" applyAlignment="1" applyProtection="1">
      <alignment horizontal="left" vertical="center" wrapText="1"/>
    </xf>
    <xf numFmtId="0" fontId="21" fillId="0" borderId="15" xfId="0" applyNumberFormat="1" applyFont="1" applyFill="1" applyBorder="1" applyAlignment="1" applyProtection="1">
      <alignment horizontal="left" vertical="center" wrapText="1"/>
    </xf>
    <xf numFmtId="0" fontId="21" fillId="0" borderId="16" xfId="0" applyNumberFormat="1" applyFont="1" applyFill="1" applyBorder="1" applyAlignment="1" applyProtection="1">
      <alignment horizontal="left" vertical="center" wrapText="1"/>
    </xf>
    <xf numFmtId="0" fontId="0" fillId="4" borderId="12" xfId="0" applyNumberFormat="1" applyFont="1" applyFill="1" applyBorder="1" applyAlignment="1" applyProtection="1">
      <alignment horizontal="center" vertical="center" wrapText="1"/>
    </xf>
    <xf numFmtId="0" fontId="0" fillId="4" borderId="14" xfId="0" applyNumberFormat="1" applyFont="1" applyFill="1" applyBorder="1" applyAlignment="1" applyProtection="1">
      <alignment horizontal="center" vertical="center" wrapText="1"/>
    </xf>
    <xf numFmtId="0" fontId="0" fillId="4" borderId="8" xfId="0" applyNumberFormat="1" applyFont="1" applyFill="1" applyBorder="1" applyAlignment="1" applyProtection="1">
      <alignment horizontal="center" vertical="center" wrapText="1"/>
    </xf>
    <xf numFmtId="0" fontId="0" fillId="4" borderId="15" xfId="0" applyNumberFormat="1" applyFont="1" applyFill="1" applyBorder="1" applyAlignment="1" applyProtection="1">
      <alignment horizontal="center" vertical="center" wrapText="1"/>
    </xf>
    <xf numFmtId="0" fontId="0" fillId="4" borderId="16" xfId="0" applyNumberFormat="1" applyFont="1" applyFill="1" applyBorder="1" applyAlignment="1" applyProtection="1">
      <alignment horizontal="center" vertical="center" wrapText="1"/>
    </xf>
    <xf numFmtId="0" fontId="0" fillId="4" borderId="10" xfId="0" applyNumberFormat="1" applyFont="1" applyFill="1" applyBorder="1" applyAlignment="1" applyProtection="1">
      <alignment horizontal="center" vertical="center" wrapText="1"/>
    </xf>
    <xf numFmtId="189" fontId="15" fillId="0" borderId="5" xfId="0" applyNumberFormat="1" applyFont="1" applyFill="1" applyBorder="1" applyAlignment="1" applyProtection="1">
      <alignment horizontal="center" vertical="center" wrapText="1"/>
    </xf>
    <xf numFmtId="189" fontId="0" fillId="0" borderId="5" xfId="0" applyNumberFormat="1" applyFont="1" applyFill="1" applyBorder="1" applyAlignment="1" applyProtection="1">
      <alignment horizontal="center" vertical="center" wrapText="1"/>
    </xf>
    <xf numFmtId="189" fontId="15" fillId="0" borderId="7" xfId="0" applyNumberFormat="1" applyFont="1" applyFill="1" applyBorder="1" applyAlignment="1" applyProtection="1">
      <alignment horizontal="center" vertical="center" wrapText="1"/>
    </xf>
    <xf numFmtId="189" fontId="0" fillId="0" borderId="7" xfId="0" applyNumberFormat="1" applyFont="1" applyFill="1" applyBorder="1" applyAlignment="1" applyProtection="1">
      <alignment horizontal="center" vertical="center" wrapText="1"/>
    </xf>
    <xf numFmtId="184" fontId="20" fillId="0" borderId="12" xfId="0" applyNumberFormat="1" applyFont="1" applyFill="1" applyBorder="1" applyAlignment="1" applyProtection="1">
      <alignment horizontal="center" vertical="center" wrapText="1"/>
    </xf>
    <xf numFmtId="184" fontId="20" fillId="0" borderId="14" xfId="0" applyNumberFormat="1" applyFont="1" applyFill="1" applyBorder="1" applyAlignment="1" applyProtection="1">
      <alignment horizontal="center" vertical="center" wrapText="1"/>
    </xf>
    <xf numFmtId="184" fontId="20" fillId="0" borderId="8" xfId="0" applyNumberFormat="1" applyFont="1" applyFill="1" applyBorder="1" applyAlignment="1" applyProtection="1">
      <alignment horizontal="center" vertical="center" wrapText="1"/>
    </xf>
    <xf numFmtId="184" fontId="20" fillId="0" borderId="15" xfId="0" applyNumberFormat="1" applyFont="1" applyFill="1" applyBorder="1" applyAlignment="1" applyProtection="1">
      <alignment horizontal="center" vertical="center" wrapText="1"/>
    </xf>
    <xf numFmtId="184" fontId="20" fillId="0" borderId="16" xfId="0" applyNumberFormat="1" applyFont="1" applyFill="1" applyBorder="1" applyAlignment="1" applyProtection="1">
      <alignment horizontal="center" vertical="center" wrapText="1"/>
    </xf>
    <xf numFmtId="184" fontId="20" fillId="0" borderId="10" xfId="0" applyNumberFormat="1" applyFont="1" applyFill="1" applyBorder="1" applyAlignment="1" applyProtection="1">
      <alignment horizontal="center" vertical="center" wrapText="1"/>
    </xf>
    <xf numFmtId="2" fontId="20" fillId="0" borderId="12" xfId="0" applyNumberFormat="1" applyFont="1" applyFill="1" applyBorder="1" applyAlignment="1" applyProtection="1">
      <alignment horizontal="center" vertical="center" wrapText="1"/>
    </xf>
    <xf numFmtId="2" fontId="20" fillId="0" borderId="14" xfId="0" applyNumberFormat="1" applyFont="1" applyFill="1" applyBorder="1" applyAlignment="1" applyProtection="1">
      <alignment horizontal="center" vertical="center" wrapText="1"/>
    </xf>
    <xf numFmtId="2" fontId="20" fillId="0" borderId="8" xfId="0" applyNumberFormat="1" applyFont="1" applyFill="1" applyBorder="1" applyAlignment="1" applyProtection="1">
      <alignment horizontal="center" vertical="center" wrapText="1"/>
    </xf>
    <xf numFmtId="2" fontId="20" fillId="0" borderId="15" xfId="0" applyNumberFormat="1" applyFont="1" applyFill="1" applyBorder="1" applyAlignment="1" applyProtection="1">
      <alignment horizontal="center" vertical="center" wrapText="1"/>
    </xf>
    <xf numFmtId="2" fontId="20" fillId="0" borderId="16" xfId="0" applyNumberFormat="1" applyFont="1" applyFill="1" applyBorder="1" applyAlignment="1" applyProtection="1">
      <alignment horizontal="center" vertical="center" wrapText="1"/>
    </xf>
    <xf numFmtId="2" fontId="20" fillId="0" borderId="10" xfId="0" applyNumberFormat="1" applyFont="1" applyFill="1" applyBorder="1" applyAlignment="1" applyProtection="1">
      <alignment horizontal="center" vertical="center" wrapText="1"/>
    </xf>
    <xf numFmtId="180" fontId="20" fillId="0" borderId="3" xfId="0" applyNumberFormat="1" applyFont="1" applyFill="1" applyBorder="1" applyAlignment="1" applyProtection="1">
      <alignment horizontal="center" vertical="center" wrapText="1"/>
    </xf>
    <xf numFmtId="180" fontId="20" fillId="0" borderId="4" xfId="0" applyNumberFormat="1" applyFont="1" applyFill="1" applyBorder="1" applyAlignment="1" applyProtection="1">
      <alignment horizontal="center" vertical="center" wrapText="1"/>
    </xf>
    <xf numFmtId="180" fontId="20" fillId="0" borderId="12" xfId="0" applyNumberFormat="1" applyFont="1" applyFill="1" applyBorder="1" applyAlignment="1" applyProtection="1">
      <alignment horizontal="center" vertical="center" wrapText="1"/>
    </xf>
    <xf numFmtId="180" fontId="20" fillId="0" borderId="14" xfId="0" applyNumberFormat="1" applyFont="1" applyFill="1" applyBorder="1" applyAlignment="1" applyProtection="1">
      <alignment horizontal="center" vertical="center" wrapText="1"/>
    </xf>
    <xf numFmtId="180" fontId="20" fillId="0" borderId="8" xfId="0" applyNumberFormat="1" applyFont="1" applyFill="1" applyBorder="1" applyAlignment="1" applyProtection="1">
      <alignment horizontal="center" vertical="center" wrapText="1"/>
    </xf>
    <xf numFmtId="189" fontId="20" fillId="0" borderId="3" xfId="0" applyNumberFormat="1" applyFont="1" applyFill="1" applyBorder="1" applyAlignment="1" applyProtection="1">
      <alignment horizontal="center" vertical="center" wrapText="1"/>
    </xf>
    <xf numFmtId="189" fontId="20" fillId="0" borderId="4" xfId="0" applyNumberFormat="1" applyFont="1" applyFill="1" applyBorder="1" applyAlignment="1" applyProtection="1">
      <alignment horizontal="center" vertical="center" wrapText="1"/>
    </xf>
    <xf numFmtId="180" fontId="20" fillId="0" borderId="13" xfId="0" applyNumberFormat="1" applyFont="1" applyFill="1" applyBorder="1" applyAlignment="1" applyProtection="1">
      <alignment horizontal="center" vertical="center" wrapText="1"/>
    </xf>
    <xf numFmtId="180" fontId="20" fillId="0" borderId="0" xfId="0" applyNumberFormat="1" applyFont="1" applyFill="1" applyBorder="1" applyAlignment="1" applyProtection="1">
      <alignment horizontal="center" vertical="center" wrapText="1"/>
    </xf>
    <xf numFmtId="180" fontId="20" fillId="0" borderId="9" xfId="0" applyNumberFormat="1" applyFont="1" applyFill="1" applyBorder="1" applyAlignment="1" applyProtection="1">
      <alignment horizontal="center" vertical="center" wrapText="1"/>
    </xf>
    <xf numFmtId="180" fontId="20" fillId="0" borderId="15" xfId="0" applyNumberFormat="1" applyFont="1" applyFill="1" applyBorder="1" applyAlignment="1" applyProtection="1">
      <alignment horizontal="center" vertical="center" wrapText="1"/>
    </xf>
    <xf numFmtId="180" fontId="20" fillId="0" borderId="16" xfId="0" applyNumberFormat="1" applyFont="1" applyFill="1" applyBorder="1" applyAlignment="1" applyProtection="1">
      <alignment horizontal="center" vertical="center" wrapText="1"/>
    </xf>
    <xf numFmtId="180" fontId="20" fillId="0" borderId="10" xfId="0" applyNumberFormat="1" applyFont="1" applyFill="1" applyBorder="1" applyAlignment="1" applyProtection="1">
      <alignment horizontal="center" vertical="center" wrapText="1"/>
    </xf>
    <xf numFmtId="189" fontId="0" fillId="0" borderId="8" xfId="0" applyNumberFormat="1" applyFont="1" applyFill="1" applyBorder="1" applyAlignment="1" applyProtection="1">
      <alignment horizontal="center" vertical="center" wrapText="1"/>
    </xf>
    <xf numFmtId="190" fontId="20" fillId="0" borderId="5" xfId="0" applyNumberFormat="1" applyFont="1" applyFill="1" applyBorder="1" applyAlignment="1" applyProtection="1">
      <alignment horizontal="center" vertical="center" wrapText="1"/>
    </xf>
    <xf numFmtId="191" fontId="0" fillId="4" borderId="12" xfId="0" applyNumberFormat="1" applyFont="1" applyFill="1" applyBorder="1" applyAlignment="1" applyProtection="1">
      <alignment horizontal="center" vertical="center" wrapText="1"/>
    </xf>
    <xf numFmtId="191" fontId="0" fillId="4" borderId="8" xfId="0" applyNumberFormat="1" applyFont="1" applyFill="1" applyBorder="1" applyAlignment="1" applyProtection="1">
      <alignment horizontal="center" vertical="center" wrapText="1"/>
    </xf>
    <xf numFmtId="189" fontId="0" fillId="0" borderId="10" xfId="0" applyNumberFormat="1" applyFont="1" applyFill="1" applyBorder="1" applyAlignment="1" applyProtection="1">
      <alignment horizontal="center" vertical="center" wrapText="1"/>
    </xf>
    <xf numFmtId="190" fontId="20" fillId="0" borderId="7" xfId="0" applyNumberFormat="1" applyFont="1" applyFill="1" applyBorder="1" applyAlignment="1" applyProtection="1">
      <alignment horizontal="center" vertical="center" wrapText="1"/>
    </xf>
    <xf numFmtId="191" fontId="0" fillId="4" borderId="15" xfId="0" applyNumberFormat="1" applyFont="1" applyFill="1" applyBorder="1" applyAlignment="1" applyProtection="1">
      <alignment horizontal="center" vertical="center" wrapText="1"/>
    </xf>
    <xf numFmtId="191" fontId="0" fillId="4" borderId="10" xfId="0" applyNumberFormat="1" applyFont="1" applyFill="1" applyBorder="1" applyAlignment="1" applyProtection="1">
      <alignment horizontal="center" vertical="center" wrapText="1"/>
    </xf>
    <xf numFmtId="0" fontId="20" fillId="0" borderId="14" xfId="0" applyNumberFormat="1" applyFont="1" applyFill="1" applyBorder="1" applyAlignment="1" applyProtection="1">
      <alignment horizontal="center" vertical="center"/>
    </xf>
    <xf numFmtId="0" fontId="20" fillId="0" borderId="8" xfId="0" applyNumberFormat="1" applyFont="1" applyFill="1" applyBorder="1" applyAlignment="1" applyProtection="1">
      <alignment horizontal="center" vertical="center"/>
    </xf>
    <xf numFmtId="0" fontId="20" fillId="0" borderId="16" xfId="0" applyNumberFormat="1" applyFont="1" applyFill="1" applyBorder="1" applyAlignment="1" applyProtection="1">
      <alignment horizontal="center" vertical="center"/>
    </xf>
    <xf numFmtId="0" fontId="20" fillId="0" borderId="10" xfId="0" applyNumberFormat="1" applyFont="1" applyFill="1" applyBorder="1" applyAlignment="1" applyProtection="1">
      <alignment horizontal="center" vertical="center"/>
    </xf>
    <xf numFmtId="0" fontId="0" fillId="0" borderId="5" xfId="0" applyNumberFormat="1" applyFont="1" applyFill="1" applyBorder="1" applyAlignment="1" applyProtection="1">
      <alignment horizontal="center"/>
    </xf>
    <xf numFmtId="0" fontId="0" fillId="0" borderId="7" xfId="0" applyNumberFormat="1" applyFont="1" applyFill="1" applyBorder="1" applyAlignment="1" applyProtection="1">
      <alignment horizontal="center"/>
    </xf>
    <xf numFmtId="0" fontId="0" fillId="0" borderId="15" xfId="0" applyNumberFormat="1" applyFont="1" applyFill="1" applyBorder="1" applyAlignment="1" applyProtection="1">
      <alignment horizontal="center"/>
    </xf>
    <xf numFmtId="0" fontId="0" fillId="0" borderId="10" xfId="0" applyNumberFormat="1" applyFont="1" applyFill="1" applyBorder="1" applyAlignment="1" applyProtection="1">
      <alignment horizontal="center"/>
    </xf>
    <xf numFmtId="0" fontId="20" fillId="0" borderId="9" xfId="0" applyNumberFormat="1" applyFont="1" applyFill="1" applyBorder="1" applyAlignment="1" applyProtection="1">
      <alignment horizontal="center" vertical="center" wrapText="1"/>
    </xf>
    <xf numFmtId="0" fontId="20" fillId="0" borderId="13" xfId="0" applyNumberFormat="1" applyFont="1" applyFill="1" applyBorder="1" applyAlignment="1" applyProtection="1">
      <alignment horizontal="left" vertical="center" wrapText="1"/>
    </xf>
    <xf numFmtId="0" fontId="20" fillId="0" borderId="9" xfId="0" applyNumberFormat="1" applyFont="1" applyFill="1" applyBorder="1" applyAlignment="1" applyProtection="1">
      <alignment horizontal="left" vertical="center" wrapText="1"/>
    </xf>
    <xf numFmtId="0" fontId="20" fillId="0" borderId="15" xfId="0" applyNumberFormat="1" applyFont="1" applyFill="1" applyBorder="1" applyAlignment="1" applyProtection="1">
      <alignment horizontal="left" vertical="center" wrapText="1"/>
    </xf>
    <xf numFmtId="0" fontId="20" fillId="0" borderId="10" xfId="0" applyNumberFormat="1" applyFont="1" applyFill="1" applyBorder="1" applyAlignment="1" applyProtection="1">
      <alignment horizontal="left" vertical="center" wrapText="1"/>
    </xf>
    <xf numFmtId="0" fontId="21" fillId="0" borderId="8" xfId="0" applyNumberFormat="1" applyFont="1" applyFill="1" applyBorder="1" applyAlignment="1" applyProtection="1">
      <alignment horizontal="left" vertical="center" wrapText="1"/>
    </xf>
    <xf numFmtId="0" fontId="21" fillId="0" borderId="9" xfId="0" applyNumberFormat="1" applyFont="1" applyFill="1" applyBorder="1" applyAlignment="1" applyProtection="1">
      <alignment horizontal="left" vertical="center" wrapText="1"/>
    </xf>
    <xf numFmtId="0" fontId="21" fillId="0" borderId="10" xfId="0" applyNumberFormat="1" applyFont="1" applyFill="1" applyBorder="1" applyAlignment="1" applyProtection="1">
      <alignment horizontal="left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0</xdr:row>
      <xdr:rowOff>57150</xdr:rowOff>
    </xdr:from>
    <xdr:to>
      <xdr:col>1</xdr:col>
      <xdr:colOff>571500</xdr:colOff>
      <xdr:row>2</xdr:row>
      <xdr:rowOff>180975</xdr:rowOff>
    </xdr:to>
    <xdr:sp>
      <xdr:nvSpPr>
        <xdr:cNvPr id="2" name="图片 1"/>
        <xdr:cNvSpPr/>
      </xdr:nvSpPr>
      <xdr:spPr>
        <a:xfrm>
          <a:off x="38100" y="57150"/>
          <a:ext cx="943610" cy="638175"/>
        </a:xfrm>
        <a:prstGeom prst="rect">
          <a:avLst/>
        </a:prstGeom>
        <a:blipFill>
          <a:blip r:embed="rId1"/>
          <a:stretch>
            <a:fillRect/>
          </a:stretch>
        </a:blipFill>
      </xdr:spPr>
      <xdr:txBody>
        <a:bodyPr vertOverflow="clip" horzOverflow="clip" vert="horz" wrap="square" rtlCol="0" anchor="ctr" upright="1"/>
        <a:lstStyle/>
        <a:p>
          <a:pPr algn="ctr"/>
          <a:endParaRPr lang="en-US" sz="825">
            <a:solidFill>
              <a:srgbClr val="000000"/>
            </a:solidFill>
            <a:latin typeface="Microsoft Sans Serif" panose="020B0604020202020204"/>
          </a:endParaRP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3"/>
  <sheetViews>
    <sheetView showGridLines="0" zoomScale="70" zoomScaleNormal="70" zoomScalePageLayoutView="80" workbookViewId="0">
      <pane topLeftCell="A1" activePane="topLeft"/>
      <selection activeCell="Y49" sqref="Y49"/>
    </sheetView>
  </sheetViews>
  <sheetFormatPr defaultColWidth="9" defaultRowHeight="13.5" customHeight="1"/>
  <cols>
    <col min="1" max="1" width="5.38333333333333" style="1" customWidth="1"/>
    <col min="2" max="2" width="8.75" style="1" customWidth="1"/>
    <col min="3" max="3" width="8.13333333333333" style="1" customWidth="1"/>
    <col min="4" max="5" width="8.5" style="1" customWidth="1"/>
    <col min="6" max="6" width="3.38333333333333" style="1" customWidth="1"/>
    <col min="7" max="7" width="3.5" style="1" customWidth="1"/>
    <col min="8" max="8" width="7.13333333333333" style="1" customWidth="1"/>
    <col min="9" max="9" width="3.75" style="1" customWidth="1"/>
    <col min="10" max="10" width="6.75" style="1" customWidth="1"/>
    <col min="11" max="11" width="7.5" style="1" customWidth="1"/>
    <col min="12" max="12" width="6.88333333333333" style="1" customWidth="1"/>
    <col min="13" max="13" width="8.5" style="1" customWidth="1"/>
    <col min="14" max="14" width="4.75" style="1" customWidth="1"/>
    <col min="15" max="15" width="4.63333333333333" style="165" customWidth="1"/>
    <col min="16" max="16384" width="9" style="1"/>
  </cols>
  <sheetData>
    <row r="1" ht="20.25" customHeight="1" spans="1:15">
      <c r="A1" s="166"/>
      <c r="B1" s="167"/>
      <c r="C1" s="168" t="s">
        <v>0</v>
      </c>
      <c r="D1" s="169"/>
      <c r="E1" s="169"/>
      <c r="F1" s="169"/>
      <c r="G1" s="169"/>
      <c r="H1" s="169"/>
      <c r="I1" s="169"/>
      <c r="J1" s="169"/>
      <c r="K1" s="204"/>
      <c r="L1" s="205" t="s">
        <v>1</v>
      </c>
      <c r="M1" s="206"/>
      <c r="N1" s="207"/>
      <c r="O1" s="208"/>
    </row>
    <row r="2" ht="20.25" customHeight="1" spans="1:15">
      <c r="A2" s="170"/>
      <c r="B2" s="171"/>
      <c r="C2" s="172" t="s">
        <v>2</v>
      </c>
      <c r="D2" s="173"/>
      <c r="E2" s="173"/>
      <c r="F2" s="173"/>
      <c r="G2" s="173"/>
      <c r="H2" s="173"/>
      <c r="I2" s="173"/>
      <c r="J2" s="173"/>
      <c r="K2" s="209"/>
      <c r="L2" s="205" t="s">
        <v>3</v>
      </c>
      <c r="M2" s="206"/>
      <c r="N2" s="207"/>
      <c r="O2" s="208"/>
    </row>
    <row r="3" ht="20.25" customHeight="1" spans="1:15">
      <c r="A3" s="174"/>
      <c r="B3" s="175"/>
      <c r="C3" s="176"/>
      <c r="D3" s="177"/>
      <c r="E3" s="177"/>
      <c r="F3" s="177"/>
      <c r="G3" s="177"/>
      <c r="H3" s="177"/>
      <c r="I3" s="177"/>
      <c r="J3" s="177"/>
      <c r="K3" s="210"/>
      <c r="L3" s="211" t="s">
        <v>4</v>
      </c>
      <c r="M3" s="212"/>
      <c r="N3" s="213"/>
      <c r="O3" s="214"/>
    </row>
    <row r="4" ht="18" customHeight="1" spans="1:15">
      <c r="A4" s="178" t="s">
        <v>5</v>
      </c>
      <c r="B4" s="179"/>
      <c r="C4" s="180"/>
      <c r="D4" s="178" t="s">
        <v>6</v>
      </c>
      <c r="E4" s="179"/>
      <c r="F4" s="179"/>
      <c r="G4" s="180"/>
      <c r="H4" s="178" t="s">
        <v>7</v>
      </c>
      <c r="I4" s="179"/>
      <c r="J4" s="179"/>
      <c r="K4" s="180"/>
      <c r="L4" s="178" t="s">
        <v>8</v>
      </c>
      <c r="M4" s="180"/>
      <c r="N4" s="178" t="s">
        <v>9</v>
      </c>
      <c r="O4" s="180"/>
    </row>
    <row r="5" ht="18" customHeight="1" spans="1:15">
      <c r="A5" s="178" t="str">
        <f>IFERROR(VLOOKUP(MID(D5,3,5),对应信息!A:B,2,0),"")</f>
        <v/>
      </c>
      <c r="B5" s="179"/>
      <c r="C5" s="180"/>
      <c r="D5" s="178" t="s">
        <v>10</v>
      </c>
      <c r="E5" s="179"/>
      <c r="F5" s="179"/>
      <c r="G5" s="180"/>
      <c r="H5" s="181" t="s">
        <v>11</v>
      </c>
      <c r="I5" s="215"/>
      <c r="J5" s="215"/>
      <c r="K5" s="216"/>
      <c r="L5" s="178"/>
      <c r="M5" s="180"/>
      <c r="N5" s="178"/>
      <c r="O5" s="180"/>
    </row>
    <row r="6" ht="18" customHeight="1" spans="1:15">
      <c r="A6" s="182" t="s">
        <v>12</v>
      </c>
      <c r="B6" s="183"/>
      <c r="C6" s="182"/>
      <c r="D6" s="183"/>
      <c r="E6" s="184" t="s">
        <v>13</v>
      </c>
      <c r="F6" s="112"/>
      <c r="G6" s="185"/>
      <c r="H6" s="186"/>
      <c r="I6" s="217"/>
      <c r="J6" s="217"/>
      <c r="K6" s="218"/>
      <c r="L6" s="182" t="s">
        <v>14</v>
      </c>
      <c r="M6" s="183"/>
      <c r="N6" s="182"/>
      <c r="O6" s="183"/>
    </row>
    <row r="7" ht="18" customHeight="1" spans="1:15">
      <c r="A7" s="178" t="s">
        <v>15</v>
      </c>
      <c r="B7" s="180"/>
      <c r="C7" s="178"/>
      <c r="D7" s="180"/>
      <c r="E7" s="178" t="s">
        <v>16</v>
      </c>
      <c r="F7" s="179"/>
      <c r="G7" s="180"/>
      <c r="H7" s="178"/>
      <c r="I7" s="179"/>
      <c r="J7" s="180"/>
      <c r="K7" s="219" t="s">
        <v>17</v>
      </c>
      <c r="L7" s="220"/>
      <c r="M7" s="219" t="s">
        <v>18</v>
      </c>
      <c r="N7" s="221"/>
      <c r="O7" s="220"/>
    </row>
    <row r="8" ht="18.75" customHeight="1" spans="1:15">
      <c r="A8" s="187" t="s">
        <v>19</v>
      </c>
      <c r="B8" s="188" t="s">
        <v>20</v>
      </c>
      <c r="C8" s="189"/>
      <c r="D8" s="190"/>
      <c r="E8" s="188" t="s">
        <v>21</v>
      </c>
      <c r="F8" s="189"/>
      <c r="G8" s="189"/>
      <c r="H8" s="189"/>
      <c r="I8" s="189"/>
      <c r="J8" s="189"/>
      <c r="K8" s="189"/>
      <c r="L8" s="189"/>
      <c r="M8" s="189"/>
      <c r="N8" s="189"/>
      <c r="O8" s="190"/>
    </row>
    <row r="9" ht="18.75" customHeight="1" spans="1:15">
      <c r="A9" s="191">
        <v>1</v>
      </c>
      <c r="B9" s="191" t="s">
        <v>22</v>
      </c>
      <c r="C9" s="182" t="s">
        <v>23</v>
      </c>
      <c r="D9" s="183"/>
      <c r="E9" s="178" t="s">
        <v>24</v>
      </c>
      <c r="F9" s="179"/>
      <c r="G9" s="180"/>
      <c r="H9" s="178" t="s">
        <v>25</v>
      </c>
      <c r="I9" s="179"/>
      <c r="J9" s="179"/>
      <c r="K9" s="179"/>
      <c r="L9" s="179"/>
      <c r="M9" s="179"/>
      <c r="N9" s="179"/>
      <c r="O9" s="180"/>
    </row>
    <row r="10" ht="18.75" customHeight="1" spans="1:15">
      <c r="A10" s="192"/>
      <c r="B10" s="192"/>
      <c r="C10" s="184"/>
      <c r="D10" s="185"/>
      <c r="E10" s="178" t="s">
        <v>26</v>
      </c>
      <c r="F10" s="179"/>
      <c r="G10" s="180"/>
      <c r="H10" s="178" t="s">
        <v>27</v>
      </c>
      <c r="I10" s="179"/>
      <c r="J10" s="180"/>
      <c r="K10" s="193" t="s">
        <v>28</v>
      </c>
      <c r="L10" s="222"/>
      <c r="M10" s="178" t="s">
        <v>28</v>
      </c>
      <c r="N10" s="179"/>
      <c r="O10" s="180"/>
    </row>
    <row r="11" ht="18.75" customHeight="1" spans="1:15">
      <c r="A11" s="192"/>
      <c r="B11" s="192"/>
      <c r="C11" s="184"/>
      <c r="D11" s="185"/>
      <c r="E11" s="178" t="s">
        <v>29</v>
      </c>
      <c r="F11" s="179"/>
      <c r="G11" s="180"/>
      <c r="H11" s="193" t="str">
        <f>波长示值误差与重复性校验!B4</f>
        <v>807.4</v>
      </c>
      <c r="I11" s="223"/>
      <c r="J11" s="222"/>
      <c r="K11" s="193" t="str">
        <f>波长示值误差与重复性校验!B2</f>
        <v>656.1</v>
      </c>
      <c r="L11" s="222"/>
      <c r="M11" s="193" t="str">
        <f>波长示值误差与重复性校验!B3</f>
        <v>486</v>
      </c>
      <c r="N11" s="223"/>
      <c r="O11" s="222"/>
    </row>
    <row r="12" ht="18.75" customHeight="1" spans="1:15">
      <c r="A12" s="192"/>
      <c r="B12" s="192"/>
      <c r="C12" s="184"/>
      <c r="D12" s="185"/>
      <c r="E12" s="182" t="s">
        <v>30</v>
      </c>
      <c r="F12" s="194"/>
      <c r="G12" s="183"/>
      <c r="H12" s="195">
        <f>波长示值误差与重复性校验!C4</f>
        <v>0</v>
      </c>
      <c r="I12" s="224"/>
      <c r="J12" s="225"/>
      <c r="K12" s="195">
        <f>波长示值误差与重复性校验!C2</f>
        <v>0</v>
      </c>
      <c r="L12" s="225"/>
      <c r="M12" s="195">
        <f>波长示值误差与重复性校验!C3</f>
        <v>0</v>
      </c>
      <c r="N12" s="224"/>
      <c r="O12" s="225"/>
    </row>
    <row r="13" ht="18.75" customHeight="1" spans="1:15">
      <c r="A13" s="192"/>
      <c r="B13" s="192"/>
      <c r="C13" s="184"/>
      <c r="D13" s="185"/>
      <c r="E13" s="184"/>
      <c r="F13" s="112"/>
      <c r="G13" s="185"/>
      <c r="H13" s="195">
        <f>波长示值误差与重复性校验!D4</f>
        <v>0</v>
      </c>
      <c r="I13" s="224"/>
      <c r="J13" s="225"/>
      <c r="K13" s="195">
        <f>波长示值误差与重复性校验!D2</f>
        <v>0</v>
      </c>
      <c r="L13" s="225"/>
      <c r="M13" s="195">
        <f>波长示值误差与重复性校验!D3</f>
        <v>0</v>
      </c>
      <c r="N13" s="224"/>
      <c r="O13" s="225"/>
    </row>
    <row r="14" ht="18.75" customHeight="1" spans="1:15">
      <c r="A14" s="192"/>
      <c r="B14" s="192"/>
      <c r="C14" s="184"/>
      <c r="D14" s="185"/>
      <c r="E14" s="188"/>
      <c r="F14" s="189"/>
      <c r="G14" s="190"/>
      <c r="H14" s="195">
        <f>波长示值误差与重复性校验!E4</f>
        <v>0</v>
      </c>
      <c r="I14" s="224"/>
      <c r="J14" s="225"/>
      <c r="K14" s="195">
        <f>波长示值误差与重复性校验!E2</f>
        <v>0</v>
      </c>
      <c r="L14" s="225"/>
      <c r="M14" s="195">
        <f>波长示值误差与重复性校验!E3</f>
        <v>0</v>
      </c>
      <c r="N14" s="224"/>
      <c r="O14" s="225"/>
    </row>
    <row r="15" ht="18.75" customHeight="1" spans="1:15">
      <c r="A15" s="192"/>
      <c r="B15" s="192"/>
      <c r="C15" s="184"/>
      <c r="D15" s="185"/>
      <c r="E15" s="178" t="s">
        <v>31</v>
      </c>
      <c r="F15" s="179"/>
      <c r="G15" s="180"/>
      <c r="H15" s="195" t="str">
        <f>波长示值误差与重复性校验!F4</f>
        <v/>
      </c>
      <c r="I15" s="224"/>
      <c r="J15" s="225"/>
      <c r="K15" s="195" t="str">
        <f>波长示值误差与重复性校验!F2</f>
        <v/>
      </c>
      <c r="L15" s="225"/>
      <c r="M15" s="195" t="str">
        <f>波长示值误差与重复性校验!F3</f>
        <v/>
      </c>
      <c r="N15" s="224"/>
      <c r="O15" s="225"/>
    </row>
    <row r="16" ht="18.75" customHeight="1" spans="1:15">
      <c r="A16" s="192"/>
      <c r="B16" s="192"/>
      <c r="C16" s="184"/>
      <c r="D16" s="185"/>
      <c r="E16" s="178" t="s">
        <v>32</v>
      </c>
      <c r="F16" s="179"/>
      <c r="G16" s="180"/>
      <c r="H16" s="195" t="str">
        <f>波长示值误差与重复性校验!G4</f>
        <v/>
      </c>
      <c r="I16" s="224"/>
      <c r="J16" s="225"/>
      <c r="K16" s="195" t="str">
        <f>波长示值误差与重复性校验!G2</f>
        <v/>
      </c>
      <c r="L16" s="225"/>
      <c r="M16" s="195" t="str">
        <f>波长示值误差与重复性校验!G3</f>
        <v/>
      </c>
      <c r="N16" s="224"/>
      <c r="O16" s="225"/>
    </row>
    <row r="17" ht="18.75" customHeight="1" spans="1:15">
      <c r="A17" s="192"/>
      <c r="B17" s="196"/>
      <c r="C17" s="188"/>
      <c r="D17" s="190"/>
      <c r="E17" s="178" t="s">
        <v>33</v>
      </c>
      <c r="F17" s="179"/>
      <c r="G17" s="180"/>
      <c r="H17" s="197">
        <f>波长示值误差与重复性校验!H4</f>
        <v>0</v>
      </c>
      <c r="I17" s="226"/>
      <c r="J17" s="227"/>
      <c r="K17" s="195">
        <f>波长示值误差与重复性校验!H2</f>
        <v>0</v>
      </c>
      <c r="L17" s="225"/>
      <c r="M17" s="197">
        <f>波长示值误差与重复性校验!H3</f>
        <v>0</v>
      </c>
      <c r="N17" s="226"/>
      <c r="O17" s="227"/>
    </row>
    <row r="18" ht="18.75" customHeight="1" spans="1:15">
      <c r="A18" s="192"/>
      <c r="B18" s="191" t="s">
        <v>34</v>
      </c>
      <c r="C18" s="182" t="s">
        <v>35</v>
      </c>
      <c r="D18" s="183"/>
      <c r="E18" s="178" t="s">
        <v>26</v>
      </c>
      <c r="F18" s="179"/>
      <c r="G18" s="180"/>
      <c r="H18" s="178" t="s">
        <v>36</v>
      </c>
      <c r="I18" s="179"/>
      <c r="J18" s="179"/>
      <c r="K18" s="179"/>
      <c r="L18" s="179"/>
      <c r="M18" s="179"/>
      <c r="N18" s="179"/>
      <c r="O18" s="180"/>
    </row>
    <row r="19" ht="18.75" customHeight="1" spans="1:15">
      <c r="A19" s="192"/>
      <c r="B19" s="192"/>
      <c r="C19" s="184"/>
      <c r="D19" s="185"/>
      <c r="E19" s="182" t="s">
        <v>29</v>
      </c>
      <c r="F19" s="194"/>
      <c r="G19" s="183"/>
      <c r="H19" s="198" t="str">
        <f>波长示值误差与重复性校验!B5</f>
        <v>640.7</v>
      </c>
      <c r="I19" s="228"/>
      <c r="J19" s="229" t="str">
        <f>波长示值误差与重复性校验!B6</f>
        <v>536.8</v>
      </c>
      <c r="K19" s="229" t="str">
        <f>波长示值误差与重复性校验!B7</f>
        <v>416.5</v>
      </c>
      <c r="L19" s="229" t="str">
        <f>波长示值误差与重复性校验!B8</f>
        <v>361.0</v>
      </c>
      <c r="M19" s="229" t="str">
        <f>波长示值误差与重复性校验!B9</f>
        <v>287.4</v>
      </c>
      <c r="N19" s="198" t="str">
        <f>波长示值误差与重复性校验!B10</f>
        <v>241.0</v>
      </c>
      <c r="O19" s="228"/>
    </row>
    <row r="20" ht="19.5" hidden="1" customHeight="1" spans="1:15">
      <c r="A20" s="192"/>
      <c r="B20" s="192"/>
      <c r="C20" s="184"/>
      <c r="D20" s="185"/>
      <c r="E20" s="188"/>
      <c r="F20" s="189"/>
      <c r="G20" s="190"/>
      <c r="H20" s="199"/>
      <c r="I20" s="230"/>
      <c r="J20" s="231"/>
      <c r="K20" s="231"/>
      <c r="L20" s="231"/>
      <c r="M20" s="231"/>
      <c r="N20" s="199"/>
      <c r="O20" s="230"/>
    </row>
    <row r="21" ht="18.75" customHeight="1" spans="1:15">
      <c r="A21" s="192"/>
      <c r="B21" s="192"/>
      <c r="C21" s="184"/>
      <c r="D21" s="185"/>
      <c r="E21" s="182" t="s">
        <v>30</v>
      </c>
      <c r="F21" s="194"/>
      <c r="G21" s="183"/>
      <c r="H21" s="200">
        <f>波长示值误差与重复性校验!C5</f>
        <v>0</v>
      </c>
      <c r="I21" s="232"/>
      <c r="J21" s="233">
        <f>波长示值误差与重复性校验!C6</f>
        <v>0</v>
      </c>
      <c r="K21" s="233">
        <f>波长示值误差与重复性校验!C7</f>
        <v>0</v>
      </c>
      <c r="L21" s="233">
        <f>波长示值误差与重复性校验!C8</f>
        <v>0</v>
      </c>
      <c r="M21" s="233">
        <f>波长示值误差与重复性校验!C9</f>
        <v>0</v>
      </c>
      <c r="N21" s="200">
        <f>波长示值误差与重复性校验!C10</f>
        <v>0</v>
      </c>
      <c r="O21" s="232"/>
    </row>
    <row r="22" ht="19.5" hidden="1" customHeight="1" spans="1:15">
      <c r="A22" s="192"/>
      <c r="B22" s="192"/>
      <c r="C22" s="184"/>
      <c r="D22" s="185"/>
      <c r="E22" s="184"/>
      <c r="F22" s="112"/>
      <c r="G22" s="185"/>
      <c r="H22" s="201"/>
      <c r="I22" s="234"/>
      <c r="J22" s="235"/>
      <c r="K22" s="235"/>
      <c r="L22" s="235"/>
      <c r="M22" s="235"/>
      <c r="N22" s="201"/>
      <c r="O22" s="234"/>
    </row>
    <row r="23" ht="18.75" customHeight="1" spans="1:15">
      <c r="A23" s="192"/>
      <c r="B23" s="192"/>
      <c r="C23" s="184"/>
      <c r="D23" s="185"/>
      <c r="E23" s="184"/>
      <c r="F23" s="112"/>
      <c r="G23" s="185"/>
      <c r="H23" s="200">
        <f>波长示值误差与重复性校验!D5</f>
        <v>0</v>
      </c>
      <c r="I23" s="232"/>
      <c r="J23" s="233">
        <f>波长示值误差与重复性校验!D6</f>
        <v>0</v>
      </c>
      <c r="K23" s="233">
        <f>波长示值误差与重复性校验!D7</f>
        <v>0</v>
      </c>
      <c r="L23" s="233">
        <f>波长示值误差与重复性校验!D8</f>
        <v>0</v>
      </c>
      <c r="M23" s="233">
        <f>波长示值误差与重复性校验!D9</f>
        <v>0</v>
      </c>
      <c r="N23" s="200">
        <f>波长示值误差与重复性校验!D10</f>
        <v>0</v>
      </c>
      <c r="O23" s="232"/>
    </row>
    <row r="24" ht="19.5" hidden="1" customHeight="1" spans="1:15">
      <c r="A24" s="192"/>
      <c r="B24" s="192"/>
      <c r="C24" s="184"/>
      <c r="D24" s="185"/>
      <c r="E24" s="184"/>
      <c r="F24" s="112"/>
      <c r="G24" s="185"/>
      <c r="H24" s="201"/>
      <c r="I24" s="234"/>
      <c r="J24" s="235"/>
      <c r="K24" s="235"/>
      <c r="L24" s="235"/>
      <c r="M24" s="235"/>
      <c r="N24" s="201"/>
      <c r="O24" s="234"/>
    </row>
    <row r="25" ht="18.75" customHeight="1" spans="1:15">
      <c r="A25" s="192"/>
      <c r="B25" s="192"/>
      <c r="C25" s="184"/>
      <c r="D25" s="185"/>
      <c r="E25" s="184"/>
      <c r="F25" s="112"/>
      <c r="G25" s="185"/>
      <c r="H25" s="200">
        <f>波长示值误差与重复性校验!E5</f>
        <v>0</v>
      </c>
      <c r="I25" s="232"/>
      <c r="J25" s="233">
        <f>波长示值误差与重复性校验!E6</f>
        <v>0</v>
      </c>
      <c r="K25" s="233">
        <f>波长示值误差与重复性校验!E7</f>
        <v>0</v>
      </c>
      <c r="L25" s="233">
        <f>波长示值误差与重复性校验!E8</f>
        <v>0</v>
      </c>
      <c r="M25" s="233">
        <f>波长示值误差与重复性校验!E9</f>
        <v>0</v>
      </c>
      <c r="N25" s="200">
        <f>波长示值误差与重复性校验!E10</f>
        <v>0</v>
      </c>
      <c r="O25" s="232"/>
    </row>
    <row r="26" ht="19.5" hidden="1" customHeight="1" spans="1:15">
      <c r="A26" s="192"/>
      <c r="B26" s="192"/>
      <c r="C26" s="184"/>
      <c r="D26" s="185"/>
      <c r="E26" s="188"/>
      <c r="F26" s="189"/>
      <c r="G26" s="190"/>
      <c r="H26" s="201"/>
      <c r="I26" s="234"/>
      <c r="J26" s="235"/>
      <c r="K26" s="235"/>
      <c r="L26" s="235"/>
      <c r="M26" s="235"/>
      <c r="N26" s="201"/>
      <c r="O26" s="234"/>
    </row>
    <row r="27" ht="18.75" customHeight="1" spans="1:15">
      <c r="A27" s="192"/>
      <c r="B27" s="192"/>
      <c r="C27" s="184"/>
      <c r="D27" s="185"/>
      <c r="E27" s="182" t="s">
        <v>31</v>
      </c>
      <c r="F27" s="194"/>
      <c r="G27" s="183"/>
      <c r="H27" s="200" t="str">
        <f>波长示值误差与重复性校验!F5</f>
        <v/>
      </c>
      <c r="I27" s="232"/>
      <c r="J27" s="233" t="str">
        <f>波长示值误差与重复性校验!F6</f>
        <v/>
      </c>
      <c r="K27" s="233" t="str">
        <f>波长示值误差与重复性校验!F7</f>
        <v/>
      </c>
      <c r="L27" s="233" t="str">
        <f>波长示值误差与重复性校验!F8</f>
        <v/>
      </c>
      <c r="M27" s="233" t="str">
        <f>波长示值误差与重复性校验!F9</f>
        <v/>
      </c>
      <c r="N27" s="200" t="str">
        <f>波长示值误差与重复性校验!F10</f>
        <v/>
      </c>
      <c r="O27" s="232"/>
    </row>
    <row r="28" ht="19.5" hidden="1" customHeight="1" spans="1:15">
      <c r="A28" s="192"/>
      <c r="B28" s="192"/>
      <c r="C28" s="184"/>
      <c r="D28" s="185"/>
      <c r="E28" s="188"/>
      <c r="F28" s="189"/>
      <c r="G28" s="190"/>
      <c r="H28" s="201"/>
      <c r="I28" s="234"/>
      <c r="J28" s="235"/>
      <c r="K28" s="235"/>
      <c r="L28" s="235"/>
      <c r="M28" s="235"/>
      <c r="N28" s="201"/>
      <c r="O28" s="234"/>
    </row>
    <row r="29" ht="18.75" customHeight="1" spans="1:15">
      <c r="A29" s="192"/>
      <c r="B29" s="192"/>
      <c r="C29" s="184"/>
      <c r="D29" s="185"/>
      <c r="E29" s="182" t="s">
        <v>32</v>
      </c>
      <c r="F29" s="194"/>
      <c r="G29" s="183"/>
      <c r="H29" s="200" t="str">
        <f>波长示值误差与重复性校验!G5</f>
        <v/>
      </c>
      <c r="I29" s="232"/>
      <c r="J29" s="233" t="str">
        <f>波长示值误差与重复性校验!G6</f>
        <v/>
      </c>
      <c r="K29" s="233" t="str">
        <f>波长示值误差与重复性校验!G7</f>
        <v/>
      </c>
      <c r="L29" s="233" t="str">
        <f>波长示值误差与重复性校验!G8</f>
        <v/>
      </c>
      <c r="M29" s="233" t="str">
        <f>波长示值误差与重复性校验!G9</f>
        <v/>
      </c>
      <c r="N29" s="200" t="str">
        <f>波长示值误差与重复性校验!G10</f>
        <v/>
      </c>
      <c r="O29" s="232"/>
    </row>
    <row r="30" ht="18" hidden="1" customHeight="1" spans="1:15">
      <c r="A30" s="192"/>
      <c r="B30" s="192"/>
      <c r="C30" s="184"/>
      <c r="D30" s="185"/>
      <c r="E30" s="188"/>
      <c r="F30" s="189"/>
      <c r="G30" s="190"/>
      <c r="H30" s="201"/>
      <c r="I30" s="234"/>
      <c r="J30" s="235"/>
      <c r="K30" s="235"/>
      <c r="L30" s="235"/>
      <c r="M30" s="235"/>
      <c r="N30" s="201"/>
      <c r="O30" s="234"/>
    </row>
    <row r="31" ht="18.75" customHeight="1" spans="1:15">
      <c r="A31" s="192"/>
      <c r="B31" s="192"/>
      <c r="C31" s="184"/>
      <c r="D31" s="185"/>
      <c r="E31" s="182" t="s">
        <v>33</v>
      </c>
      <c r="F31" s="194"/>
      <c r="G31" s="183"/>
      <c r="H31" s="202">
        <f>波长示值误差与重复性校验!H5</f>
        <v>0</v>
      </c>
      <c r="I31" s="236"/>
      <c r="J31" s="237">
        <f>波长示值误差与重复性校验!H6</f>
        <v>0</v>
      </c>
      <c r="K31" s="237">
        <f>波长示值误差与重复性校验!H7</f>
        <v>0</v>
      </c>
      <c r="L31" s="237">
        <f>波长示值误差与重复性校验!H8</f>
        <v>0</v>
      </c>
      <c r="M31" s="237">
        <f>波长示值误差与重复性校验!H9</f>
        <v>0</v>
      </c>
      <c r="N31" s="202">
        <f>波长示值误差与重复性校验!H10</f>
        <v>0</v>
      </c>
      <c r="O31" s="236"/>
    </row>
    <row r="32" ht="19.5" hidden="1" customHeight="1" spans="1:15">
      <c r="A32" s="196"/>
      <c r="B32" s="196"/>
      <c r="C32" s="188"/>
      <c r="D32" s="190"/>
      <c r="E32" s="188"/>
      <c r="F32" s="189"/>
      <c r="G32" s="190"/>
      <c r="H32" s="203"/>
      <c r="I32" s="238"/>
      <c r="J32" s="239"/>
      <c r="K32" s="239"/>
      <c r="L32" s="239"/>
      <c r="M32" s="239"/>
      <c r="N32" s="203"/>
      <c r="O32" s="238"/>
    </row>
    <row r="33" ht="15" customHeight="1" spans="1:15">
      <c r="A33" s="191">
        <v>2</v>
      </c>
      <c r="B33" s="191" t="s">
        <v>37</v>
      </c>
      <c r="C33" s="182" t="s">
        <v>38</v>
      </c>
      <c r="D33" s="183"/>
      <c r="E33" s="182" t="s">
        <v>26</v>
      </c>
      <c r="F33" s="194"/>
      <c r="G33" s="183"/>
      <c r="H33" s="182" t="s">
        <v>39</v>
      </c>
      <c r="I33" s="194"/>
      <c r="J33" s="194"/>
      <c r="K33" s="194"/>
      <c r="L33" s="194"/>
      <c r="M33" s="194"/>
      <c r="N33" s="194"/>
      <c r="O33" s="183"/>
    </row>
    <row r="34" ht="15" customHeight="1" spans="1:15">
      <c r="A34" s="192"/>
      <c r="B34" s="192"/>
      <c r="C34" s="184"/>
      <c r="D34" s="185"/>
      <c r="E34" s="188"/>
      <c r="F34" s="189"/>
      <c r="G34" s="190"/>
      <c r="H34" s="188"/>
      <c r="I34" s="189"/>
      <c r="J34" s="189"/>
      <c r="K34" s="189"/>
      <c r="L34" s="189"/>
      <c r="M34" s="189"/>
      <c r="N34" s="189"/>
      <c r="O34" s="190"/>
    </row>
    <row r="35" ht="18.75" customHeight="1" spans="1:15">
      <c r="A35" s="192"/>
      <c r="B35" s="192"/>
      <c r="C35" s="184"/>
      <c r="D35" s="185"/>
      <c r="E35" s="178" t="s">
        <v>40</v>
      </c>
      <c r="F35" s="180"/>
      <c r="G35" s="178" t="s">
        <v>41</v>
      </c>
      <c r="H35" s="180"/>
      <c r="I35" s="178">
        <f>透射比示值误差与重复性校验!B6</f>
        <v>635</v>
      </c>
      <c r="J35" s="179"/>
      <c r="K35" s="180"/>
      <c r="L35" s="178">
        <f>透射比示值误差与重复性校验!B7</f>
        <v>546</v>
      </c>
      <c r="M35" s="180"/>
      <c r="N35" s="178">
        <f>透射比示值误差与重复性校验!B8</f>
        <v>440</v>
      </c>
      <c r="O35" s="180"/>
    </row>
    <row r="36" ht="18.75" customHeight="1" spans="1:15">
      <c r="A36" s="192"/>
      <c r="B36" s="192"/>
      <c r="C36" s="184"/>
      <c r="D36" s="185"/>
      <c r="E36" s="182" t="s">
        <v>42</v>
      </c>
      <c r="F36" s="183"/>
      <c r="G36" s="178" t="s">
        <v>43</v>
      </c>
      <c r="H36" s="180"/>
      <c r="I36" s="193">
        <f>透射比示值误差与重复性校验!C6</f>
        <v>7.62</v>
      </c>
      <c r="J36" s="223"/>
      <c r="K36" s="222"/>
      <c r="L36" s="193">
        <f>透射比示值误差与重复性校验!C7</f>
        <v>11.03</v>
      </c>
      <c r="M36" s="222"/>
      <c r="N36" s="193">
        <f>透射比示值误差与重复性校验!C8</f>
        <v>11.46</v>
      </c>
      <c r="O36" s="222"/>
    </row>
    <row r="37" ht="18.75" customHeight="1" spans="1:15">
      <c r="A37" s="192"/>
      <c r="B37" s="192"/>
      <c r="C37" s="184"/>
      <c r="D37" s="185"/>
      <c r="E37" s="184"/>
      <c r="F37" s="185"/>
      <c r="G37" s="182" t="s">
        <v>44</v>
      </c>
      <c r="H37" s="183"/>
      <c r="I37" s="195">
        <f>透射比示值误差与重复性校验!D6</f>
        <v>0</v>
      </c>
      <c r="J37" s="224"/>
      <c r="K37" s="225"/>
      <c r="L37" s="195">
        <f>透射比示值误差与重复性校验!D7</f>
        <v>0</v>
      </c>
      <c r="M37" s="225"/>
      <c r="N37" s="195">
        <f>透射比示值误差与重复性校验!D8</f>
        <v>0</v>
      </c>
      <c r="O37" s="225"/>
    </row>
    <row r="38" ht="18.75" customHeight="1" spans="1:15">
      <c r="A38" s="192"/>
      <c r="B38" s="192"/>
      <c r="C38" s="184"/>
      <c r="D38" s="185"/>
      <c r="E38" s="184"/>
      <c r="F38" s="185"/>
      <c r="G38" s="184"/>
      <c r="H38" s="185"/>
      <c r="I38" s="195">
        <f>透射比示值误差与重复性校验!E6</f>
        <v>0</v>
      </c>
      <c r="J38" s="224"/>
      <c r="K38" s="225"/>
      <c r="L38" s="195">
        <f>透射比示值误差与重复性校验!E7</f>
        <v>0</v>
      </c>
      <c r="M38" s="225"/>
      <c r="N38" s="195">
        <f>透射比示值误差与重复性校验!E8</f>
        <v>0</v>
      </c>
      <c r="O38" s="225"/>
    </row>
    <row r="39" ht="18.75" customHeight="1" spans="1:15">
      <c r="A39" s="192"/>
      <c r="B39" s="192"/>
      <c r="C39" s="184"/>
      <c r="D39" s="185"/>
      <c r="E39" s="184"/>
      <c r="F39" s="185"/>
      <c r="G39" s="188"/>
      <c r="H39" s="190"/>
      <c r="I39" s="195">
        <f>透射比示值误差与重复性校验!F6</f>
        <v>0</v>
      </c>
      <c r="J39" s="224"/>
      <c r="K39" s="225"/>
      <c r="L39" s="195">
        <f>透射比示值误差与重复性校验!F7</f>
        <v>0</v>
      </c>
      <c r="M39" s="225"/>
      <c r="N39" s="195">
        <f>透射比示值误差与重复性校验!F8</f>
        <v>0</v>
      </c>
      <c r="O39" s="225"/>
    </row>
    <row r="40" ht="18.75" customHeight="1" spans="1:15">
      <c r="A40" s="192"/>
      <c r="B40" s="192"/>
      <c r="C40" s="184"/>
      <c r="D40" s="185"/>
      <c r="E40" s="184"/>
      <c r="F40" s="185"/>
      <c r="G40" s="178" t="s">
        <v>45</v>
      </c>
      <c r="H40" s="180"/>
      <c r="I40" s="195" t="str">
        <f>透射比示值误差与重复性校验!G6</f>
        <v/>
      </c>
      <c r="J40" s="224"/>
      <c r="K40" s="225"/>
      <c r="L40" s="195" t="str">
        <f>透射比示值误差与重复性校验!G7</f>
        <v/>
      </c>
      <c r="M40" s="225"/>
      <c r="N40" s="195" t="str">
        <f>透射比示值误差与重复性校验!G8</f>
        <v/>
      </c>
      <c r="O40" s="225"/>
    </row>
    <row r="41" ht="18.75" customHeight="1" spans="1:15">
      <c r="A41" s="192"/>
      <c r="B41" s="192"/>
      <c r="C41" s="184"/>
      <c r="D41" s="185"/>
      <c r="E41" s="184"/>
      <c r="F41" s="185"/>
      <c r="G41" s="178" t="s">
        <v>46</v>
      </c>
      <c r="H41" s="180"/>
      <c r="I41" s="195" t="str">
        <f>透射比示值误差与重复性校验!H6</f>
        <v/>
      </c>
      <c r="J41" s="224"/>
      <c r="K41" s="225"/>
      <c r="L41" s="195" t="str">
        <f>透射比示值误差与重复性校验!H7</f>
        <v/>
      </c>
      <c r="M41" s="225"/>
      <c r="N41" s="195" t="str">
        <f>透射比示值误差与重复性校验!H8</f>
        <v/>
      </c>
      <c r="O41" s="225"/>
    </row>
    <row r="42" ht="18.75" customHeight="1" spans="1:15">
      <c r="A42" s="192"/>
      <c r="B42" s="192"/>
      <c r="C42" s="184"/>
      <c r="D42" s="185"/>
      <c r="E42" s="188"/>
      <c r="F42" s="190"/>
      <c r="G42" s="178" t="s">
        <v>47</v>
      </c>
      <c r="H42" s="180"/>
      <c r="I42" s="195">
        <f>透射比示值误差与重复性校验!I6</f>
        <v>0</v>
      </c>
      <c r="J42" s="224"/>
      <c r="K42" s="225"/>
      <c r="L42" s="195">
        <f>透射比示值误差与重复性校验!I7</f>
        <v>0</v>
      </c>
      <c r="M42" s="225"/>
      <c r="N42" s="195">
        <f>透射比示值误差与重复性校验!I8</f>
        <v>0</v>
      </c>
      <c r="O42" s="225"/>
    </row>
    <row r="43" ht="18.75" customHeight="1" spans="1:15">
      <c r="A43" s="192"/>
      <c r="B43" s="192"/>
      <c r="C43" s="184"/>
      <c r="D43" s="185"/>
      <c r="E43" s="182" t="s">
        <v>48</v>
      </c>
      <c r="F43" s="183"/>
      <c r="G43" s="178" t="s">
        <v>43</v>
      </c>
      <c r="H43" s="180"/>
      <c r="I43" s="193">
        <f>透射比示值误差与重复性校验!C9</f>
        <v>17.64</v>
      </c>
      <c r="J43" s="223"/>
      <c r="K43" s="222"/>
      <c r="L43" s="193">
        <f>透射比示值误差与重复性校验!C10</f>
        <v>21.74</v>
      </c>
      <c r="M43" s="222"/>
      <c r="N43" s="193">
        <f>透射比示值误差与重复性校验!C11</f>
        <v>21.92</v>
      </c>
      <c r="O43" s="222"/>
    </row>
    <row r="44" ht="18.75" customHeight="1" spans="1:15">
      <c r="A44" s="192"/>
      <c r="B44" s="192"/>
      <c r="C44" s="184"/>
      <c r="D44" s="185"/>
      <c r="E44" s="184"/>
      <c r="F44" s="185"/>
      <c r="G44" s="182" t="s">
        <v>44</v>
      </c>
      <c r="H44" s="183"/>
      <c r="I44" s="195">
        <f>透射比示值误差与重复性校验!D9</f>
        <v>0</v>
      </c>
      <c r="J44" s="224"/>
      <c r="K44" s="225"/>
      <c r="L44" s="195">
        <f>透射比示值误差与重复性校验!D10</f>
        <v>0</v>
      </c>
      <c r="M44" s="225"/>
      <c r="N44" s="195">
        <f>透射比示值误差与重复性校验!D11</f>
        <v>0</v>
      </c>
      <c r="O44" s="225"/>
    </row>
    <row r="45" ht="18.75" customHeight="1" spans="1:15">
      <c r="A45" s="192"/>
      <c r="B45" s="192"/>
      <c r="C45" s="184"/>
      <c r="D45" s="185"/>
      <c r="E45" s="184"/>
      <c r="F45" s="185"/>
      <c r="G45" s="184"/>
      <c r="H45" s="185"/>
      <c r="I45" s="195">
        <f>透射比示值误差与重复性校验!E9</f>
        <v>0</v>
      </c>
      <c r="J45" s="224"/>
      <c r="K45" s="225"/>
      <c r="L45" s="195">
        <f>透射比示值误差与重复性校验!E10</f>
        <v>0</v>
      </c>
      <c r="M45" s="225"/>
      <c r="N45" s="195">
        <f>透射比示值误差与重复性校验!E11</f>
        <v>0</v>
      </c>
      <c r="O45" s="225"/>
    </row>
    <row r="46" ht="18.75" customHeight="1" spans="1:15">
      <c r="A46" s="192"/>
      <c r="B46" s="192"/>
      <c r="C46" s="184"/>
      <c r="D46" s="185"/>
      <c r="E46" s="184"/>
      <c r="F46" s="185"/>
      <c r="G46" s="188"/>
      <c r="H46" s="190"/>
      <c r="I46" s="195">
        <f>透射比示值误差与重复性校验!F9</f>
        <v>0</v>
      </c>
      <c r="J46" s="224"/>
      <c r="K46" s="225"/>
      <c r="L46" s="195">
        <f>透射比示值误差与重复性校验!F10</f>
        <v>0</v>
      </c>
      <c r="M46" s="225"/>
      <c r="N46" s="195">
        <f>透射比示值误差与重复性校验!F11</f>
        <v>0</v>
      </c>
      <c r="O46" s="225"/>
    </row>
    <row r="47" ht="18.75" customHeight="1" spans="1:15">
      <c r="A47" s="192"/>
      <c r="B47" s="192"/>
      <c r="C47" s="184"/>
      <c r="D47" s="185"/>
      <c r="E47" s="184"/>
      <c r="F47" s="185"/>
      <c r="G47" s="178" t="s">
        <v>45</v>
      </c>
      <c r="H47" s="180"/>
      <c r="I47" s="195" t="str">
        <f>透射比示值误差与重复性校验!G9</f>
        <v/>
      </c>
      <c r="J47" s="224"/>
      <c r="K47" s="225"/>
      <c r="L47" s="195" t="str">
        <f>透射比示值误差与重复性校验!G10</f>
        <v/>
      </c>
      <c r="M47" s="225"/>
      <c r="N47" s="195" t="str">
        <f>透射比示值误差与重复性校验!G11</f>
        <v/>
      </c>
      <c r="O47" s="225"/>
    </row>
    <row r="48" ht="18.75" customHeight="1" spans="1:15">
      <c r="A48" s="192"/>
      <c r="B48" s="192"/>
      <c r="C48" s="184"/>
      <c r="D48" s="185"/>
      <c r="E48" s="184"/>
      <c r="F48" s="185"/>
      <c r="G48" s="178" t="s">
        <v>46</v>
      </c>
      <c r="H48" s="180"/>
      <c r="I48" s="195" t="str">
        <f>透射比示值误差与重复性校验!H9</f>
        <v/>
      </c>
      <c r="J48" s="224"/>
      <c r="K48" s="225"/>
      <c r="L48" s="195" t="str">
        <f>透射比示值误差与重复性校验!H10</f>
        <v/>
      </c>
      <c r="M48" s="225"/>
      <c r="N48" s="195" t="str">
        <f>透射比示值误差与重复性校验!H11</f>
        <v/>
      </c>
      <c r="O48" s="225"/>
    </row>
    <row r="49" ht="18.75" customHeight="1" spans="1:15">
      <c r="A49" s="196"/>
      <c r="B49" s="196"/>
      <c r="C49" s="188"/>
      <c r="D49" s="190"/>
      <c r="E49" s="188"/>
      <c r="F49" s="190"/>
      <c r="G49" s="178" t="s">
        <v>47</v>
      </c>
      <c r="H49" s="180"/>
      <c r="I49" s="193">
        <f>透射比示值误差与重复性校验!I9</f>
        <v>0</v>
      </c>
      <c r="J49" s="223"/>
      <c r="K49" s="222"/>
      <c r="L49" s="195">
        <f>透射比示值误差与重复性校验!I10</f>
        <v>0</v>
      </c>
      <c r="M49" s="225"/>
      <c r="N49" s="193">
        <f>透射比示值误差与重复性校验!I11</f>
        <v>0</v>
      </c>
      <c r="O49" s="222"/>
    </row>
    <row r="50" ht="19.5" customHeight="1" spans="1:15">
      <c r="A50" s="191">
        <v>2</v>
      </c>
      <c r="B50" s="191" t="s">
        <v>37</v>
      </c>
      <c r="C50" s="182" t="s">
        <v>49</v>
      </c>
      <c r="D50" s="183"/>
      <c r="E50" s="182" t="s">
        <v>50</v>
      </c>
      <c r="F50" s="183"/>
      <c r="G50" s="178" t="s">
        <v>43</v>
      </c>
      <c r="H50" s="180"/>
      <c r="I50" s="193">
        <f>透射比示值误差与重复性校验!C12</f>
        <v>23.59</v>
      </c>
      <c r="J50" s="223"/>
      <c r="K50" s="222"/>
      <c r="L50" s="193">
        <f>透射比示值误差与重复性校验!C13</f>
        <v>29.32</v>
      </c>
      <c r="M50" s="222"/>
      <c r="N50" s="193">
        <f>透射比示值误差与重复性校验!C14</f>
        <v>29.91</v>
      </c>
      <c r="O50" s="222"/>
    </row>
    <row r="51" ht="19.5" customHeight="1" spans="1:15">
      <c r="A51" s="192"/>
      <c r="B51" s="192"/>
      <c r="C51" s="184"/>
      <c r="D51" s="185"/>
      <c r="E51" s="184"/>
      <c r="F51" s="185"/>
      <c r="G51" s="182" t="s">
        <v>44</v>
      </c>
      <c r="H51" s="183"/>
      <c r="I51" s="195">
        <f>透射比示值误差与重复性校验!D12</f>
        <v>0</v>
      </c>
      <c r="J51" s="224"/>
      <c r="K51" s="225"/>
      <c r="L51" s="195">
        <f>透射比示值误差与重复性校验!D13</f>
        <v>0</v>
      </c>
      <c r="M51" s="225"/>
      <c r="N51" s="195">
        <f>透射比示值误差与重复性校验!D14</f>
        <v>0</v>
      </c>
      <c r="O51" s="225"/>
    </row>
    <row r="52" ht="19.5" customHeight="1" spans="1:15">
      <c r="A52" s="192"/>
      <c r="B52" s="192"/>
      <c r="C52" s="184"/>
      <c r="D52" s="185"/>
      <c r="E52" s="184"/>
      <c r="F52" s="185"/>
      <c r="G52" s="184"/>
      <c r="H52" s="185"/>
      <c r="I52" s="195">
        <f>透射比示值误差与重复性校验!E12</f>
        <v>0</v>
      </c>
      <c r="J52" s="224"/>
      <c r="K52" s="225"/>
      <c r="L52" s="195">
        <f>透射比示值误差与重复性校验!E13</f>
        <v>0</v>
      </c>
      <c r="M52" s="225"/>
      <c r="N52" s="195">
        <f>透射比示值误差与重复性校验!E14</f>
        <v>0</v>
      </c>
      <c r="O52" s="225"/>
    </row>
    <row r="53" ht="19.5" customHeight="1" spans="1:15">
      <c r="A53" s="192"/>
      <c r="B53" s="192"/>
      <c r="C53" s="184"/>
      <c r="D53" s="185"/>
      <c r="E53" s="184"/>
      <c r="F53" s="185"/>
      <c r="G53" s="188"/>
      <c r="H53" s="190"/>
      <c r="I53" s="195">
        <f>透射比示值误差与重复性校验!F12</f>
        <v>0</v>
      </c>
      <c r="J53" s="224"/>
      <c r="K53" s="225"/>
      <c r="L53" s="195">
        <f>透射比示值误差与重复性校验!F13</f>
        <v>0</v>
      </c>
      <c r="M53" s="225"/>
      <c r="N53" s="195">
        <f>透射比示值误差与重复性校验!F14</f>
        <v>0</v>
      </c>
      <c r="O53" s="225"/>
    </row>
    <row r="54" ht="19.5" customHeight="1" spans="1:15">
      <c r="A54" s="192"/>
      <c r="B54" s="192"/>
      <c r="C54" s="184"/>
      <c r="D54" s="185"/>
      <c r="E54" s="184"/>
      <c r="F54" s="185"/>
      <c r="G54" s="178" t="s">
        <v>45</v>
      </c>
      <c r="H54" s="180"/>
      <c r="I54" s="195" t="str">
        <f>透射比示值误差与重复性校验!G12</f>
        <v/>
      </c>
      <c r="J54" s="224"/>
      <c r="K54" s="225"/>
      <c r="L54" s="195" t="str">
        <f>透射比示值误差与重复性校验!G13</f>
        <v/>
      </c>
      <c r="M54" s="225"/>
      <c r="N54" s="195" t="str">
        <f>透射比示值误差与重复性校验!G14</f>
        <v/>
      </c>
      <c r="O54" s="225"/>
    </row>
    <row r="55" ht="19.5" customHeight="1" spans="1:15">
      <c r="A55" s="192"/>
      <c r="B55" s="192"/>
      <c r="C55" s="184"/>
      <c r="D55" s="185"/>
      <c r="E55" s="184"/>
      <c r="F55" s="185"/>
      <c r="G55" s="178" t="s">
        <v>46</v>
      </c>
      <c r="H55" s="180"/>
      <c r="I55" s="195" t="str">
        <f>透射比示值误差与重复性校验!H12</f>
        <v/>
      </c>
      <c r="J55" s="224"/>
      <c r="K55" s="225"/>
      <c r="L55" s="195" t="str">
        <f>透射比示值误差与重复性校验!H13</f>
        <v/>
      </c>
      <c r="M55" s="225"/>
      <c r="N55" s="195" t="str">
        <f>透射比示值误差与重复性校验!H14</f>
        <v/>
      </c>
      <c r="O55" s="225"/>
    </row>
    <row r="56" ht="19.5" customHeight="1" spans="1:15">
      <c r="A56" s="196"/>
      <c r="B56" s="196"/>
      <c r="C56" s="188"/>
      <c r="D56" s="190"/>
      <c r="E56" s="188"/>
      <c r="F56" s="190"/>
      <c r="G56" s="178" t="s">
        <v>47</v>
      </c>
      <c r="H56" s="180"/>
      <c r="I56" s="195">
        <f>透射比示值误差与重复性校验!I12</f>
        <v>0</v>
      </c>
      <c r="J56" s="224"/>
      <c r="K56" s="225"/>
      <c r="L56" s="195">
        <f>透射比示值误差与重复性校验!I13</f>
        <v>0</v>
      </c>
      <c r="M56" s="225"/>
      <c r="N56" s="195">
        <f>透射比示值误差与重复性校验!I14</f>
        <v>0</v>
      </c>
      <c r="O56" s="225"/>
    </row>
    <row r="57" ht="19.5" customHeight="1" spans="1:15">
      <c r="A57" s="191">
        <v>3</v>
      </c>
      <c r="B57" s="191" t="s">
        <v>51</v>
      </c>
      <c r="C57" s="182" t="s">
        <v>38</v>
      </c>
      <c r="D57" s="183"/>
      <c r="E57" s="178" t="s">
        <v>26</v>
      </c>
      <c r="F57" s="179"/>
      <c r="G57" s="180"/>
      <c r="H57" s="178" t="s">
        <v>52</v>
      </c>
      <c r="I57" s="179"/>
      <c r="J57" s="179"/>
      <c r="K57" s="179"/>
      <c r="L57" s="179"/>
      <c r="M57" s="179"/>
      <c r="N57" s="179"/>
      <c r="O57" s="180"/>
    </row>
    <row r="58" ht="19.5" customHeight="1" spans="1:15">
      <c r="A58" s="192"/>
      <c r="B58" s="192"/>
      <c r="C58" s="184"/>
      <c r="D58" s="185"/>
      <c r="E58" s="182" t="s">
        <v>53</v>
      </c>
      <c r="F58" s="194"/>
      <c r="G58" s="183"/>
      <c r="H58" s="178">
        <f>透射比示值误差与重复性校验!B2</f>
        <v>350</v>
      </c>
      <c r="I58" s="180"/>
      <c r="J58" s="178">
        <f>透射比示值误差与重复性校验!B3</f>
        <v>313</v>
      </c>
      <c r="K58" s="180"/>
      <c r="L58" s="240">
        <f>透射比示值误差与重复性校验!B4</f>
        <v>257</v>
      </c>
      <c r="M58" s="241"/>
      <c r="N58" s="240">
        <f>透射比示值误差与重复性校验!B5</f>
        <v>235</v>
      </c>
      <c r="O58" s="241"/>
    </row>
    <row r="59" ht="19.5" customHeight="1" spans="1:15">
      <c r="A59" s="192"/>
      <c r="B59" s="192"/>
      <c r="C59" s="184"/>
      <c r="D59" s="185"/>
      <c r="E59" s="188"/>
      <c r="F59" s="189"/>
      <c r="G59" s="190"/>
      <c r="H59" s="193">
        <f>透射比示值误差与重复性校验!C2</f>
        <v>23.2</v>
      </c>
      <c r="I59" s="222"/>
      <c r="J59" s="193">
        <f>透射比示值误差与重复性校验!C3</f>
        <v>51.58</v>
      </c>
      <c r="K59" s="222"/>
      <c r="L59" s="242">
        <f>透射比示值误差与重复性校验!C4</f>
        <v>14.06</v>
      </c>
      <c r="M59" s="243"/>
      <c r="N59" s="242">
        <f>透射比示值误差与重复性校验!C5</f>
        <v>18.42</v>
      </c>
      <c r="O59" s="243"/>
    </row>
    <row r="60" ht="19.5" customHeight="1" spans="1:15">
      <c r="A60" s="192"/>
      <c r="B60" s="192"/>
      <c r="C60" s="184"/>
      <c r="D60" s="185"/>
      <c r="E60" s="182" t="s">
        <v>54</v>
      </c>
      <c r="F60" s="194"/>
      <c r="G60" s="183"/>
      <c r="H60" s="195">
        <f>透射比示值误差与重复性校验!D2</f>
        <v>0</v>
      </c>
      <c r="I60" s="225"/>
      <c r="J60" s="195">
        <f>透射比示值误差与重复性校验!D3</f>
        <v>0</v>
      </c>
      <c r="K60" s="225"/>
      <c r="L60" s="244">
        <f>透射比示值误差与重复性校验!D4</f>
        <v>0</v>
      </c>
      <c r="M60" s="245"/>
      <c r="N60" s="244">
        <f>透射比示值误差与重复性校验!D5</f>
        <v>0</v>
      </c>
      <c r="O60" s="245"/>
    </row>
    <row r="61" ht="19.5" customHeight="1" spans="1:15">
      <c r="A61" s="192"/>
      <c r="B61" s="192"/>
      <c r="C61" s="184"/>
      <c r="D61" s="185"/>
      <c r="E61" s="184"/>
      <c r="F61" s="112"/>
      <c r="G61" s="185"/>
      <c r="H61" s="195">
        <f>透射比示值误差与重复性校验!E2</f>
        <v>0</v>
      </c>
      <c r="I61" s="225"/>
      <c r="J61" s="195">
        <f>透射比示值误差与重复性校验!E3</f>
        <v>0</v>
      </c>
      <c r="K61" s="225"/>
      <c r="L61" s="244">
        <f>透射比示值误差与重复性校验!E4</f>
        <v>0</v>
      </c>
      <c r="M61" s="245"/>
      <c r="N61" s="244">
        <f>透射比示值误差与重复性校验!E5</f>
        <v>0</v>
      </c>
      <c r="O61" s="245"/>
    </row>
    <row r="62" ht="19.5" customHeight="1" spans="1:15">
      <c r="A62" s="192"/>
      <c r="B62" s="192"/>
      <c r="C62" s="184"/>
      <c r="D62" s="185"/>
      <c r="E62" s="188"/>
      <c r="F62" s="189"/>
      <c r="G62" s="190"/>
      <c r="H62" s="195">
        <f>透射比示值误差与重复性校验!F2</f>
        <v>0</v>
      </c>
      <c r="I62" s="225"/>
      <c r="J62" s="195">
        <f>透射比示值误差与重复性校验!F3</f>
        <v>0</v>
      </c>
      <c r="K62" s="225"/>
      <c r="L62" s="244">
        <f>透射比示值误差与重复性校验!F4</f>
        <v>0</v>
      </c>
      <c r="M62" s="245"/>
      <c r="N62" s="244">
        <f>透射比示值误差与重复性校验!F5</f>
        <v>0</v>
      </c>
      <c r="O62" s="245"/>
    </row>
    <row r="63" ht="19.5" customHeight="1" spans="1:15">
      <c r="A63" s="192"/>
      <c r="B63" s="192"/>
      <c r="C63" s="184"/>
      <c r="D63" s="185"/>
      <c r="E63" s="178" t="s">
        <v>45</v>
      </c>
      <c r="F63" s="179"/>
      <c r="G63" s="180"/>
      <c r="H63" s="195" t="str">
        <f>透射比示值误差与重复性校验!G2</f>
        <v/>
      </c>
      <c r="I63" s="225"/>
      <c r="J63" s="195" t="str">
        <f>透射比示值误差与重复性校验!G3</f>
        <v/>
      </c>
      <c r="K63" s="225"/>
      <c r="L63" s="195" t="str">
        <f>透射比示值误差与重复性校验!G4</f>
        <v/>
      </c>
      <c r="M63" s="225"/>
      <c r="N63" s="195" t="str">
        <f>透射比示值误差与重复性校验!G5</f>
        <v/>
      </c>
      <c r="O63" s="225"/>
    </row>
    <row r="64" ht="19.5" customHeight="1" spans="1:15">
      <c r="A64" s="192"/>
      <c r="B64" s="192"/>
      <c r="C64" s="184"/>
      <c r="D64" s="185"/>
      <c r="E64" s="178" t="s">
        <v>46</v>
      </c>
      <c r="F64" s="179"/>
      <c r="G64" s="180"/>
      <c r="H64" s="195" t="str">
        <f>透射比示值误差与重复性校验!H2</f>
        <v/>
      </c>
      <c r="I64" s="225"/>
      <c r="J64" s="195" t="str">
        <f>透射比示值误差与重复性校验!H3</f>
        <v/>
      </c>
      <c r="K64" s="225"/>
      <c r="L64" s="195" t="str">
        <f>透射比示值误差与重复性校验!H4</f>
        <v/>
      </c>
      <c r="M64" s="225"/>
      <c r="N64" s="195" t="str">
        <f>透射比示值误差与重复性校验!H5</f>
        <v/>
      </c>
      <c r="O64" s="225"/>
    </row>
    <row r="65" ht="19.5" customHeight="1" spans="1:15">
      <c r="A65" s="196"/>
      <c r="B65" s="196"/>
      <c r="C65" s="188"/>
      <c r="D65" s="190"/>
      <c r="E65" s="178" t="s">
        <v>47</v>
      </c>
      <c r="F65" s="179"/>
      <c r="G65" s="180"/>
      <c r="H65" s="193">
        <f>透射比示值误差与重复性校验!I2</f>
        <v>0</v>
      </c>
      <c r="I65" s="222"/>
      <c r="J65" s="193">
        <f>透射比示值误差与重复性校验!I3</f>
        <v>0</v>
      </c>
      <c r="K65" s="222"/>
      <c r="L65" s="193">
        <f>透射比示值误差与重复性校验!I4</f>
        <v>0</v>
      </c>
      <c r="M65" s="222"/>
      <c r="N65" s="193">
        <f>透射比示值误差与重复性校验!I5</f>
        <v>0</v>
      </c>
      <c r="O65" s="222"/>
    </row>
    <row r="66" ht="18.75" customHeight="1" spans="1:15">
      <c r="A66" s="191">
        <v>4</v>
      </c>
      <c r="B66" s="246" t="s">
        <v>55</v>
      </c>
      <c r="C66" s="182"/>
      <c r="D66" s="183"/>
      <c r="E66" s="247" t="s">
        <v>56</v>
      </c>
      <c r="F66" s="248"/>
      <c r="G66" s="249"/>
      <c r="H66" s="247"/>
      <c r="I66" s="249"/>
      <c r="J66" s="191">
        <v>1</v>
      </c>
      <c r="K66" s="191">
        <v>2</v>
      </c>
      <c r="L66" s="191">
        <v>3</v>
      </c>
      <c r="M66" s="277" t="s">
        <v>21</v>
      </c>
      <c r="N66" s="278"/>
      <c r="O66" s="279"/>
    </row>
    <row r="67" ht="30" hidden="1" customHeight="1" spans="1:15">
      <c r="A67" s="192"/>
      <c r="B67" s="250"/>
      <c r="C67" s="188"/>
      <c r="D67" s="190"/>
      <c r="E67" s="251"/>
      <c r="F67" s="252"/>
      <c r="G67" s="253"/>
      <c r="H67" s="251"/>
      <c r="I67" s="253"/>
      <c r="J67" s="196"/>
      <c r="K67" s="196"/>
      <c r="L67" s="196"/>
      <c r="M67" s="280"/>
      <c r="N67" s="281"/>
      <c r="O67" s="282"/>
    </row>
    <row r="68" ht="18.75" customHeight="1" spans="1:15">
      <c r="A68" s="192"/>
      <c r="B68" s="250"/>
      <c r="C68" s="254" t="s">
        <v>57</v>
      </c>
      <c r="D68" s="191" t="s">
        <v>58</v>
      </c>
      <c r="E68" s="247" t="s">
        <v>59</v>
      </c>
      <c r="F68" s="248"/>
      <c r="G68" s="249"/>
      <c r="H68" s="182" t="s">
        <v>60</v>
      </c>
      <c r="I68" s="183"/>
      <c r="J68" s="283">
        <f>杂散光校验!C2</f>
        <v>0</v>
      </c>
      <c r="K68" s="284">
        <f>杂散光校验!D2</f>
        <v>0</v>
      </c>
      <c r="L68" s="283">
        <f>杂散光校验!E2</f>
        <v>0</v>
      </c>
      <c r="M68" s="277" t="str">
        <f>杂散光校验!G2</f>
        <v>未检测</v>
      </c>
      <c r="N68" s="278"/>
      <c r="O68" s="279"/>
    </row>
    <row r="69" ht="30" hidden="1" customHeight="1" spans="1:15">
      <c r="A69" s="192"/>
      <c r="B69" s="250"/>
      <c r="C69" s="255"/>
      <c r="D69" s="196"/>
      <c r="E69" s="251"/>
      <c r="F69" s="252"/>
      <c r="G69" s="253"/>
      <c r="H69" s="184"/>
      <c r="I69" s="185"/>
      <c r="J69" s="285"/>
      <c r="K69" s="286"/>
      <c r="L69" s="285"/>
      <c r="M69" s="280"/>
      <c r="N69" s="281"/>
      <c r="O69" s="282"/>
    </row>
    <row r="70" ht="30" customHeight="1" spans="1:15">
      <c r="A70" s="192"/>
      <c r="B70" s="250"/>
      <c r="C70" s="254" t="s">
        <v>61</v>
      </c>
      <c r="D70" s="191" t="s">
        <v>62</v>
      </c>
      <c r="E70" s="247" t="s">
        <v>63</v>
      </c>
      <c r="F70" s="248"/>
      <c r="G70" s="249"/>
      <c r="H70" s="184"/>
      <c r="I70" s="185"/>
      <c r="J70" s="283">
        <f>杂散光校验!C3</f>
        <v>0</v>
      </c>
      <c r="K70" s="284">
        <f>杂散光校验!D3</f>
        <v>0</v>
      </c>
      <c r="L70" s="283">
        <f>杂散光校验!E3</f>
        <v>0</v>
      </c>
      <c r="M70" s="277" t="str">
        <f>杂散光校验!G3</f>
        <v>未检测</v>
      </c>
      <c r="N70" s="278"/>
      <c r="O70" s="279"/>
    </row>
    <row r="71" ht="30" hidden="1" customHeight="1" spans="1:15">
      <c r="A71" s="196"/>
      <c r="B71" s="256"/>
      <c r="C71" s="255"/>
      <c r="D71" s="196"/>
      <c r="E71" s="251"/>
      <c r="F71" s="252"/>
      <c r="G71" s="253"/>
      <c r="H71" s="188"/>
      <c r="I71" s="190"/>
      <c r="J71" s="285"/>
      <c r="K71" s="286"/>
      <c r="L71" s="285"/>
      <c r="M71" s="280"/>
      <c r="N71" s="281"/>
      <c r="O71" s="282"/>
    </row>
    <row r="72" ht="30" customHeight="1" spans="1:15">
      <c r="A72" s="191">
        <v>5</v>
      </c>
      <c r="B72" s="246" t="s">
        <v>64</v>
      </c>
      <c r="C72" s="182" t="s">
        <v>65</v>
      </c>
      <c r="D72" s="194"/>
      <c r="E72" s="194"/>
      <c r="F72" s="194"/>
      <c r="G72" s="183"/>
      <c r="H72" s="182" t="s">
        <v>66</v>
      </c>
      <c r="I72" s="194"/>
      <c r="J72" s="194"/>
      <c r="K72" s="194"/>
      <c r="L72" s="183"/>
      <c r="M72" s="287">
        <f>基线平直度检验!B2</f>
        <v>0</v>
      </c>
      <c r="N72" s="288"/>
      <c r="O72" s="289"/>
    </row>
    <row r="73" ht="30" hidden="1" customHeight="1" spans="1:15">
      <c r="A73" s="196"/>
      <c r="B73" s="256"/>
      <c r="C73" s="188"/>
      <c r="D73" s="189"/>
      <c r="E73" s="189"/>
      <c r="F73" s="189"/>
      <c r="G73" s="190"/>
      <c r="H73" s="188"/>
      <c r="I73" s="189"/>
      <c r="J73" s="189"/>
      <c r="K73" s="189"/>
      <c r="L73" s="190"/>
      <c r="M73" s="290"/>
      <c r="N73" s="291"/>
      <c r="O73" s="292"/>
    </row>
    <row r="74" ht="30" customHeight="1" spans="1:15">
      <c r="A74" s="246">
        <v>6</v>
      </c>
      <c r="B74" s="246" t="s">
        <v>67</v>
      </c>
      <c r="C74" s="182" t="s">
        <v>68</v>
      </c>
      <c r="D74" s="194"/>
      <c r="E74" s="194"/>
      <c r="F74" s="194"/>
      <c r="G74" s="183"/>
      <c r="H74" s="182" t="s">
        <v>54</v>
      </c>
      <c r="I74" s="194"/>
      <c r="J74" s="194"/>
      <c r="K74" s="194"/>
      <c r="L74" s="183"/>
      <c r="M74" s="293">
        <f>基线暗噪声检验!B2</f>
        <v>0</v>
      </c>
      <c r="N74" s="294"/>
      <c r="O74" s="295"/>
    </row>
    <row r="75" ht="30" hidden="1" customHeight="1" spans="1:15">
      <c r="A75" s="256"/>
      <c r="B75" s="256"/>
      <c r="C75" s="188"/>
      <c r="D75" s="189"/>
      <c r="E75" s="189"/>
      <c r="F75" s="189"/>
      <c r="G75" s="190"/>
      <c r="H75" s="188"/>
      <c r="I75" s="189"/>
      <c r="J75" s="189"/>
      <c r="K75" s="189"/>
      <c r="L75" s="190"/>
      <c r="M75" s="296"/>
      <c r="N75" s="297"/>
      <c r="O75" s="298"/>
    </row>
    <row r="76" ht="30" customHeight="1" spans="1:15">
      <c r="A76" s="246">
        <v>7</v>
      </c>
      <c r="B76" s="246" t="s">
        <v>69</v>
      </c>
      <c r="C76" s="182" t="s">
        <v>70</v>
      </c>
      <c r="D76" s="183"/>
      <c r="E76" s="257" t="s">
        <v>71</v>
      </c>
      <c r="F76" s="258"/>
      <c r="G76" s="259"/>
      <c r="H76" s="260" t="s">
        <v>72</v>
      </c>
      <c r="I76" s="299"/>
      <c r="J76" s="299"/>
      <c r="K76" s="299"/>
      <c r="L76" s="300"/>
      <c r="M76" s="301"/>
      <c r="N76" s="302"/>
      <c r="O76" s="303"/>
    </row>
    <row r="77" ht="20.25" customHeight="1" spans="1:15">
      <c r="A77" s="250"/>
      <c r="B77" s="250"/>
      <c r="C77" s="184"/>
      <c r="D77" s="185"/>
      <c r="E77" s="257" t="s">
        <v>73</v>
      </c>
      <c r="F77" s="258"/>
      <c r="G77" s="259"/>
      <c r="H77" s="261">
        <f>光谱带宽与仪器最小光谱带宽!D2</f>
        <v>0</v>
      </c>
      <c r="I77" s="304"/>
      <c r="J77" s="304"/>
      <c r="K77" s="304"/>
      <c r="L77" s="305"/>
      <c r="M77" s="306"/>
      <c r="N77" s="307"/>
      <c r="O77" s="308"/>
    </row>
    <row r="78" ht="20.25" customHeight="1" spans="1:15">
      <c r="A78" s="256"/>
      <c r="B78" s="256"/>
      <c r="C78" s="188"/>
      <c r="D78" s="190"/>
      <c r="E78" s="178" t="s">
        <v>74</v>
      </c>
      <c r="F78" s="179"/>
      <c r="G78" s="180"/>
      <c r="H78" s="260">
        <f>光谱带宽与仪器最小光谱带宽!E2</f>
        <v>-100</v>
      </c>
      <c r="I78" s="299"/>
      <c r="J78" s="299"/>
      <c r="K78" s="299"/>
      <c r="L78" s="300"/>
      <c r="M78" s="309"/>
      <c r="N78" s="310"/>
      <c r="O78" s="311"/>
    </row>
    <row r="79" ht="30" customHeight="1" spans="1:15">
      <c r="A79" s="246">
        <v>8</v>
      </c>
      <c r="B79" s="246" t="s">
        <v>75</v>
      </c>
      <c r="C79" s="262">
        <v>1</v>
      </c>
      <c r="D79" s="191" t="s">
        <v>76</v>
      </c>
      <c r="E79" s="247" t="s">
        <v>54</v>
      </c>
      <c r="F79" s="248"/>
      <c r="G79" s="249"/>
      <c r="H79" s="263">
        <f>噪声检验!C2</f>
        <v>0</v>
      </c>
      <c r="I79" s="312"/>
      <c r="J79" s="313">
        <v>0</v>
      </c>
      <c r="K79" s="182" t="s">
        <v>77</v>
      </c>
      <c r="L79" s="183"/>
      <c r="M79" s="191" t="s">
        <v>60</v>
      </c>
      <c r="N79" s="314">
        <f>噪声检验!C2</f>
        <v>0</v>
      </c>
      <c r="O79" s="315"/>
    </row>
    <row r="80" ht="30" hidden="1" customHeight="1" spans="1:15">
      <c r="A80" s="250"/>
      <c r="B80" s="256"/>
      <c r="C80" s="264"/>
      <c r="D80" s="196"/>
      <c r="E80" s="251"/>
      <c r="F80" s="252"/>
      <c r="G80" s="253"/>
      <c r="H80" s="265"/>
      <c r="I80" s="316"/>
      <c r="J80" s="317"/>
      <c r="K80" s="188"/>
      <c r="L80" s="190"/>
      <c r="M80" s="196"/>
      <c r="N80" s="318"/>
      <c r="O80" s="319"/>
    </row>
    <row r="81" ht="30" customHeight="1" spans="1:15">
      <c r="A81" s="250"/>
      <c r="B81" s="246" t="s">
        <v>78</v>
      </c>
      <c r="C81" s="262">
        <v>1</v>
      </c>
      <c r="D81" s="191" t="s">
        <v>76</v>
      </c>
      <c r="E81" s="247" t="s">
        <v>54</v>
      </c>
      <c r="F81" s="248"/>
      <c r="G81" s="249"/>
      <c r="H81" s="263">
        <f>噪声检验!C4</f>
        <v>0</v>
      </c>
      <c r="I81" s="312"/>
      <c r="J81" s="313">
        <v>0</v>
      </c>
      <c r="K81" s="182" t="s">
        <v>77</v>
      </c>
      <c r="L81" s="183"/>
      <c r="M81" s="191" t="s">
        <v>60</v>
      </c>
      <c r="N81" s="314">
        <f>噪声检验!C3</f>
        <v>0</v>
      </c>
      <c r="O81" s="315"/>
    </row>
    <row r="82" ht="30" hidden="1" customHeight="1" spans="1:15">
      <c r="A82" s="250"/>
      <c r="B82" s="256"/>
      <c r="C82" s="264"/>
      <c r="D82" s="196"/>
      <c r="E82" s="251"/>
      <c r="F82" s="252"/>
      <c r="G82" s="253"/>
      <c r="H82" s="265"/>
      <c r="I82" s="316"/>
      <c r="J82" s="317"/>
      <c r="K82" s="188"/>
      <c r="L82" s="190"/>
      <c r="M82" s="196"/>
      <c r="N82" s="318"/>
      <c r="O82" s="319"/>
    </row>
    <row r="83" ht="45" customHeight="1" spans="1:15">
      <c r="A83" s="250"/>
      <c r="B83" s="246" t="s">
        <v>79</v>
      </c>
      <c r="C83" s="262">
        <v>1</v>
      </c>
      <c r="D83" s="191" t="s">
        <v>80</v>
      </c>
      <c r="E83" s="247" t="s">
        <v>54</v>
      </c>
      <c r="F83" s="248"/>
      <c r="G83" s="249"/>
      <c r="H83" s="200">
        <f>波长边缘噪声!C2</f>
        <v>0</v>
      </c>
      <c r="I83" s="232"/>
      <c r="J83" s="313">
        <v>0</v>
      </c>
      <c r="K83" s="182" t="s">
        <v>62</v>
      </c>
      <c r="L83" s="183"/>
      <c r="M83" s="191" t="s">
        <v>60</v>
      </c>
      <c r="N83" s="314">
        <f>噪声检验!C4</f>
        <v>0</v>
      </c>
      <c r="O83" s="315"/>
    </row>
    <row r="84" ht="45" hidden="1" customHeight="1" spans="1:15">
      <c r="A84" s="250"/>
      <c r="B84" s="256"/>
      <c r="C84" s="264"/>
      <c r="D84" s="196"/>
      <c r="E84" s="251"/>
      <c r="F84" s="252"/>
      <c r="G84" s="253"/>
      <c r="H84" s="201"/>
      <c r="I84" s="234"/>
      <c r="J84" s="317"/>
      <c r="K84" s="188"/>
      <c r="L84" s="190"/>
      <c r="M84" s="196"/>
      <c r="N84" s="318"/>
      <c r="O84" s="319"/>
    </row>
    <row r="85" ht="30" customHeight="1" spans="1:15">
      <c r="A85" s="250"/>
      <c r="B85" s="246" t="s">
        <v>81</v>
      </c>
      <c r="C85" s="262">
        <v>1</v>
      </c>
      <c r="D85" s="191" t="s">
        <v>80</v>
      </c>
      <c r="E85" s="247" t="s">
        <v>54</v>
      </c>
      <c r="F85" s="248"/>
      <c r="G85" s="249"/>
      <c r="H85" s="200">
        <f>波长边缘噪声!C4</f>
        <v>0</v>
      </c>
      <c r="I85" s="232"/>
      <c r="J85" s="313">
        <v>0</v>
      </c>
      <c r="K85" s="182" t="s">
        <v>62</v>
      </c>
      <c r="L85" s="183"/>
      <c r="M85" s="191" t="s">
        <v>60</v>
      </c>
      <c r="N85" s="314">
        <f>噪声检验!C5</f>
        <v>0</v>
      </c>
      <c r="O85" s="315"/>
    </row>
    <row r="86" ht="30" hidden="1" customHeight="1" spans="1:15">
      <c r="A86" s="256"/>
      <c r="B86" s="256"/>
      <c r="C86" s="264"/>
      <c r="D86" s="196"/>
      <c r="E86" s="251"/>
      <c r="F86" s="252"/>
      <c r="G86" s="253"/>
      <c r="H86" s="201"/>
      <c r="I86" s="234"/>
      <c r="J86" s="317"/>
      <c r="K86" s="188"/>
      <c r="L86" s="190"/>
      <c r="M86" s="196"/>
      <c r="N86" s="318"/>
      <c r="O86" s="319"/>
    </row>
    <row r="87" ht="24.75" customHeight="1" spans="1:15">
      <c r="A87" s="246">
        <v>9</v>
      </c>
      <c r="B87" s="246" t="s">
        <v>82</v>
      </c>
      <c r="C87" s="247" t="s">
        <v>83</v>
      </c>
      <c r="D87" s="248"/>
      <c r="E87" s="248"/>
      <c r="F87" s="248"/>
      <c r="G87" s="249"/>
      <c r="H87" s="266" t="s">
        <v>54</v>
      </c>
      <c r="I87" s="320"/>
      <c r="J87" s="320"/>
      <c r="K87" s="320"/>
      <c r="L87" s="321"/>
      <c r="M87" s="293">
        <f>漂移检验!C2</f>
        <v>0</v>
      </c>
      <c r="N87" s="294"/>
      <c r="O87" s="295"/>
    </row>
    <row r="88" ht="24.75" hidden="1" customHeight="1" spans="1:15">
      <c r="A88" s="256"/>
      <c r="B88" s="256"/>
      <c r="C88" s="251"/>
      <c r="D88" s="252"/>
      <c r="E88" s="252"/>
      <c r="F88" s="252"/>
      <c r="G88" s="253"/>
      <c r="H88" s="267"/>
      <c r="I88" s="322"/>
      <c r="J88" s="322"/>
      <c r="K88" s="322"/>
      <c r="L88" s="323"/>
      <c r="M88" s="296"/>
      <c r="N88" s="297"/>
      <c r="O88" s="298"/>
    </row>
    <row r="89" ht="21.75" customHeight="1" spans="1:15">
      <c r="A89" s="246">
        <v>10</v>
      </c>
      <c r="B89" s="246" t="s">
        <v>84</v>
      </c>
      <c r="C89" s="246" t="s">
        <v>85</v>
      </c>
      <c r="D89" s="182" t="s">
        <v>56</v>
      </c>
      <c r="E89" s="183"/>
      <c r="F89" s="247" t="s">
        <v>86</v>
      </c>
      <c r="G89" s="248"/>
      <c r="H89" s="248"/>
      <c r="I89" s="248"/>
      <c r="J89" s="248"/>
      <c r="K89" s="249"/>
      <c r="L89" s="191" t="s">
        <v>87</v>
      </c>
      <c r="M89" s="191" t="s">
        <v>88</v>
      </c>
      <c r="N89" s="277" t="s">
        <v>89</v>
      </c>
      <c r="O89" s="279"/>
    </row>
    <row r="90" ht="21.75" hidden="1" customHeight="1" spans="1:15">
      <c r="A90" s="250"/>
      <c r="B90" s="250"/>
      <c r="C90" s="250"/>
      <c r="D90" s="188"/>
      <c r="E90" s="190"/>
      <c r="F90" s="251"/>
      <c r="G90" s="252"/>
      <c r="H90" s="252"/>
      <c r="I90" s="252"/>
      <c r="J90" s="252"/>
      <c r="K90" s="253"/>
      <c r="L90" s="196"/>
      <c r="M90" s="196"/>
      <c r="N90" s="280"/>
      <c r="O90" s="282"/>
    </row>
    <row r="91" ht="21.75" customHeight="1" spans="1:15">
      <c r="A91" s="250"/>
      <c r="B91" s="250"/>
      <c r="C91" s="250"/>
      <c r="D91" s="182" t="s">
        <v>90</v>
      </c>
      <c r="E91" s="183"/>
      <c r="F91" s="247" t="s">
        <v>91</v>
      </c>
      <c r="G91" s="248"/>
      <c r="H91" s="248"/>
      <c r="I91" s="248"/>
      <c r="J91" s="248"/>
      <c r="K91" s="249"/>
      <c r="L91" s="246"/>
      <c r="M91" s="246"/>
      <c r="N91" s="247"/>
      <c r="O91" s="249"/>
    </row>
    <row r="92" ht="21.75" hidden="1" customHeight="1" spans="1:15">
      <c r="A92" s="250"/>
      <c r="B92" s="250"/>
      <c r="C92" s="250"/>
      <c r="D92" s="184"/>
      <c r="E92" s="185"/>
      <c r="F92" s="251"/>
      <c r="G92" s="252"/>
      <c r="H92" s="252"/>
      <c r="I92" s="252"/>
      <c r="J92" s="252"/>
      <c r="K92" s="253"/>
      <c r="L92" s="256"/>
      <c r="M92" s="256"/>
      <c r="N92" s="251"/>
      <c r="O92" s="253"/>
    </row>
    <row r="93" ht="21.75" customHeight="1" spans="1:15">
      <c r="A93" s="250"/>
      <c r="B93" s="250"/>
      <c r="C93" s="250"/>
      <c r="D93" s="184"/>
      <c r="E93" s="185"/>
      <c r="F93" s="247" t="s">
        <v>92</v>
      </c>
      <c r="G93" s="248"/>
      <c r="H93" s="248"/>
      <c r="I93" s="248"/>
      <c r="J93" s="248"/>
      <c r="K93" s="249"/>
      <c r="L93" s="324"/>
      <c r="M93" s="324"/>
      <c r="N93" s="186"/>
      <c r="O93" s="218"/>
    </row>
    <row r="94" ht="21.75" hidden="1" customHeight="1" spans="1:15">
      <c r="A94" s="250"/>
      <c r="B94" s="250"/>
      <c r="C94" s="250"/>
      <c r="D94" s="184"/>
      <c r="E94" s="185"/>
      <c r="F94" s="251"/>
      <c r="G94" s="252"/>
      <c r="H94" s="252"/>
      <c r="I94" s="252"/>
      <c r="J94" s="252"/>
      <c r="K94" s="253"/>
      <c r="L94" s="325"/>
      <c r="M94" s="325"/>
      <c r="N94" s="326"/>
      <c r="O94" s="327"/>
    </row>
    <row r="95" ht="21.75" customHeight="1" spans="1:15">
      <c r="A95" s="250"/>
      <c r="B95" s="250"/>
      <c r="C95" s="250"/>
      <c r="D95" s="184"/>
      <c r="E95" s="185"/>
      <c r="F95" s="247" t="s">
        <v>93</v>
      </c>
      <c r="G95" s="248"/>
      <c r="H95" s="248"/>
      <c r="I95" s="248"/>
      <c r="J95" s="248"/>
      <c r="K95" s="249"/>
      <c r="L95" s="246"/>
      <c r="M95" s="246"/>
      <c r="N95" s="247"/>
      <c r="O95" s="249"/>
    </row>
    <row r="96" ht="21.75" hidden="1" customHeight="1" spans="1:15">
      <c r="A96" s="250"/>
      <c r="B96" s="250"/>
      <c r="C96" s="250"/>
      <c r="D96" s="184"/>
      <c r="E96" s="185"/>
      <c r="F96" s="251"/>
      <c r="G96" s="252"/>
      <c r="H96" s="252"/>
      <c r="I96" s="252"/>
      <c r="J96" s="252"/>
      <c r="K96" s="253"/>
      <c r="L96" s="256"/>
      <c r="M96" s="256"/>
      <c r="N96" s="251"/>
      <c r="O96" s="253"/>
    </row>
    <row r="97" ht="21.75" customHeight="1" spans="1:15">
      <c r="A97" s="250"/>
      <c r="B97" s="250"/>
      <c r="C97" s="250"/>
      <c r="D97" s="184"/>
      <c r="E97" s="185"/>
      <c r="F97" s="247" t="s">
        <v>94</v>
      </c>
      <c r="G97" s="248"/>
      <c r="H97" s="248"/>
      <c r="I97" s="248"/>
      <c r="J97" s="248"/>
      <c r="K97" s="249"/>
      <c r="L97" s="246"/>
      <c r="M97" s="246"/>
      <c r="N97" s="247"/>
      <c r="O97" s="249"/>
    </row>
    <row r="98" ht="21.75" hidden="1" customHeight="1" spans="1:15">
      <c r="A98" s="256"/>
      <c r="B98" s="256"/>
      <c r="C98" s="256"/>
      <c r="D98" s="188"/>
      <c r="E98" s="190"/>
      <c r="F98" s="251"/>
      <c r="G98" s="252"/>
      <c r="H98" s="252"/>
      <c r="I98" s="252"/>
      <c r="J98" s="252"/>
      <c r="K98" s="253"/>
      <c r="L98" s="256"/>
      <c r="M98" s="256"/>
      <c r="N98" s="251"/>
      <c r="O98" s="253"/>
    </row>
    <row r="99" ht="30" customHeight="1" spans="1:15">
      <c r="A99" s="246">
        <v>11</v>
      </c>
      <c r="B99" s="246" t="s">
        <v>95</v>
      </c>
      <c r="C99" s="247" t="s">
        <v>96</v>
      </c>
      <c r="D99" s="248"/>
      <c r="E99" s="249"/>
      <c r="F99" s="247" t="s">
        <v>97</v>
      </c>
      <c r="G99" s="248"/>
      <c r="H99" s="248"/>
      <c r="I99" s="248"/>
      <c r="J99" s="248"/>
      <c r="K99" s="249"/>
      <c r="L99" s="247" t="s">
        <v>98</v>
      </c>
      <c r="M99" s="248"/>
      <c r="N99" s="248"/>
      <c r="O99" s="249"/>
    </row>
    <row r="100" ht="30" hidden="1" customHeight="1" spans="1:15">
      <c r="A100" s="256"/>
      <c r="B100" s="256"/>
      <c r="C100" s="251"/>
      <c r="D100" s="252"/>
      <c r="E100" s="253"/>
      <c r="F100" s="251"/>
      <c r="G100" s="252"/>
      <c r="H100" s="252"/>
      <c r="I100" s="252"/>
      <c r="J100" s="252"/>
      <c r="K100" s="253"/>
      <c r="L100" s="251"/>
      <c r="M100" s="252"/>
      <c r="N100" s="252"/>
      <c r="O100" s="253"/>
    </row>
    <row r="101" ht="30" customHeight="1" spans="1:15">
      <c r="A101" s="246">
        <v>12</v>
      </c>
      <c r="B101" s="246" t="s">
        <v>99</v>
      </c>
      <c r="C101" s="257" t="s">
        <v>100</v>
      </c>
      <c r="D101" s="258"/>
      <c r="E101" s="259"/>
      <c r="F101" s="247" t="s">
        <v>101</v>
      </c>
      <c r="G101" s="248"/>
      <c r="H101" s="248"/>
      <c r="I101" s="248"/>
      <c r="J101" s="248"/>
      <c r="K101" s="249"/>
      <c r="L101" s="257" t="s">
        <v>102</v>
      </c>
      <c r="M101" s="259"/>
      <c r="N101" s="257"/>
      <c r="O101" s="259"/>
    </row>
    <row r="102" ht="30" customHeight="1" spans="1:15">
      <c r="A102" s="256"/>
      <c r="B102" s="256"/>
      <c r="C102" s="257" t="s">
        <v>103</v>
      </c>
      <c r="D102" s="258"/>
      <c r="E102" s="259"/>
      <c r="F102" s="251"/>
      <c r="G102" s="252"/>
      <c r="H102" s="252"/>
      <c r="I102" s="252"/>
      <c r="J102" s="252"/>
      <c r="K102" s="253"/>
      <c r="L102" s="257" t="s">
        <v>102</v>
      </c>
      <c r="M102" s="259"/>
      <c r="N102" s="257"/>
      <c r="O102" s="259"/>
    </row>
    <row r="103" ht="30" customHeight="1" spans="1:15">
      <c r="A103" s="246">
        <v>13</v>
      </c>
      <c r="B103" s="246" t="s">
        <v>104</v>
      </c>
      <c r="C103" s="247" t="s">
        <v>105</v>
      </c>
      <c r="D103" s="248"/>
      <c r="E103" s="249"/>
      <c r="F103" s="247" t="s">
        <v>106</v>
      </c>
      <c r="G103" s="248"/>
      <c r="H103" s="248"/>
      <c r="I103" s="248"/>
      <c r="J103" s="248"/>
      <c r="K103" s="249"/>
      <c r="L103" s="247" t="s">
        <v>107</v>
      </c>
      <c r="M103" s="249"/>
      <c r="N103" s="247"/>
      <c r="O103" s="249"/>
    </row>
    <row r="104" ht="30" hidden="1" customHeight="1" spans="1:15">
      <c r="A104" s="256"/>
      <c r="B104" s="256"/>
      <c r="C104" s="251"/>
      <c r="D104" s="252"/>
      <c r="E104" s="253"/>
      <c r="F104" s="251"/>
      <c r="G104" s="252"/>
      <c r="H104" s="252"/>
      <c r="I104" s="252"/>
      <c r="J104" s="252"/>
      <c r="K104" s="253"/>
      <c r="L104" s="251"/>
      <c r="M104" s="253"/>
      <c r="N104" s="251"/>
      <c r="O104" s="253"/>
    </row>
    <row r="105" ht="30" customHeight="1" spans="1:15">
      <c r="A105" s="246">
        <v>14</v>
      </c>
      <c r="B105" s="246" t="s">
        <v>108</v>
      </c>
      <c r="C105" s="247" t="s">
        <v>109</v>
      </c>
      <c r="D105" s="248"/>
      <c r="E105" s="249"/>
      <c r="F105" s="247" t="s">
        <v>110</v>
      </c>
      <c r="G105" s="248"/>
      <c r="H105" s="248"/>
      <c r="I105" s="248"/>
      <c r="J105" s="248"/>
      <c r="K105" s="249"/>
      <c r="L105" s="247" t="s">
        <v>111</v>
      </c>
      <c r="M105" s="249"/>
      <c r="N105" s="247"/>
      <c r="O105" s="249"/>
    </row>
    <row r="106" ht="30" hidden="1" customHeight="1" spans="1:15">
      <c r="A106" s="256"/>
      <c r="B106" s="256"/>
      <c r="C106" s="251"/>
      <c r="D106" s="252"/>
      <c r="E106" s="253"/>
      <c r="F106" s="251"/>
      <c r="G106" s="252"/>
      <c r="H106" s="252"/>
      <c r="I106" s="252"/>
      <c r="J106" s="252"/>
      <c r="K106" s="253"/>
      <c r="L106" s="251"/>
      <c r="M106" s="253"/>
      <c r="N106" s="251"/>
      <c r="O106" s="253"/>
    </row>
    <row r="107" ht="30" customHeight="1" spans="1:15">
      <c r="A107" s="268">
        <v>15</v>
      </c>
      <c r="B107" s="257" t="s">
        <v>112</v>
      </c>
      <c r="C107" s="259"/>
      <c r="D107" s="257" t="s">
        <v>113</v>
      </c>
      <c r="E107" s="258"/>
      <c r="F107" s="259"/>
      <c r="G107" s="257" t="s">
        <v>114</v>
      </c>
      <c r="H107" s="258"/>
      <c r="I107" s="259"/>
      <c r="J107" s="257" t="str">
        <f>IFERROR(MID(样品池准确度与重复性校验!A1,SEARCH("样品池 1 (%) =",样品池准确度与重复性校验!A1)+LEN("样品池 1 (%) ="),SEARCH(CHAR(10),样品池准确度与重复性校验!A1,SEARCH("样品池 1 (%) =",样品池准确度与重复性校验!A1))-SEARCH("样品池 1 (%) =",样品池准确度与重复性校验!A1)-LEN("样品池 1 (%) =")),"")</f>
        <v/>
      </c>
      <c r="K107" s="259"/>
      <c r="L107" s="268" t="s">
        <v>47</v>
      </c>
      <c r="M107" s="257" t="str">
        <f>IFERROR(MID(样品池准确度与重复性校验!A1,SEARCH("最大值与最小值差值为：",样品池准确度与重复性校验!A1)+LEN("最大值与最小值差值为："),FIND(CHAR(10),样品池准确度与重复性校验!A1,SEARCH("最大值与最小值差值为：",样品池准确度与重复性校验!A1))-SEARCH("最大值与最小值差值为：",样品池准确度与重复性校验!A1)-LEN("最大值与最小值差值为：")),"")</f>
        <v/>
      </c>
      <c r="N107" s="258"/>
      <c r="O107" s="259"/>
    </row>
    <row r="108" ht="77.25" customHeight="1" spans="1:15">
      <c r="A108" s="250">
        <v>16</v>
      </c>
      <c r="B108" s="192" t="s">
        <v>115</v>
      </c>
      <c r="C108" s="269" t="s">
        <v>116</v>
      </c>
      <c r="D108" s="270"/>
      <c r="E108" s="270"/>
      <c r="F108" s="270"/>
      <c r="G108" s="270"/>
      <c r="H108" s="270"/>
      <c r="I108" s="270"/>
      <c r="J108" s="270"/>
      <c r="K108" s="270"/>
      <c r="L108" s="270"/>
      <c r="M108" s="328"/>
      <c r="N108" s="329" t="s">
        <v>117</v>
      </c>
      <c r="O108" s="330"/>
    </row>
    <row r="109" ht="30" customHeight="1" spans="1:15">
      <c r="A109" s="256"/>
      <c r="B109" s="196"/>
      <c r="C109" s="251"/>
      <c r="D109" s="252"/>
      <c r="E109" s="252"/>
      <c r="F109" s="252"/>
      <c r="G109" s="252"/>
      <c r="H109" s="252"/>
      <c r="I109" s="252"/>
      <c r="J109" s="252"/>
      <c r="K109" s="252"/>
      <c r="L109" s="252"/>
      <c r="M109" s="253"/>
      <c r="N109" s="331"/>
      <c r="O109" s="332"/>
    </row>
    <row r="110" ht="27.75" customHeight="1" spans="1:15">
      <c r="A110" s="257" t="s">
        <v>118</v>
      </c>
      <c r="B110" s="259"/>
      <c r="C110" s="257" t="s">
        <v>119</v>
      </c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9"/>
    </row>
    <row r="111" ht="14.25" customHeight="1" spans="1:15">
      <c r="A111" s="182" t="s">
        <v>120</v>
      </c>
      <c r="B111" s="183"/>
      <c r="C111" s="271" t="s">
        <v>121</v>
      </c>
      <c r="D111" s="272"/>
      <c r="E111" s="272"/>
      <c r="F111" s="272"/>
      <c r="G111" s="272"/>
      <c r="H111" s="272"/>
      <c r="I111" s="272"/>
      <c r="J111" s="272"/>
      <c r="K111" s="272"/>
      <c r="L111" s="272"/>
      <c r="M111" s="272"/>
      <c r="N111" s="272"/>
      <c r="O111" s="333"/>
    </row>
    <row r="112" ht="14.25" customHeight="1" spans="1:15">
      <c r="A112" s="184"/>
      <c r="B112" s="185"/>
      <c r="C112" s="273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334"/>
    </row>
    <row r="113" ht="27" customHeight="1" spans="1:15">
      <c r="A113" s="188"/>
      <c r="B113" s="190"/>
      <c r="C113" s="275"/>
      <c r="D113" s="276"/>
      <c r="E113" s="276"/>
      <c r="F113" s="276"/>
      <c r="G113" s="276"/>
      <c r="H113" s="276"/>
      <c r="I113" s="276"/>
      <c r="J113" s="276"/>
      <c r="K113" s="276"/>
      <c r="L113" s="276"/>
      <c r="M113" s="276"/>
      <c r="N113" s="276"/>
      <c r="O113" s="335"/>
    </row>
  </sheetData>
  <mergeCells count="405">
    <mergeCell ref="C1:K1"/>
    <mergeCell ref="L1:M1"/>
    <mergeCell ref="N1:O1"/>
    <mergeCell ref="L2:M2"/>
    <mergeCell ref="N2:O2"/>
    <mergeCell ref="L3:M3"/>
    <mergeCell ref="N3:O3"/>
    <mergeCell ref="A4:C4"/>
    <mergeCell ref="D4:G4"/>
    <mergeCell ref="H4:K4"/>
    <mergeCell ref="L4:M4"/>
    <mergeCell ref="N4:O4"/>
    <mergeCell ref="A5:C5"/>
    <mergeCell ref="D5:G5"/>
    <mergeCell ref="H5:K5"/>
    <mergeCell ref="L5:M5"/>
    <mergeCell ref="N5:O5"/>
    <mergeCell ref="A6:B6"/>
    <mergeCell ref="C6:D6"/>
    <mergeCell ref="E6:G6"/>
    <mergeCell ref="H6:K6"/>
    <mergeCell ref="L6:M6"/>
    <mergeCell ref="N6:O6"/>
    <mergeCell ref="A7:B7"/>
    <mergeCell ref="C7:D7"/>
    <mergeCell ref="E7:G7"/>
    <mergeCell ref="H7:J7"/>
    <mergeCell ref="K7:L7"/>
    <mergeCell ref="M7:O7"/>
    <mergeCell ref="B8:D8"/>
    <mergeCell ref="E8:O8"/>
    <mergeCell ref="E9:G9"/>
    <mergeCell ref="H9:O9"/>
    <mergeCell ref="E10:G10"/>
    <mergeCell ref="H10:J10"/>
    <mergeCell ref="K10:L10"/>
    <mergeCell ref="M10:O10"/>
    <mergeCell ref="E11:G11"/>
    <mergeCell ref="H11:J11"/>
    <mergeCell ref="K11:L11"/>
    <mergeCell ref="M11:O11"/>
    <mergeCell ref="H12:J12"/>
    <mergeCell ref="K12:L12"/>
    <mergeCell ref="M12:O12"/>
    <mergeCell ref="H13:J13"/>
    <mergeCell ref="K13:L13"/>
    <mergeCell ref="M13:O13"/>
    <mergeCell ref="H14:J14"/>
    <mergeCell ref="K14:L14"/>
    <mergeCell ref="M14:O14"/>
    <mergeCell ref="E15:G15"/>
    <mergeCell ref="H15:J15"/>
    <mergeCell ref="K15:L15"/>
    <mergeCell ref="M15:O15"/>
    <mergeCell ref="E16:G16"/>
    <mergeCell ref="H16:J16"/>
    <mergeCell ref="K16:L16"/>
    <mergeCell ref="M16:O16"/>
    <mergeCell ref="E17:G17"/>
    <mergeCell ref="H17:J17"/>
    <mergeCell ref="K17:L17"/>
    <mergeCell ref="M17:O17"/>
    <mergeCell ref="E18:G18"/>
    <mergeCell ref="H18:O18"/>
    <mergeCell ref="E35:F35"/>
    <mergeCell ref="G35:H35"/>
    <mergeCell ref="I35:K35"/>
    <mergeCell ref="L35:M35"/>
    <mergeCell ref="N35:O35"/>
    <mergeCell ref="G36:H36"/>
    <mergeCell ref="I36:K36"/>
    <mergeCell ref="L36:M36"/>
    <mergeCell ref="N36:O36"/>
    <mergeCell ref="I37:K37"/>
    <mergeCell ref="L37:M37"/>
    <mergeCell ref="N37:O37"/>
    <mergeCell ref="I38:K38"/>
    <mergeCell ref="L38:M38"/>
    <mergeCell ref="N38:O38"/>
    <mergeCell ref="I39:K39"/>
    <mergeCell ref="L39:M39"/>
    <mergeCell ref="N39:O39"/>
    <mergeCell ref="G40:H40"/>
    <mergeCell ref="I40:K40"/>
    <mergeCell ref="L40:M40"/>
    <mergeCell ref="N40:O40"/>
    <mergeCell ref="G41:H41"/>
    <mergeCell ref="I41:K41"/>
    <mergeCell ref="L41:M41"/>
    <mergeCell ref="N41:O41"/>
    <mergeCell ref="G42:H42"/>
    <mergeCell ref="I42:K42"/>
    <mergeCell ref="L42:M42"/>
    <mergeCell ref="N42:O42"/>
    <mergeCell ref="G43:H43"/>
    <mergeCell ref="I43:K43"/>
    <mergeCell ref="L43:M43"/>
    <mergeCell ref="N43:O43"/>
    <mergeCell ref="I44:K44"/>
    <mergeCell ref="L44:M44"/>
    <mergeCell ref="N44:O44"/>
    <mergeCell ref="I45:K45"/>
    <mergeCell ref="L45:M45"/>
    <mergeCell ref="N45:O45"/>
    <mergeCell ref="I46:K46"/>
    <mergeCell ref="L46:M46"/>
    <mergeCell ref="N46:O46"/>
    <mergeCell ref="G47:H47"/>
    <mergeCell ref="I47:K47"/>
    <mergeCell ref="L47:M47"/>
    <mergeCell ref="N47:O47"/>
    <mergeCell ref="G48:H48"/>
    <mergeCell ref="I48:K48"/>
    <mergeCell ref="L48:M48"/>
    <mergeCell ref="N48:O48"/>
    <mergeCell ref="G49:H49"/>
    <mergeCell ref="I49:K49"/>
    <mergeCell ref="L49:M49"/>
    <mergeCell ref="N49:O49"/>
    <mergeCell ref="G50:H50"/>
    <mergeCell ref="I50:K50"/>
    <mergeCell ref="L50:M50"/>
    <mergeCell ref="N50:O50"/>
    <mergeCell ref="I51:K51"/>
    <mergeCell ref="L51:M51"/>
    <mergeCell ref="N51:O51"/>
    <mergeCell ref="I52:K52"/>
    <mergeCell ref="L52:M52"/>
    <mergeCell ref="N52:O52"/>
    <mergeCell ref="I53:K53"/>
    <mergeCell ref="L53:M53"/>
    <mergeCell ref="N53:O53"/>
    <mergeCell ref="G54:H54"/>
    <mergeCell ref="I54:K54"/>
    <mergeCell ref="L54:M54"/>
    <mergeCell ref="N54:O54"/>
    <mergeCell ref="G55:H55"/>
    <mergeCell ref="I55:K55"/>
    <mergeCell ref="L55:M55"/>
    <mergeCell ref="N55:O55"/>
    <mergeCell ref="G56:H56"/>
    <mergeCell ref="I56:K56"/>
    <mergeCell ref="L56:M56"/>
    <mergeCell ref="N56:O56"/>
    <mergeCell ref="E57:G57"/>
    <mergeCell ref="H57:O57"/>
    <mergeCell ref="H58:I58"/>
    <mergeCell ref="J58:K58"/>
    <mergeCell ref="L58:M58"/>
    <mergeCell ref="N58:O58"/>
    <mergeCell ref="H59:I59"/>
    <mergeCell ref="J59:K59"/>
    <mergeCell ref="L59:M59"/>
    <mergeCell ref="N59:O59"/>
    <mergeCell ref="H60:I60"/>
    <mergeCell ref="J60:K60"/>
    <mergeCell ref="L60:M60"/>
    <mergeCell ref="N60:O60"/>
    <mergeCell ref="H61:I61"/>
    <mergeCell ref="J61:K61"/>
    <mergeCell ref="L61:M61"/>
    <mergeCell ref="N61:O61"/>
    <mergeCell ref="H62:I62"/>
    <mergeCell ref="J62:K62"/>
    <mergeCell ref="L62:M62"/>
    <mergeCell ref="N62:O62"/>
    <mergeCell ref="E63:G63"/>
    <mergeCell ref="H63:I63"/>
    <mergeCell ref="J63:K63"/>
    <mergeCell ref="L63:M63"/>
    <mergeCell ref="N63:O63"/>
    <mergeCell ref="E64:G64"/>
    <mergeCell ref="H64:I64"/>
    <mergeCell ref="J64:K64"/>
    <mergeCell ref="L64:M64"/>
    <mergeCell ref="N64:O64"/>
    <mergeCell ref="E65:G65"/>
    <mergeCell ref="H65:I65"/>
    <mergeCell ref="J65:K65"/>
    <mergeCell ref="L65:M65"/>
    <mergeCell ref="N65:O65"/>
    <mergeCell ref="E76:G76"/>
    <mergeCell ref="H76:L76"/>
    <mergeCell ref="E77:G77"/>
    <mergeCell ref="H77:L77"/>
    <mergeCell ref="E78:G78"/>
    <mergeCell ref="H78:L78"/>
    <mergeCell ref="C101:E101"/>
    <mergeCell ref="L101:M101"/>
    <mergeCell ref="N101:O101"/>
    <mergeCell ref="C102:E102"/>
    <mergeCell ref="L102:M102"/>
    <mergeCell ref="N102:O102"/>
    <mergeCell ref="B107:C107"/>
    <mergeCell ref="D107:F107"/>
    <mergeCell ref="G107:I107"/>
    <mergeCell ref="J107:K107"/>
    <mergeCell ref="M107:O107"/>
    <mergeCell ref="A110:B110"/>
    <mergeCell ref="C110:O110"/>
    <mergeCell ref="A9:A32"/>
    <mergeCell ref="A33:A49"/>
    <mergeCell ref="A50:A56"/>
    <mergeCell ref="A57:A65"/>
    <mergeCell ref="A66:A71"/>
    <mergeCell ref="A72:A73"/>
    <mergeCell ref="A74:A75"/>
    <mergeCell ref="A76:A78"/>
    <mergeCell ref="A79:A86"/>
    <mergeCell ref="A87:A88"/>
    <mergeCell ref="A89:A98"/>
    <mergeCell ref="A99:A100"/>
    <mergeCell ref="A101:A102"/>
    <mergeCell ref="A103:A104"/>
    <mergeCell ref="A105:A106"/>
    <mergeCell ref="A108:A109"/>
    <mergeCell ref="B9:B17"/>
    <mergeCell ref="B18:B32"/>
    <mergeCell ref="B33:B49"/>
    <mergeCell ref="B50:B56"/>
    <mergeCell ref="B57:B65"/>
    <mergeCell ref="B66:B71"/>
    <mergeCell ref="B72:B73"/>
    <mergeCell ref="B74:B75"/>
    <mergeCell ref="B76:B78"/>
    <mergeCell ref="B79:B80"/>
    <mergeCell ref="B81:B82"/>
    <mergeCell ref="B83:B84"/>
    <mergeCell ref="B85:B86"/>
    <mergeCell ref="B87:B88"/>
    <mergeCell ref="B89:B98"/>
    <mergeCell ref="B99:B100"/>
    <mergeCell ref="B101:B102"/>
    <mergeCell ref="B103:B104"/>
    <mergeCell ref="B105:B106"/>
    <mergeCell ref="B108:B109"/>
    <mergeCell ref="C68:C69"/>
    <mergeCell ref="C70:C71"/>
    <mergeCell ref="C79:C80"/>
    <mergeCell ref="C81:C82"/>
    <mergeCell ref="C83:C84"/>
    <mergeCell ref="C85:C86"/>
    <mergeCell ref="C89:C98"/>
    <mergeCell ref="D68:D69"/>
    <mergeCell ref="D70:D71"/>
    <mergeCell ref="D79:D80"/>
    <mergeCell ref="D81:D82"/>
    <mergeCell ref="D83:D84"/>
    <mergeCell ref="D85:D86"/>
    <mergeCell ref="J19:J20"/>
    <mergeCell ref="J21:J22"/>
    <mergeCell ref="J23:J24"/>
    <mergeCell ref="J25:J26"/>
    <mergeCell ref="J27:J28"/>
    <mergeCell ref="J29:J30"/>
    <mergeCell ref="J31:J32"/>
    <mergeCell ref="J66:J67"/>
    <mergeCell ref="J68:J69"/>
    <mergeCell ref="J70:J71"/>
    <mergeCell ref="J79:J80"/>
    <mergeCell ref="J81:J82"/>
    <mergeCell ref="J83:J84"/>
    <mergeCell ref="J85:J86"/>
    <mergeCell ref="K19:K20"/>
    <mergeCell ref="K21:K22"/>
    <mergeCell ref="K23:K24"/>
    <mergeCell ref="K25:K26"/>
    <mergeCell ref="K27:K28"/>
    <mergeCell ref="K29:K30"/>
    <mergeCell ref="K31:K32"/>
    <mergeCell ref="K66:K67"/>
    <mergeCell ref="K68:K69"/>
    <mergeCell ref="K70:K71"/>
    <mergeCell ref="L19:L20"/>
    <mergeCell ref="L21:L22"/>
    <mergeCell ref="L23:L24"/>
    <mergeCell ref="L25:L26"/>
    <mergeCell ref="L27:L28"/>
    <mergeCell ref="L29:L30"/>
    <mergeCell ref="L31:L32"/>
    <mergeCell ref="L66:L67"/>
    <mergeCell ref="L68:L69"/>
    <mergeCell ref="L70:L71"/>
    <mergeCell ref="L89:L90"/>
    <mergeCell ref="L91:L92"/>
    <mergeCell ref="L93:L94"/>
    <mergeCell ref="L95:L96"/>
    <mergeCell ref="L97:L98"/>
    <mergeCell ref="M19:M20"/>
    <mergeCell ref="M21:M22"/>
    <mergeCell ref="M23:M24"/>
    <mergeCell ref="M25:M26"/>
    <mergeCell ref="M27:M28"/>
    <mergeCell ref="M29:M30"/>
    <mergeCell ref="M31:M32"/>
    <mergeCell ref="M79:M80"/>
    <mergeCell ref="M81:M82"/>
    <mergeCell ref="M83:M84"/>
    <mergeCell ref="M85:M86"/>
    <mergeCell ref="M89:M90"/>
    <mergeCell ref="M91:M92"/>
    <mergeCell ref="M93:M94"/>
    <mergeCell ref="M95:M96"/>
    <mergeCell ref="M97:M98"/>
    <mergeCell ref="E83:G84"/>
    <mergeCell ref="E81:G82"/>
    <mergeCell ref="H79:I80"/>
    <mergeCell ref="N79:O80"/>
    <mergeCell ref="H83:I84"/>
    <mergeCell ref="N83:O84"/>
    <mergeCell ref="H81:I82"/>
    <mergeCell ref="N81:O82"/>
    <mergeCell ref="K83:L84"/>
    <mergeCell ref="K79:L80"/>
    <mergeCell ref="K81:L82"/>
    <mergeCell ref="C72:G73"/>
    <mergeCell ref="H72:L73"/>
    <mergeCell ref="C74:G75"/>
    <mergeCell ref="H74:L75"/>
    <mergeCell ref="E79:G80"/>
    <mergeCell ref="H85:I86"/>
    <mergeCell ref="N85:O86"/>
    <mergeCell ref="K85:L86"/>
    <mergeCell ref="M72:O73"/>
    <mergeCell ref="M70:O71"/>
    <mergeCell ref="M74:O75"/>
    <mergeCell ref="M76:O78"/>
    <mergeCell ref="N91:O92"/>
    <mergeCell ref="F91:K92"/>
    <mergeCell ref="D89:E90"/>
    <mergeCell ref="N89:O90"/>
    <mergeCell ref="F89:K90"/>
    <mergeCell ref="M87:O88"/>
    <mergeCell ref="C87:G88"/>
    <mergeCell ref="H87:L88"/>
    <mergeCell ref="N93:O94"/>
    <mergeCell ref="F93:K94"/>
    <mergeCell ref="F99:K100"/>
    <mergeCell ref="F97:K98"/>
    <mergeCell ref="F95:K96"/>
    <mergeCell ref="N95:O96"/>
    <mergeCell ref="L99:O100"/>
    <mergeCell ref="N97:O98"/>
    <mergeCell ref="E85:G86"/>
    <mergeCell ref="D91:E98"/>
    <mergeCell ref="C99:E100"/>
    <mergeCell ref="C105:E106"/>
    <mergeCell ref="C103:E104"/>
    <mergeCell ref="N108:O109"/>
    <mergeCell ref="C108:M109"/>
    <mergeCell ref="C111:O113"/>
    <mergeCell ref="F105:K106"/>
    <mergeCell ref="F103:K104"/>
    <mergeCell ref="F101:K102"/>
    <mergeCell ref="L103:M104"/>
    <mergeCell ref="N103:O104"/>
    <mergeCell ref="L105:M106"/>
    <mergeCell ref="N105:O106"/>
    <mergeCell ref="A111:B113"/>
    <mergeCell ref="C76:D78"/>
    <mergeCell ref="C66:D67"/>
    <mergeCell ref="C57:D65"/>
    <mergeCell ref="H31:I32"/>
    <mergeCell ref="N31:O32"/>
    <mergeCell ref="H29:I30"/>
    <mergeCell ref="N29:O30"/>
    <mergeCell ref="H27:I28"/>
    <mergeCell ref="N27:O28"/>
    <mergeCell ref="H19:I20"/>
    <mergeCell ref="N19:O20"/>
    <mergeCell ref="H21:I22"/>
    <mergeCell ref="N21:O22"/>
    <mergeCell ref="C9:D17"/>
    <mergeCell ref="C2:K3"/>
    <mergeCell ref="A1:B3"/>
    <mergeCell ref="C18:D32"/>
    <mergeCell ref="E19:G20"/>
    <mergeCell ref="C50:D56"/>
    <mergeCell ref="E50:F56"/>
    <mergeCell ref="C33:D49"/>
    <mergeCell ref="E12:G14"/>
    <mergeCell ref="E21:G26"/>
    <mergeCell ref="E27:G28"/>
    <mergeCell ref="E33:G34"/>
    <mergeCell ref="E31:G32"/>
    <mergeCell ref="E29:G30"/>
    <mergeCell ref="H23:I24"/>
    <mergeCell ref="N23:O24"/>
    <mergeCell ref="H25:I26"/>
    <mergeCell ref="N25:O26"/>
    <mergeCell ref="E70:G71"/>
    <mergeCell ref="E68:G69"/>
    <mergeCell ref="E66:G67"/>
    <mergeCell ref="E60:G62"/>
    <mergeCell ref="E58:G59"/>
    <mergeCell ref="E36:F42"/>
    <mergeCell ref="E43:F49"/>
    <mergeCell ref="G44:H46"/>
    <mergeCell ref="G51:H53"/>
    <mergeCell ref="G37:H39"/>
    <mergeCell ref="H66:I67"/>
    <mergeCell ref="H68:I71"/>
    <mergeCell ref="M66:O67"/>
    <mergeCell ref="M68:O69"/>
    <mergeCell ref="H33:O34"/>
  </mergeCells>
  <printOptions horizontalCentered="1"/>
  <pageMargins left="0.511811023622047" right="0.511811023622047" top="0.748031496062992" bottom="0.748031496062992" header="0.196850393700787" footer="0.196850393700787"/>
  <pageSetup paperSize="9" scale="95" firstPageNumber="4294963191" orientation="portrait" useFirstPageNumber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1"/>
  <sheetViews>
    <sheetView showGridLines="0" workbookViewId="0">
      <pane topLeftCell="A1" activePane="topLeft"/>
      <selection activeCell="K39" sqref="K39"/>
    </sheetView>
  </sheetViews>
  <sheetFormatPr defaultColWidth="8.88333333333333" defaultRowHeight="13.5" customHeight="1"/>
  <cols>
    <col min="1" max="1" width="18.3833333333333" style="124" customWidth="1"/>
    <col min="2" max="2" width="19.3833333333333" style="124" customWidth="1"/>
    <col min="3" max="3" width="21.5" style="124" customWidth="1"/>
    <col min="4" max="4" width="7.88333333333333" style="124" customWidth="1"/>
    <col min="5" max="7" width="14.1333333333333" style="124" customWidth="1"/>
    <col min="8" max="12" width="11" style="124" customWidth="1"/>
    <col min="13" max="13" width="16.3833333333333" style="124" customWidth="1"/>
    <col min="14" max="14" width="11" style="124" customWidth="1"/>
    <col min="15" max="15" width="20.1333333333333" style="124" customWidth="1"/>
    <col min="16" max="16" width="16.3833333333333" style="160" customWidth="1"/>
    <col min="17" max="16384" width="8.88333333333333" style="124"/>
  </cols>
  <sheetData>
    <row r="1" s="112" customFormat="1" ht="32.25" customHeight="1" spans="1:18">
      <c r="A1" s="118" t="s">
        <v>122</v>
      </c>
      <c r="B1" s="118" t="s">
        <v>123</v>
      </c>
      <c r="C1" s="118" t="s">
        <v>124</v>
      </c>
      <c r="D1" s="118"/>
      <c r="E1" s="161" t="s">
        <v>125</v>
      </c>
      <c r="F1" s="161" t="s">
        <v>126</v>
      </c>
      <c r="G1" s="161" t="s">
        <v>126</v>
      </c>
      <c r="H1" s="161" t="s">
        <v>127</v>
      </c>
      <c r="I1" s="161" t="s">
        <v>128</v>
      </c>
      <c r="J1" s="161" t="s">
        <v>128</v>
      </c>
      <c r="K1" s="161" t="s">
        <v>129</v>
      </c>
      <c r="L1" s="161" t="s">
        <v>129</v>
      </c>
      <c r="M1" s="161" t="s">
        <v>130</v>
      </c>
      <c r="N1" s="161" t="s">
        <v>131</v>
      </c>
      <c r="O1" s="161" t="s">
        <v>132</v>
      </c>
      <c r="P1" s="163" t="s">
        <v>133</v>
      </c>
      <c r="Q1" s="161" t="s">
        <v>134</v>
      </c>
      <c r="R1" s="161" t="s">
        <v>135</v>
      </c>
    </row>
    <row r="2" customHeight="1" spans="1:18">
      <c r="A2" s="102" t="s">
        <v>28</v>
      </c>
      <c r="B2" s="102">
        <v>656.1</v>
      </c>
      <c r="C2" s="102">
        <v>656.1</v>
      </c>
      <c r="D2" s="102"/>
      <c r="E2" s="102" t="s">
        <v>136</v>
      </c>
      <c r="F2" s="102" t="s">
        <v>137</v>
      </c>
      <c r="G2" s="102">
        <v>0</v>
      </c>
      <c r="H2" s="102"/>
      <c r="I2" s="102" t="s">
        <v>138</v>
      </c>
      <c r="J2" s="102">
        <v>0</v>
      </c>
      <c r="K2" s="102" t="s">
        <v>139</v>
      </c>
      <c r="L2" s="102">
        <v>0</v>
      </c>
      <c r="M2" s="102"/>
      <c r="N2" s="102">
        <v>1</v>
      </c>
      <c r="P2" s="164">
        <v>0.2</v>
      </c>
      <c r="Q2" s="164"/>
      <c r="R2" s="102"/>
    </row>
    <row r="3" customHeight="1" spans="1:18">
      <c r="A3" s="102" t="s">
        <v>140</v>
      </c>
      <c r="B3" s="102">
        <v>253.7</v>
      </c>
      <c r="C3" s="102">
        <v>253.7</v>
      </c>
      <c r="D3" s="102"/>
      <c r="E3" s="102" t="s">
        <v>141</v>
      </c>
      <c r="F3" s="102" t="s">
        <v>28</v>
      </c>
      <c r="G3" s="102">
        <v>1</v>
      </c>
      <c r="H3" s="102" t="s">
        <v>142</v>
      </c>
      <c r="I3" s="102" t="s">
        <v>143</v>
      </c>
      <c r="J3" s="102">
        <v>1</v>
      </c>
      <c r="K3" s="102" t="s">
        <v>144</v>
      </c>
      <c r="L3" s="102">
        <v>1</v>
      </c>
      <c r="M3" s="124">
        <v>0.02</v>
      </c>
      <c r="N3" s="102">
        <v>2</v>
      </c>
      <c r="O3" s="102">
        <v>1</v>
      </c>
      <c r="P3" s="164">
        <v>0.5</v>
      </c>
      <c r="Q3" s="102">
        <v>1</v>
      </c>
      <c r="R3" s="102">
        <v>0.5</v>
      </c>
    </row>
    <row r="4" customHeight="1" spans="1:18">
      <c r="A4" s="102" t="s">
        <v>145</v>
      </c>
      <c r="B4" s="102" t="s">
        <v>146</v>
      </c>
      <c r="C4" s="102" t="s">
        <v>146</v>
      </c>
      <c r="D4" s="102"/>
      <c r="E4" s="102"/>
      <c r="F4" s="102" t="s">
        <v>147</v>
      </c>
      <c r="G4" s="102">
        <v>2</v>
      </c>
      <c r="H4" s="102"/>
      <c r="I4" s="102" t="s">
        <v>148</v>
      </c>
      <c r="J4" s="102">
        <v>2</v>
      </c>
      <c r="K4" s="102" t="s">
        <v>149</v>
      </c>
      <c r="L4" s="102">
        <v>2</v>
      </c>
      <c r="M4" s="102">
        <v>0.1</v>
      </c>
      <c r="N4" s="102">
        <v>3</v>
      </c>
      <c r="O4" s="102">
        <v>2</v>
      </c>
      <c r="P4" s="164" t="s">
        <v>150</v>
      </c>
      <c r="Q4" s="102">
        <v>2</v>
      </c>
      <c r="R4" s="102">
        <v>1</v>
      </c>
    </row>
    <row r="5" customHeight="1" spans="1:18">
      <c r="A5" s="102" t="s">
        <v>27</v>
      </c>
      <c r="B5" s="102" t="s">
        <v>151</v>
      </c>
      <c r="C5" s="102" t="s">
        <v>151</v>
      </c>
      <c r="D5" s="102"/>
      <c r="E5" s="102"/>
      <c r="F5" s="102"/>
      <c r="G5" s="102"/>
      <c r="H5" s="102"/>
      <c r="I5" s="102" t="s">
        <v>152</v>
      </c>
      <c r="J5" s="102">
        <v>3</v>
      </c>
      <c r="K5" s="102" t="s">
        <v>153</v>
      </c>
      <c r="L5" s="102">
        <v>3</v>
      </c>
      <c r="M5" s="102">
        <v>0.2</v>
      </c>
      <c r="N5" s="102">
        <v>4</v>
      </c>
      <c r="O5" s="102"/>
      <c r="P5" s="164" t="s">
        <v>154</v>
      </c>
      <c r="Q5" s="102">
        <v>3</v>
      </c>
      <c r="R5" s="102">
        <v>2</v>
      </c>
    </row>
    <row r="6" customHeight="1" spans="1:18">
      <c r="A6" s="102" t="s">
        <v>42</v>
      </c>
      <c r="B6" s="102" t="s">
        <v>155</v>
      </c>
      <c r="C6" s="102"/>
      <c r="D6" s="102"/>
      <c r="E6" s="102"/>
      <c r="F6" s="102"/>
      <c r="G6" s="102"/>
      <c r="H6" s="102"/>
      <c r="I6" s="102" t="s">
        <v>156</v>
      </c>
      <c r="J6" s="102">
        <v>4</v>
      </c>
      <c r="K6" s="102" t="s">
        <v>157</v>
      </c>
      <c r="L6" s="102">
        <v>4</v>
      </c>
      <c r="M6" s="102">
        <v>0.5</v>
      </c>
      <c r="N6" s="102">
        <v>5</v>
      </c>
      <c r="O6" s="102"/>
      <c r="P6" s="164" t="s">
        <v>158</v>
      </c>
      <c r="Q6" s="102">
        <v>4</v>
      </c>
      <c r="R6" s="102"/>
    </row>
    <row r="7" customHeight="1" spans="1:18">
      <c r="A7" s="102" t="s">
        <v>48</v>
      </c>
      <c r="B7" s="102" t="s">
        <v>159</v>
      </c>
      <c r="C7" s="102"/>
      <c r="D7" s="102"/>
      <c r="E7" s="102"/>
      <c r="F7" s="102"/>
      <c r="G7" s="102"/>
      <c r="H7" s="102"/>
      <c r="I7" s="102"/>
      <c r="J7" s="102"/>
      <c r="K7" s="102" t="s">
        <v>160</v>
      </c>
      <c r="L7" s="102"/>
      <c r="M7" s="102">
        <v>1</v>
      </c>
      <c r="N7" s="102"/>
      <c r="O7" s="102"/>
      <c r="P7" s="164"/>
      <c r="Q7" s="102">
        <v>5</v>
      </c>
      <c r="R7" s="102"/>
    </row>
    <row r="8" customHeight="1" spans="1:18">
      <c r="A8" s="102" t="s">
        <v>50</v>
      </c>
      <c r="B8" s="102" t="s">
        <v>161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>
        <v>2</v>
      </c>
      <c r="N8" s="102"/>
      <c r="O8" s="102"/>
      <c r="P8" s="164"/>
      <c r="Q8" s="102"/>
      <c r="R8" s="102"/>
    </row>
    <row r="9" customHeight="1" spans="1:18">
      <c r="A9" s="162" t="s">
        <v>162</v>
      </c>
      <c r="B9" s="126">
        <v>350313257235</v>
      </c>
      <c r="C9" s="102" t="s">
        <v>163</v>
      </c>
      <c r="D9" s="126"/>
      <c r="E9" s="102"/>
      <c r="F9" s="102"/>
      <c r="G9" s="102"/>
      <c r="H9" s="102"/>
      <c r="I9" s="102"/>
      <c r="J9" s="102"/>
      <c r="K9" s="102"/>
      <c r="L9" s="102"/>
      <c r="M9" s="102">
        <v>5</v>
      </c>
      <c r="N9" s="102"/>
      <c r="O9" s="102"/>
      <c r="P9" s="164"/>
      <c r="Q9" s="102"/>
      <c r="R9" s="102"/>
    </row>
    <row r="10" customHeight="1" spans="1:18">
      <c r="A10" s="102" t="s">
        <v>164</v>
      </c>
      <c r="B10" s="102">
        <v>220</v>
      </c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64"/>
      <c r="Q10" s="102"/>
      <c r="R10" s="102"/>
    </row>
    <row r="11" customHeight="1" spans="1:18">
      <c r="A11" s="102" t="s">
        <v>165</v>
      </c>
      <c r="B11" s="126">
        <v>340360</v>
      </c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64"/>
      <c r="Q11" s="102"/>
      <c r="R11" s="102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8"/>
  <sheetViews>
    <sheetView showGridLines="0" zoomScale="85" zoomScaleNormal="85" workbookViewId="0">
      <pane ySplit="1" topLeftCell="A2" activePane="bottomLeft" state="frozen"/>
      <selection/>
      <selection pane="bottomLeft" activeCell="P80" sqref="P80"/>
    </sheetView>
  </sheetViews>
  <sheetFormatPr defaultColWidth="9" defaultRowHeight="13.5" customHeight="1"/>
  <cols>
    <col min="1" max="1" width="10" style="21" customWidth="1"/>
    <col min="2" max="2" width="13.6333333333333" style="21" customWidth="1"/>
    <col min="3" max="3" width="7.88333333333333" style="21" customWidth="1"/>
    <col min="4" max="4" width="15.3833333333333" style="149" customWidth="1"/>
    <col min="5" max="8" width="9" style="1"/>
    <col min="9" max="9" width="17.25" style="1" customWidth="1"/>
    <col min="10" max="10" width="9" style="1"/>
    <col min="11" max="11" width="10" style="1" customWidth="1"/>
    <col min="12" max="13" width="9" style="1"/>
    <col min="14" max="14" width="10" style="21" customWidth="1"/>
    <col min="15" max="15" width="5.75" style="1" customWidth="1"/>
    <col min="16" max="16" width="36.6333333333333" style="21" customWidth="1"/>
    <col min="17" max="17" width="11.6333333333333" style="1" customWidth="1"/>
    <col min="18" max="16384" width="9" style="1"/>
  </cols>
  <sheetData>
    <row r="1" customHeight="1" spans="1:16">
      <c r="A1" s="153" t="s">
        <v>166</v>
      </c>
      <c r="B1" s="153" t="s">
        <v>167</v>
      </c>
      <c r="C1" s="153" t="s">
        <v>124</v>
      </c>
      <c r="D1" s="154" t="s">
        <v>30</v>
      </c>
      <c r="E1" s="154" t="s">
        <v>168</v>
      </c>
      <c r="F1" s="154" t="s">
        <v>169</v>
      </c>
      <c r="G1" s="154" t="s">
        <v>170</v>
      </c>
      <c r="H1" s="155" t="s">
        <v>7</v>
      </c>
      <c r="I1" s="158" t="s">
        <v>8</v>
      </c>
      <c r="J1" s="155" t="s">
        <v>9</v>
      </c>
      <c r="K1" s="155" t="s">
        <v>171</v>
      </c>
      <c r="L1" s="155" t="s">
        <v>172</v>
      </c>
      <c r="M1" s="155" t="s">
        <v>173</v>
      </c>
      <c r="N1" s="153" t="s">
        <v>174</v>
      </c>
      <c r="O1" s="154" t="s">
        <v>175</v>
      </c>
      <c r="P1" s="153" t="s">
        <v>176</v>
      </c>
    </row>
    <row r="2" ht="27" spans="1:16">
      <c r="A2" s="156">
        <v>1001</v>
      </c>
      <c r="B2" s="156" t="str">
        <f ca="1" t="shared" ref="B2:B37" si="0">MID(_xlfn.SINGLE(CELL("filename")),FIND("[",_xlfn.SINGLE(CELL("filename")),1)+1,FIND(".",_xlfn.SINGLE(CELL("filename")),1)-FIND("[",_xlfn.SINGLE(CELL("filename")),1)-1)</f>
        <v>T600T700-FixedSlit</v>
      </c>
      <c r="C2" s="101"/>
      <c r="D2" s="157" t="str">
        <f>波长示值误差与重复性校验!$C2&amp;";"&amp;波长示值误差与重复性校验!$D2&amp;";"&amp;波长示值误差与重复性校验!$E2</f>
        <v>;;</v>
      </c>
      <c r="E2" s="157" t="str">
        <f>波长示值误差与重复性校验!$F2</f>
        <v/>
      </c>
      <c r="F2" s="157" t="str">
        <f>波长示值误差与重复性校验!$G2</f>
        <v/>
      </c>
      <c r="G2" s="157">
        <f>波长示值误差与重复性校验!$H2</f>
        <v>0</v>
      </c>
      <c r="H2" s="157">
        <f>Report!$F$5</f>
        <v>0</v>
      </c>
      <c r="I2" s="159">
        <f ca="1" t="shared" ref="I2:I37" si="1">NOW()</f>
        <v>45881.6687731482</v>
      </c>
      <c r="J2" s="157">
        <f>Report!$N$5</f>
        <v>0</v>
      </c>
      <c r="K2" s="157"/>
      <c r="L2" s="157">
        <f>Report!$C$6</f>
        <v>0</v>
      </c>
      <c r="M2" s="157">
        <f>Report!$H$6</f>
        <v>0</v>
      </c>
      <c r="N2" s="101" t="str">
        <f>波长示值误差与重复性校验!$K2</f>
        <v>未检测</v>
      </c>
      <c r="O2" s="157"/>
      <c r="P2" s="102">
        <v>1001</v>
      </c>
    </row>
    <row r="3" ht="27" spans="1:16">
      <c r="A3" s="101">
        <v>1002</v>
      </c>
      <c r="B3" s="156" t="str">
        <f ca="1" t="shared" si="0"/>
        <v>T600T700-FixedSlit</v>
      </c>
      <c r="C3" s="101"/>
      <c r="D3" s="157" t="str">
        <f>波长示值误差与重复性校验!$C3&amp;";"&amp;波长示值误差与重复性校验!$D3&amp;";"&amp;波长示值误差与重复性校验!$E3</f>
        <v>;;</v>
      </c>
      <c r="E3" s="157" t="str">
        <f>波长示值误差与重复性校验!$F3</f>
        <v/>
      </c>
      <c r="F3" s="157" t="str">
        <f>波长示值误差与重复性校验!$G3</f>
        <v/>
      </c>
      <c r="G3" s="157">
        <f>波长示值误差与重复性校验!$H3</f>
        <v>0</v>
      </c>
      <c r="H3" s="157">
        <f>Report!$F$5</f>
        <v>0</v>
      </c>
      <c r="I3" s="159">
        <f ca="1" t="shared" si="1"/>
        <v>45881.6687731482</v>
      </c>
      <c r="J3" s="157">
        <f>Report!$N$5</f>
        <v>0</v>
      </c>
      <c r="K3" s="157"/>
      <c r="L3" s="157">
        <f>Report!$C$6</f>
        <v>0</v>
      </c>
      <c r="M3" s="157">
        <f>Report!$H$6</f>
        <v>0</v>
      </c>
      <c r="N3" s="101" t="str">
        <f>波长示值误差与重复性校验!$K3</f>
        <v>未检测</v>
      </c>
      <c r="O3" s="157"/>
      <c r="P3" s="102">
        <v>1002</v>
      </c>
    </row>
    <row r="4" ht="27" spans="1:16">
      <c r="A4" s="101">
        <v>1003</v>
      </c>
      <c r="B4" s="156" t="str">
        <f ca="1" t="shared" si="0"/>
        <v>T600T700-FixedSlit</v>
      </c>
      <c r="C4" s="101"/>
      <c r="D4" s="157" t="str">
        <f>波长示值误差与重复性校验!$C4&amp;";"&amp;波长示值误差与重复性校验!$D4&amp;";"&amp;波长示值误差与重复性校验!$E4</f>
        <v>;;</v>
      </c>
      <c r="E4" s="157" t="str">
        <f>波长示值误差与重复性校验!$F4</f>
        <v/>
      </c>
      <c r="F4" s="157" t="str">
        <f>波长示值误差与重复性校验!$G4</f>
        <v/>
      </c>
      <c r="G4" s="157">
        <f>波长示值误差与重复性校验!$H4</f>
        <v>0</v>
      </c>
      <c r="H4" s="157">
        <f>Report!$F$5</f>
        <v>0</v>
      </c>
      <c r="I4" s="159">
        <f ca="1" t="shared" si="1"/>
        <v>45881.6687731482</v>
      </c>
      <c r="J4" s="157">
        <f>Report!$N$5</f>
        <v>0</v>
      </c>
      <c r="K4" s="157"/>
      <c r="L4" s="157">
        <f>Report!$C$6</f>
        <v>0</v>
      </c>
      <c r="M4" s="157">
        <f>Report!$H$6</f>
        <v>0</v>
      </c>
      <c r="N4" s="101" t="str">
        <f>波长示值误差与重复性校验!$K4</f>
        <v>未检测</v>
      </c>
      <c r="O4" s="157"/>
      <c r="P4" s="102">
        <v>1003</v>
      </c>
    </row>
    <row r="5" ht="27" spans="1:16">
      <c r="A5" s="101">
        <v>1008</v>
      </c>
      <c r="B5" s="156" t="str">
        <f ca="1" t="shared" si="0"/>
        <v>T600T700-FixedSlit</v>
      </c>
      <c r="C5" s="101"/>
      <c r="D5" s="157" t="str">
        <f>波长示值误差与重复性校验!$C5&amp;";"&amp;波长示值误差与重复性校验!$D5&amp;";"&amp;波长示值误差与重复性校验!$E5</f>
        <v>;;</v>
      </c>
      <c r="E5" s="157" t="str">
        <f>波长示值误差与重复性校验!$F5</f>
        <v/>
      </c>
      <c r="F5" s="157" t="str">
        <f>波长示值误差与重复性校验!$G5</f>
        <v/>
      </c>
      <c r="G5" s="157">
        <f>波长示值误差与重复性校验!$H5</f>
        <v>0</v>
      </c>
      <c r="H5" s="157">
        <f>Report!$F$5</f>
        <v>0</v>
      </c>
      <c r="I5" s="159">
        <f ca="1" t="shared" si="1"/>
        <v>45881.6687731482</v>
      </c>
      <c r="J5" s="157">
        <f>Report!$N$5</f>
        <v>0</v>
      </c>
      <c r="K5" s="157"/>
      <c r="L5" s="157">
        <f>Report!$C$6</f>
        <v>0</v>
      </c>
      <c r="M5" s="157">
        <f>Report!$H$6</f>
        <v>0</v>
      </c>
      <c r="N5" s="101" t="str">
        <f>波长示值误差与重复性校验!$K5</f>
        <v>未检测</v>
      </c>
      <c r="O5" s="157"/>
      <c r="P5" s="102">
        <v>1004</v>
      </c>
    </row>
    <row r="6" ht="27" spans="1:16">
      <c r="A6" s="101">
        <v>1009</v>
      </c>
      <c r="B6" s="156" t="str">
        <f ca="1" t="shared" si="0"/>
        <v>T600T700-FixedSlit</v>
      </c>
      <c r="C6" s="101"/>
      <c r="D6" s="157" t="str">
        <f>波长示值误差与重复性校验!$C6&amp;";"&amp;波长示值误差与重复性校验!$D6&amp;";"&amp;波长示值误差与重复性校验!$E6</f>
        <v>;;</v>
      </c>
      <c r="E6" s="157" t="str">
        <f>波长示值误差与重复性校验!$F6</f>
        <v/>
      </c>
      <c r="F6" s="157" t="str">
        <f>波长示值误差与重复性校验!$G6</f>
        <v/>
      </c>
      <c r="G6" s="157">
        <f>波长示值误差与重复性校验!$H6</f>
        <v>0</v>
      </c>
      <c r="H6" s="157">
        <f>Report!$F$5</f>
        <v>0</v>
      </c>
      <c r="I6" s="159">
        <f ca="1" t="shared" si="1"/>
        <v>45881.6687731482</v>
      </c>
      <c r="J6" s="157">
        <f>Report!$N$5</f>
        <v>0</v>
      </c>
      <c r="K6" s="157"/>
      <c r="L6" s="157">
        <f>Report!$C$6</f>
        <v>0</v>
      </c>
      <c r="M6" s="157">
        <f>Report!$H$6</f>
        <v>0</v>
      </c>
      <c r="N6" s="101" t="str">
        <f>波长示值误差与重复性校验!$K6</f>
        <v>未检测</v>
      </c>
      <c r="O6" s="157"/>
      <c r="P6" s="102">
        <v>1004</v>
      </c>
    </row>
    <row r="7" ht="27" spans="1:16">
      <c r="A7" s="101">
        <v>1010</v>
      </c>
      <c r="B7" s="156" t="str">
        <f ca="1" t="shared" si="0"/>
        <v>T600T700-FixedSlit</v>
      </c>
      <c r="C7" s="101"/>
      <c r="D7" s="157" t="str">
        <f>波长示值误差与重复性校验!$C7&amp;";"&amp;波长示值误差与重复性校验!$D7&amp;";"&amp;波长示值误差与重复性校验!$E7</f>
        <v>;;</v>
      </c>
      <c r="E7" s="157" t="str">
        <f>波长示值误差与重复性校验!$F7</f>
        <v/>
      </c>
      <c r="F7" s="157" t="str">
        <f>波长示值误差与重复性校验!$G7</f>
        <v/>
      </c>
      <c r="G7" s="157">
        <f>波长示值误差与重复性校验!$H7</f>
        <v>0</v>
      </c>
      <c r="H7" s="157">
        <f>Report!$F$5</f>
        <v>0</v>
      </c>
      <c r="I7" s="159">
        <f ca="1" t="shared" si="1"/>
        <v>45881.6687731482</v>
      </c>
      <c r="J7" s="157">
        <f>Report!$N$5</f>
        <v>0</v>
      </c>
      <c r="K7" s="157"/>
      <c r="L7" s="157">
        <f>Report!$C$6</f>
        <v>0</v>
      </c>
      <c r="M7" s="157">
        <f>Report!$H$6</f>
        <v>0</v>
      </c>
      <c r="N7" s="101" t="str">
        <f>波长示值误差与重复性校验!$K7</f>
        <v>未检测</v>
      </c>
      <c r="O7" s="157"/>
      <c r="P7" s="102">
        <v>1004</v>
      </c>
    </row>
    <row r="8" ht="27" spans="1:16">
      <c r="A8" s="101">
        <v>1011</v>
      </c>
      <c r="B8" s="156" t="str">
        <f ca="1" t="shared" si="0"/>
        <v>T600T700-FixedSlit</v>
      </c>
      <c r="C8" s="101"/>
      <c r="D8" s="157" t="str">
        <f>波长示值误差与重复性校验!$C8&amp;";"&amp;波长示值误差与重复性校验!$D8&amp;";"&amp;波长示值误差与重复性校验!$E8</f>
        <v>;;</v>
      </c>
      <c r="E8" s="157" t="str">
        <f>波长示值误差与重复性校验!$F8</f>
        <v/>
      </c>
      <c r="F8" s="157" t="str">
        <f>波长示值误差与重复性校验!$G8</f>
        <v/>
      </c>
      <c r="G8" s="157">
        <f>波长示值误差与重复性校验!$H8</f>
        <v>0</v>
      </c>
      <c r="H8" s="157">
        <f>Report!$F$5</f>
        <v>0</v>
      </c>
      <c r="I8" s="159">
        <f ca="1" t="shared" si="1"/>
        <v>45881.6687731482</v>
      </c>
      <c r="J8" s="157">
        <f>Report!$N$5</f>
        <v>0</v>
      </c>
      <c r="K8" s="157"/>
      <c r="L8" s="157">
        <f>Report!$C$6</f>
        <v>0</v>
      </c>
      <c r="M8" s="157">
        <f>Report!$H$6</f>
        <v>0</v>
      </c>
      <c r="N8" s="101" t="str">
        <f>波长示值误差与重复性校验!$K8</f>
        <v>未检测</v>
      </c>
      <c r="O8" s="157"/>
      <c r="P8" s="102">
        <v>1004</v>
      </c>
    </row>
    <row r="9" ht="27" spans="1:16">
      <c r="A9" s="101">
        <v>1012</v>
      </c>
      <c r="B9" s="156" t="str">
        <f ca="1" t="shared" si="0"/>
        <v>T600T700-FixedSlit</v>
      </c>
      <c r="C9" s="101"/>
      <c r="D9" s="157" t="str">
        <f>波长示值误差与重复性校验!$C9&amp;";"&amp;波长示值误差与重复性校验!$D9&amp;";"&amp;波长示值误差与重复性校验!$E9</f>
        <v>;;</v>
      </c>
      <c r="E9" s="157" t="str">
        <f>波长示值误差与重复性校验!$F9</f>
        <v/>
      </c>
      <c r="F9" s="157" t="str">
        <f>波长示值误差与重复性校验!$G9</f>
        <v/>
      </c>
      <c r="G9" s="157">
        <f>波长示值误差与重复性校验!$H9</f>
        <v>0</v>
      </c>
      <c r="H9" s="157">
        <f>Report!$F$5</f>
        <v>0</v>
      </c>
      <c r="I9" s="159">
        <f ca="1" t="shared" si="1"/>
        <v>45881.6687731482</v>
      </c>
      <c r="J9" s="157">
        <f>Report!$N$5</f>
        <v>0</v>
      </c>
      <c r="K9" s="157"/>
      <c r="L9" s="157">
        <f>Report!$C$6</f>
        <v>0</v>
      </c>
      <c r="M9" s="157">
        <f>Report!$H$6</f>
        <v>0</v>
      </c>
      <c r="N9" s="101" t="str">
        <f>波长示值误差与重复性校验!$K9</f>
        <v>未检测</v>
      </c>
      <c r="O9" s="157"/>
      <c r="P9" s="102">
        <v>1004</v>
      </c>
    </row>
    <row r="10" ht="27" spans="1:16">
      <c r="A10" s="101">
        <v>1013</v>
      </c>
      <c r="B10" s="156" t="str">
        <f ca="1" t="shared" si="0"/>
        <v>T600T700-FixedSlit</v>
      </c>
      <c r="C10" s="101"/>
      <c r="D10" s="157" t="str">
        <f>波长示值误差与重复性校验!$C10&amp;";"&amp;波长示值误差与重复性校验!$D10&amp;";"&amp;波长示值误差与重复性校验!$E10</f>
        <v>;;</v>
      </c>
      <c r="E10" s="157" t="str">
        <f>波长示值误差与重复性校验!$F10</f>
        <v/>
      </c>
      <c r="F10" s="157" t="str">
        <f>波长示值误差与重复性校验!$G10</f>
        <v/>
      </c>
      <c r="G10" s="157">
        <f>波长示值误差与重复性校验!$H10</f>
        <v>0</v>
      </c>
      <c r="H10" s="157">
        <f>Report!$F$5</f>
        <v>0</v>
      </c>
      <c r="I10" s="159">
        <f ca="1" t="shared" si="1"/>
        <v>45881.6687731482</v>
      </c>
      <c r="J10" s="157">
        <f>Report!$N$5</f>
        <v>0</v>
      </c>
      <c r="K10" s="157"/>
      <c r="L10" s="157">
        <f>Report!$C$6</f>
        <v>0</v>
      </c>
      <c r="M10" s="157">
        <f>Report!$H$6</f>
        <v>0</v>
      </c>
      <c r="N10" s="101" t="str">
        <f>波长示值误差与重复性校验!$K10</f>
        <v>未检测</v>
      </c>
      <c r="O10" s="157"/>
      <c r="P10" s="102">
        <v>1004</v>
      </c>
    </row>
    <row r="11" ht="27" spans="1:16">
      <c r="A11" s="101">
        <v>2001</v>
      </c>
      <c r="B11" s="156" t="str">
        <f ca="1" t="shared" si="0"/>
        <v>T600T700-FixedSlit</v>
      </c>
      <c r="C11" s="101">
        <f>透射比示值误差与重复性校验!$C2</f>
        <v>23.2</v>
      </c>
      <c r="D11" s="157" t="str">
        <f>透射比示值误差与重复性校验!$D2&amp;";"&amp;透射比示值误差与重复性校验!$E2&amp;";"&amp;透射比示值误差与重复性校验!$F2</f>
        <v>;;</v>
      </c>
      <c r="E11" s="157" t="str">
        <f>透射比示值误差与重复性校验!$G2</f>
        <v/>
      </c>
      <c r="F11" s="157" t="str">
        <f>透射比示值误差与重复性校验!$H2</f>
        <v/>
      </c>
      <c r="G11" s="157">
        <f>透射比示值误差与重复性校验!$I2</f>
        <v>0</v>
      </c>
      <c r="H11" s="157">
        <f>Report!$F$5</f>
        <v>0</v>
      </c>
      <c r="I11" s="159">
        <f ca="1" t="shared" si="1"/>
        <v>45881.6687731482</v>
      </c>
      <c r="J11" s="157">
        <f>Report!$N$5</f>
        <v>0</v>
      </c>
      <c r="K11" s="157"/>
      <c r="L11" s="157">
        <f>Report!$C$6</f>
        <v>0</v>
      </c>
      <c r="M11" s="157">
        <f>Report!$H$6</f>
        <v>0</v>
      </c>
      <c r="N11" s="101" t="str">
        <f>透射比示值误差与重复性校验!$L2</f>
        <v>未检测</v>
      </c>
      <c r="O11" s="157"/>
      <c r="P11" s="101">
        <v>2001</v>
      </c>
    </row>
    <row r="12" ht="27" spans="1:16">
      <c r="A12" s="101">
        <v>2002</v>
      </c>
      <c r="B12" s="156" t="str">
        <f ca="1" t="shared" si="0"/>
        <v>T600T700-FixedSlit</v>
      </c>
      <c r="C12" s="101">
        <f>透射比示值误差与重复性校验!$C3</f>
        <v>51.58</v>
      </c>
      <c r="D12" s="157" t="str">
        <f>透射比示值误差与重复性校验!$D3&amp;";"&amp;透射比示值误差与重复性校验!$E3&amp;";"&amp;透射比示值误差与重复性校验!$F3</f>
        <v>;;</v>
      </c>
      <c r="E12" s="157" t="str">
        <f>透射比示值误差与重复性校验!$G3</f>
        <v/>
      </c>
      <c r="F12" s="157" t="str">
        <f>透射比示值误差与重复性校验!$H3</f>
        <v/>
      </c>
      <c r="G12" s="157">
        <f>透射比示值误差与重复性校验!$I3</f>
        <v>0</v>
      </c>
      <c r="H12" s="157">
        <f>Report!$F$5</f>
        <v>0</v>
      </c>
      <c r="I12" s="159">
        <f ca="1" t="shared" si="1"/>
        <v>45881.6687731482</v>
      </c>
      <c r="J12" s="157">
        <f>Report!$N$5</f>
        <v>0</v>
      </c>
      <c r="K12" s="157"/>
      <c r="L12" s="157">
        <f>Report!$C$6</f>
        <v>0</v>
      </c>
      <c r="M12" s="157">
        <f>Report!$H$6</f>
        <v>0</v>
      </c>
      <c r="N12" s="101" t="str">
        <f>透射比示值误差与重复性校验!$L3</f>
        <v>未检测</v>
      </c>
      <c r="O12" s="157"/>
      <c r="P12" s="101">
        <v>2001</v>
      </c>
    </row>
    <row r="13" ht="27" spans="1:16">
      <c r="A13" s="101">
        <v>2003</v>
      </c>
      <c r="B13" s="156" t="str">
        <f ca="1" t="shared" si="0"/>
        <v>T600T700-FixedSlit</v>
      </c>
      <c r="C13" s="101">
        <f>透射比示值误差与重复性校验!$C4</f>
        <v>14.06</v>
      </c>
      <c r="D13" s="157" t="str">
        <f>透射比示值误差与重复性校验!$D4&amp;";"&amp;透射比示值误差与重复性校验!$E4&amp;";"&amp;透射比示值误差与重复性校验!$F4</f>
        <v>;;</v>
      </c>
      <c r="E13" s="157" t="str">
        <f>透射比示值误差与重复性校验!$G4</f>
        <v/>
      </c>
      <c r="F13" s="157" t="str">
        <f>透射比示值误差与重复性校验!$H4</f>
        <v/>
      </c>
      <c r="G13" s="157">
        <f>透射比示值误差与重复性校验!$I4</f>
        <v>0</v>
      </c>
      <c r="H13" s="157">
        <f>Report!$F$5</f>
        <v>0</v>
      </c>
      <c r="I13" s="159">
        <f ca="1" t="shared" si="1"/>
        <v>45881.6687731482</v>
      </c>
      <c r="J13" s="157">
        <f>Report!$N$5</f>
        <v>0</v>
      </c>
      <c r="K13" s="157"/>
      <c r="L13" s="157">
        <f>Report!$C$6</f>
        <v>0</v>
      </c>
      <c r="M13" s="157">
        <f>Report!$H$6</f>
        <v>0</v>
      </c>
      <c r="N13" s="101" t="str">
        <f>透射比示值误差与重复性校验!$L4</f>
        <v>未检测</v>
      </c>
      <c r="O13" s="157"/>
      <c r="P13" s="101">
        <v>2001</v>
      </c>
    </row>
    <row r="14" ht="27" spans="1:16">
      <c r="A14" s="101">
        <v>2004</v>
      </c>
      <c r="B14" s="156" t="str">
        <f ca="1" t="shared" si="0"/>
        <v>T600T700-FixedSlit</v>
      </c>
      <c r="C14" s="101">
        <f>透射比示值误差与重复性校验!$C5</f>
        <v>18.42</v>
      </c>
      <c r="D14" s="157" t="str">
        <f>透射比示值误差与重复性校验!$D5&amp;";"&amp;透射比示值误差与重复性校验!$E5&amp;";"&amp;透射比示值误差与重复性校验!$F5</f>
        <v>;;</v>
      </c>
      <c r="E14" s="157" t="str">
        <f>透射比示值误差与重复性校验!$G5</f>
        <v/>
      </c>
      <c r="F14" s="157" t="str">
        <f>透射比示值误差与重复性校验!$H5</f>
        <v/>
      </c>
      <c r="G14" s="157">
        <f>透射比示值误差与重复性校验!$I5</f>
        <v>0</v>
      </c>
      <c r="H14" s="157">
        <f>Report!$F$5</f>
        <v>0</v>
      </c>
      <c r="I14" s="159">
        <f ca="1" t="shared" si="1"/>
        <v>45881.6687731482</v>
      </c>
      <c r="J14" s="157">
        <f>Report!$N$5</f>
        <v>0</v>
      </c>
      <c r="K14" s="157"/>
      <c r="L14" s="157">
        <f>Report!$C$6</f>
        <v>0</v>
      </c>
      <c r="M14" s="157">
        <f>Report!$H$6</f>
        <v>0</v>
      </c>
      <c r="N14" s="101" t="str">
        <f>透射比示值误差与重复性校验!$L5</f>
        <v>未检测</v>
      </c>
      <c r="O14" s="157"/>
      <c r="P14" s="101">
        <v>2001</v>
      </c>
    </row>
    <row r="15" ht="27" spans="1:16">
      <c r="A15" s="101">
        <v>2005</v>
      </c>
      <c r="B15" s="156" t="str">
        <f ca="1" t="shared" si="0"/>
        <v>T600T700-FixedSlit</v>
      </c>
      <c r="C15" s="101">
        <f>透射比示值误差与重复性校验!$C6</f>
        <v>7.62</v>
      </c>
      <c r="D15" s="157" t="str">
        <f>透射比示值误差与重复性校验!$D6&amp;";"&amp;透射比示值误差与重复性校验!$E6&amp;";"&amp;透射比示值误差与重复性校验!$F6</f>
        <v>;;</v>
      </c>
      <c r="E15" s="157" t="str">
        <f>透射比示值误差与重复性校验!$G6</f>
        <v/>
      </c>
      <c r="F15" s="157" t="str">
        <f>透射比示值误差与重复性校验!$H6</f>
        <v/>
      </c>
      <c r="G15" s="157">
        <f>透射比示值误差与重复性校验!$I6</f>
        <v>0</v>
      </c>
      <c r="H15" s="157">
        <f>Report!$F$5</f>
        <v>0</v>
      </c>
      <c r="I15" s="159">
        <f ca="1" t="shared" si="1"/>
        <v>45881.6687731482</v>
      </c>
      <c r="J15" s="157">
        <f>Report!$N$5</f>
        <v>0</v>
      </c>
      <c r="K15" s="157"/>
      <c r="L15" s="157">
        <f>Report!$C$6</f>
        <v>0</v>
      </c>
      <c r="M15" s="157">
        <f>Report!$H$6</f>
        <v>0</v>
      </c>
      <c r="N15" s="101" t="str">
        <f>透射比示值误差与重复性校验!$L6</f>
        <v>未检测</v>
      </c>
      <c r="O15" s="157"/>
      <c r="P15" s="101">
        <v>2002</v>
      </c>
    </row>
    <row r="16" ht="27" spans="1:16">
      <c r="A16" s="101">
        <v>2006</v>
      </c>
      <c r="B16" s="156" t="str">
        <f ca="1" t="shared" si="0"/>
        <v>T600T700-FixedSlit</v>
      </c>
      <c r="C16" s="101">
        <f>透射比示值误差与重复性校验!$C7</f>
        <v>11.03</v>
      </c>
      <c r="D16" s="157" t="str">
        <f>透射比示值误差与重复性校验!$D7&amp;";"&amp;透射比示值误差与重复性校验!$E7&amp;";"&amp;透射比示值误差与重复性校验!$F7</f>
        <v>;;</v>
      </c>
      <c r="E16" s="157" t="str">
        <f>透射比示值误差与重复性校验!$G7</f>
        <v/>
      </c>
      <c r="F16" s="157" t="str">
        <f>透射比示值误差与重复性校验!$H7</f>
        <v/>
      </c>
      <c r="G16" s="157">
        <f>透射比示值误差与重复性校验!$I7</f>
        <v>0</v>
      </c>
      <c r="H16" s="157">
        <f>Report!$F$5</f>
        <v>0</v>
      </c>
      <c r="I16" s="159">
        <f ca="1" t="shared" si="1"/>
        <v>45881.6687731482</v>
      </c>
      <c r="J16" s="157">
        <f>Report!$N$5</f>
        <v>0</v>
      </c>
      <c r="K16" s="157"/>
      <c r="L16" s="157">
        <f>Report!$C$6</f>
        <v>0</v>
      </c>
      <c r="M16" s="157">
        <f>Report!$H$6</f>
        <v>0</v>
      </c>
      <c r="N16" s="101" t="str">
        <f>透射比示值误差与重复性校验!$L7</f>
        <v>未检测</v>
      </c>
      <c r="O16" s="157"/>
      <c r="P16" s="101">
        <v>2002</v>
      </c>
    </row>
    <row r="17" ht="27" spans="1:16">
      <c r="A17" s="101">
        <v>2007</v>
      </c>
      <c r="B17" s="156" t="str">
        <f ca="1" t="shared" si="0"/>
        <v>T600T700-FixedSlit</v>
      </c>
      <c r="C17" s="101">
        <f>透射比示值误差与重复性校验!$C8</f>
        <v>11.46</v>
      </c>
      <c r="D17" s="157" t="str">
        <f>透射比示值误差与重复性校验!$D8&amp;";"&amp;透射比示值误差与重复性校验!$E8&amp;";"&amp;透射比示值误差与重复性校验!$F8</f>
        <v>;;</v>
      </c>
      <c r="E17" s="157" t="str">
        <f>透射比示值误差与重复性校验!$G8</f>
        <v/>
      </c>
      <c r="F17" s="157" t="str">
        <f>透射比示值误差与重复性校验!$H8</f>
        <v/>
      </c>
      <c r="G17" s="157">
        <f>透射比示值误差与重复性校验!$I8</f>
        <v>0</v>
      </c>
      <c r="H17" s="157">
        <f>Report!$F$5</f>
        <v>0</v>
      </c>
      <c r="I17" s="159">
        <f ca="1" t="shared" si="1"/>
        <v>45881.6687731482</v>
      </c>
      <c r="J17" s="157">
        <f>Report!$N$5</f>
        <v>0</v>
      </c>
      <c r="K17" s="157"/>
      <c r="L17" s="157">
        <f>Report!$C$6</f>
        <v>0</v>
      </c>
      <c r="M17" s="157">
        <f>Report!$H$6</f>
        <v>0</v>
      </c>
      <c r="N17" s="101" t="str">
        <f>透射比示值误差与重复性校验!$L8</f>
        <v>未检测</v>
      </c>
      <c r="O17" s="157"/>
      <c r="P17" s="101">
        <v>2002</v>
      </c>
    </row>
    <row r="18" ht="27" spans="1:16">
      <c r="A18" s="101">
        <v>2008</v>
      </c>
      <c r="B18" s="156" t="str">
        <f ca="1" t="shared" si="0"/>
        <v>T600T700-FixedSlit</v>
      </c>
      <c r="C18" s="101">
        <f>透射比示值误差与重复性校验!$C9</f>
        <v>17.64</v>
      </c>
      <c r="D18" s="157" t="str">
        <f>透射比示值误差与重复性校验!$D9&amp;";"&amp;透射比示值误差与重复性校验!$E9&amp;";"&amp;透射比示值误差与重复性校验!$F9</f>
        <v>;;</v>
      </c>
      <c r="E18" s="157" t="str">
        <f>透射比示值误差与重复性校验!$G9</f>
        <v/>
      </c>
      <c r="F18" s="157" t="str">
        <f>透射比示值误差与重复性校验!$H9</f>
        <v/>
      </c>
      <c r="G18" s="157">
        <f>透射比示值误差与重复性校验!$I9</f>
        <v>0</v>
      </c>
      <c r="H18" s="157">
        <f>Report!$F$5</f>
        <v>0</v>
      </c>
      <c r="I18" s="159">
        <f ca="1" t="shared" si="1"/>
        <v>45881.6687731482</v>
      </c>
      <c r="J18" s="157">
        <f>Report!$N$5</f>
        <v>0</v>
      </c>
      <c r="K18" s="157"/>
      <c r="L18" s="157">
        <f>Report!$C$6</f>
        <v>0</v>
      </c>
      <c r="M18" s="157">
        <f>Report!$H$6</f>
        <v>0</v>
      </c>
      <c r="N18" s="101" t="str">
        <f>透射比示值误差与重复性校验!$L9</f>
        <v>未检测</v>
      </c>
      <c r="O18" s="157"/>
      <c r="P18" s="101">
        <v>2003</v>
      </c>
    </row>
    <row r="19" ht="27" spans="1:16">
      <c r="A19" s="101">
        <v>2009</v>
      </c>
      <c r="B19" s="156" t="str">
        <f ca="1" t="shared" si="0"/>
        <v>T600T700-FixedSlit</v>
      </c>
      <c r="C19" s="101">
        <f>透射比示值误差与重复性校验!$C10</f>
        <v>21.74</v>
      </c>
      <c r="D19" s="157" t="str">
        <f>透射比示值误差与重复性校验!$D10&amp;";"&amp;透射比示值误差与重复性校验!$E10&amp;";"&amp;透射比示值误差与重复性校验!$F10</f>
        <v>;;</v>
      </c>
      <c r="E19" s="157" t="str">
        <f>透射比示值误差与重复性校验!$G10</f>
        <v/>
      </c>
      <c r="F19" s="157" t="str">
        <f>透射比示值误差与重复性校验!$H10</f>
        <v/>
      </c>
      <c r="G19" s="157">
        <f>透射比示值误差与重复性校验!$I10</f>
        <v>0</v>
      </c>
      <c r="H19" s="157">
        <f>Report!$F$5</f>
        <v>0</v>
      </c>
      <c r="I19" s="159">
        <f ca="1" t="shared" si="1"/>
        <v>45881.6687731482</v>
      </c>
      <c r="J19" s="157">
        <f>Report!$N$5</f>
        <v>0</v>
      </c>
      <c r="K19" s="157"/>
      <c r="L19" s="157">
        <f>Report!$C$6</f>
        <v>0</v>
      </c>
      <c r="M19" s="157">
        <f>Report!$H$6</f>
        <v>0</v>
      </c>
      <c r="N19" s="101" t="str">
        <f>透射比示值误差与重复性校验!$L10</f>
        <v>未检测</v>
      </c>
      <c r="O19" s="157"/>
      <c r="P19" s="101">
        <v>2003</v>
      </c>
    </row>
    <row r="20" ht="27" spans="1:16">
      <c r="A20" s="101">
        <v>2010</v>
      </c>
      <c r="B20" s="156" t="str">
        <f ca="1" t="shared" si="0"/>
        <v>T600T700-FixedSlit</v>
      </c>
      <c r="C20" s="101">
        <f>透射比示值误差与重复性校验!$C11</f>
        <v>21.92</v>
      </c>
      <c r="D20" s="157" t="str">
        <f>透射比示值误差与重复性校验!$D11&amp;";"&amp;透射比示值误差与重复性校验!$E11&amp;";"&amp;透射比示值误差与重复性校验!$F11</f>
        <v>;;</v>
      </c>
      <c r="E20" s="157" t="str">
        <f>透射比示值误差与重复性校验!$G11</f>
        <v/>
      </c>
      <c r="F20" s="157" t="str">
        <f>透射比示值误差与重复性校验!$H11</f>
        <v/>
      </c>
      <c r="G20" s="157">
        <f>透射比示值误差与重复性校验!$I11</f>
        <v>0</v>
      </c>
      <c r="H20" s="157">
        <f>Report!$F$5</f>
        <v>0</v>
      </c>
      <c r="I20" s="159">
        <f ca="1" t="shared" si="1"/>
        <v>45881.6687731482</v>
      </c>
      <c r="J20" s="157">
        <f>Report!$N$5</f>
        <v>0</v>
      </c>
      <c r="K20" s="157"/>
      <c r="L20" s="157">
        <f>Report!$C$6</f>
        <v>0</v>
      </c>
      <c r="M20" s="157">
        <f>Report!$H$6</f>
        <v>0</v>
      </c>
      <c r="N20" s="101" t="str">
        <f>透射比示值误差与重复性校验!$L11</f>
        <v>未检测</v>
      </c>
      <c r="O20" s="157"/>
      <c r="P20" s="101">
        <v>2003</v>
      </c>
    </row>
    <row r="21" ht="27" spans="1:16">
      <c r="A21" s="101">
        <v>2011</v>
      </c>
      <c r="B21" s="156" t="str">
        <f ca="1" t="shared" si="0"/>
        <v>T600T700-FixedSlit</v>
      </c>
      <c r="C21" s="101">
        <f>透射比示值误差与重复性校验!$C12</f>
        <v>23.59</v>
      </c>
      <c r="D21" s="157" t="str">
        <f>透射比示值误差与重复性校验!$D12&amp;";"&amp;透射比示值误差与重复性校验!$E12&amp;";"&amp;透射比示值误差与重复性校验!$F12</f>
        <v>;;</v>
      </c>
      <c r="E21" s="157" t="str">
        <f>透射比示值误差与重复性校验!$G12</f>
        <v/>
      </c>
      <c r="F21" s="157" t="str">
        <f>透射比示值误差与重复性校验!$H12</f>
        <v/>
      </c>
      <c r="G21" s="157">
        <f>透射比示值误差与重复性校验!$I12</f>
        <v>0</v>
      </c>
      <c r="H21" s="157">
        <f>Report!$F$5</f>
        <v>0</v>
      </c>
      <c r="I21" s="159">
        <f ca="1" t="shared" si="1"/>
        <v>45881.6687731482</v>
      </c>
      <c r="J21" s="157">
        <f>Report!$N$5</f>
        <v>0</v>
      </c>
      <c r="K21" s="157"/>
      <c r="L21" s="157">
        <f>Report!$C$6</f>
        <v>0</v>
      </c>
      <c r="M21" s="157">
        <f>Report!$H$6</f>
        <v>0</v>
      </c>
      <c r="N21" s="101" t="str">
        <f>透射比示值误差与重复性校验!$L12</f>
        <v>未检测</v>
      </c>
      <c r="O21" s="157"/>
      <c r="P21" s="101">
        <v>2004</v>
      </c>
    </row>
    <row r="22" ht="27" spans="1:16">
      <c r="A22" s="101">
        <v>2012</v>
      </c>
      <c r="B22" s="156" t="str">
        <f ca="1" t="shared" si="0"/>
        <v>T600T700-FixedSlit</v>
      </c>
      <c r="C22" s="101">
        <f>透射比示值误差与重复性校验!$C13</f>
        <v>29.32</v>
      </c>
      <c r="D22" s="157" t="str">
        <f>透射比示值误差与重复性校验!$D13&amp;";"&amp;透射比示值误差与重复性校验!$E13&amp;";"&amp;透射比示值误差与重复性校验!$F13</f>
        <v>;;</v>
      </c>
      <c r="E22" s="157" t="str">
        <f>透射比示值误差与重复性校验!$G13</f>
        <v/>
      </c>
      <c r="F22" s="157" t="str">
        <f>透射比示值误差与重复性校验!$H13</f>
        <v/>
      </c>
      <c r="G22" s="157">
        <f>透射比示值误差与重复性校验!$I13</f>
        <v>0</v>
      </c>
      <c r="H22" s="157">
        <f>Report!$F$5</f>
        <v>0</v>
      </c>
      <c r="I22" s="159">
        <f ca="1" t="shared" si="1"/>
        <v>45881.6687731482</v>
      </c>
      <c r="J22" s="157">
        <f>Report!$N$5</f>
        <v>0</v>
      </c>
      <c r="K22" s="157"/>
      <c r="L22" s="157">
        <f>Report!$C$6</f>
        <v>0</v>
      </c>
      <c r="M22" s="157">
        <f>Report!$H$6</f>
        <v>0</v>
      </c>
      <c r="N22" s="101" t="str">
        <f>透射比示值误差与重复性校验!$L13</f>
        <v>未检测</v>
      </c>
      <c r="O22" s="157"/>
      <c r="P22" s="101">
        <v>2004</v>
      </c>
    </row>
    <row r="23" ht="27" spans="1:16">
      <c r="A23" s="101">
        <v>2013</v>
      </c>
      <c r="B23" s="156" t="str">
        <f ca="1" t="shared" si="0"/>
        <v>T600T700-FixedSlit</v>
      </c>
      <c r="C23" s="101">
        <f>透射比示值误差与重复性校验!$C14</f>
        <v>29.91</v>
      </c>
      <c r="D23" s="157" t="str">
        <f>透射比示值误差与重复性校验!$D14&amp;";"&amp;透射比示值误差与重复性校验!$E14&amp;";"&amp;透射比示值误差与重复性校验!$F14</f>
        <v>;;</v>
      </c>
      <c r="E23" s="157" t="str">
        <f>透射比示值误差与重复性校验!$G14</f>
        <v/>
      </c>
      <c r="F23" s="157" t="str">
        <f>透射比示值误差与重复性校验!$H14</f>
        <v/>
      </c>
      <c r="G23" s="157">
        <f>透射比示值误差与重复性校验!$I14</f>
        <v>0</v>
      </c>
      <c r="H23" s="157">
        <f>Report!$F$5</f>
        <v>0</v>
      </c>
      <c r="I23" s="159">
        <f ca="1" t="shared" si="1"/>
        <v>45881.6687731482</v>
      </c>
      <c r="J23" s="157">
        <f>Report!$N$5</f>
        <v>0</v>
      </c>
      <c r="K23" s="157"/>
      <c r="L23" s="157">
        <f>Report!$C$6</f>
        <v>0</v>
      </c>
      <c r="M23" s="157">
        <f>Report!$H$6</f>
        <v>0</v>
      </c>
      <c r="N23" s="101" t="str">
        <f>透射比示值误差与重复性校验!$L14</f>
        <v>未检测</v>
      </c>
      <c r="O23" s="157"/>
      <c r="P23" s="101">
        <v>2004</v>
      </c>
    </row>
    <row r="24" ht="27" spans="1:16">
      <c r="A24" s="101">
        <v>3001</v>
      </c>
      <c r="B24" s="156" t="str">
        <f ca="1" t="shared" si="0"/>
        <v>T600T700-FixedSlit</v>
      </c>
      <c r="C24" s="101">
        <f>杂散光校验!$B2</f>
        <v>220</v>
      </c>
      <c r="D24" s="157" t="str">
        <f>杂散光校验!$C2&amp;";"&amp;杂散光校验!$D2&amp;";"&amp;杂散光校验!$E2</f>
        <v>;;</v>
      </c>
      <c r="E24" s="157"/>
      <c r="F24" s="157"/>
      <c r="G24" s="157"/>
      <c r="H24" s="157">
        <f>Report!$F$5</f>
        <v>0</v>
      </c>
      <c r="I24" s="159">
        <f ca="1" t="shared" si="1"/>
        <v>45881.6687731482</v>
      </c>
      <c r="J24" s="157">
        <f>Report!$N$5</f>
        <v>0</v>
      </c>
      <c r="K24" s="157"/>
      <c r="L24" s="157">
        <f>Report!$C$6</f>
        <v>0</v>
      </c>
      <c r="M24" s="157">
        <f>Report!$H$6</f>
        <v>0</v>
      </c>
      <c r="N24" s="101" t="str">
        <f>杂散光校验!$G2</f>
        <v>未检测</v>
      </c>
      <c r="O24" s="157"/>
      <c r="P24" s="101">
        <v>3001</v>
      </c>
    </row>
    <row r="25" ht="27" spans="1:16">
      <c r="A25" s="101">
        <v>3002</v>
      </c>
      <c r="B25" s="156" t="str">
        <f ca="1" t="shared" si="0"/>
        <v>T600T700-FixedSlit</v>
      </c>
      <c r="C25" s="101">
        <f>杂散光校验!$B3</f>
        <v>360</v>
      </c>
      <c r="D25" s="157" t="str">
        <f>杂散光校验!$C3&amp;";"&amp;杂散光校验!$D3&amp;";"&amp;杂散光校验!$E3</f>
        <v>;;</v>
      </c>
      <c r="E25" s="157"/>
      <c r="F25" s="157"/>
      <c r="G25" s="157"/>
      <c r="H25" s="157">
        <f>Report!$F$5</f>
        <v>0</v>
      </c>
      <c r="I25" s="159">
        <f ca="1" t="shared" si="1"/>
        <v>45881.6687731482</v>
      </c>
      <c r="J25" s="157">
        <f>Report!$N$5</f>
        <v>0</v>
      </c>
      <c r="K25" s="157"/>
      <c r="L25" s="157">
        <f>Report!$C$6</f>
        <v>0</v>
      </c>
      <c r="M25" s="157">
        <f>Report!$H$6</f>
        <v>0</v>
      </c>
      <c r="N25" s="101" t="str">
        <f>杂散光校验!$G3</f>
        <v>未检测</v>
      </c>
      <c r="O25" s="157"/>
      <c r="P25" s="101">
        <v>3002</v>
      </c>
    </row>
    <row r="26" ht="27" spans="1:16">
      <c r="A26" s="101">
        <v>4001</v>
      </c>
      <c r="B26" s="156" t="str">
        <f ca="1" t="shared" si="0"/>
        <v>T600T700-FixedSlit</v>
      </c>
      <c r="C26" s="101"/>
      <c r="D26" s="157">
        <f>基线平直度检验!$B$2</f>
        <v>0</v>
      </c>
      <c r="E26" s="157"/>
      <c r="F26" s="157"/>
      <c r="G26" s="157"/>
      <c r="H26" s="157">
        <f>Report!$F$5</f>
        <v>0</v>
      </c>
      <c r="I26" s="159">
        <f ca="1" t="shared" si="1"/>
        <v>45881.6687731482</v>
      </c>
      <c r="J26" s="157">
        <f>Report!$N$5</f>
        <v>0</v>
      </c>
      <c r="K26" s="157"/>
      <c r="L26" s="157">
        <f>Report!$C$6</f>
        <v>0</v>
      </c>
      <c r="M26" s="157">
        <f>Report!$H$6</f>
        <v>0</v>
      </c>
      <c r="N26" s="101" t="str">
        <f>基线平直度检验!$D$2</f>
        <v>未检测</v>
      </c>
      <c r="O26" s="157"/>
      <c r="P26" s="101">
        <v>4001</v>
      </c>
    </row>
    <row r="27" ht="27" spans="1:16">
      <c r="A27" s="101">
        <v>5001</v>
      </c>
      <c r="B27" s="156" t="str">
        <f ca="1" t="shared" si="0"/>
        <v>T600T700-FixedSlit</v>
      </c>
      <c r="C27" s="101"/>
      <c r="D27" s="157">
        <f>基线暗噪声检验!$B$2</f>
        <v>0</v>
      </c>
      <c r="E27" s="157"/>
      <c r="F27" s="157"/>
      <c r="G27" s="157"/>
      <c r="H27" s="157">
        <f>Report!$F$5</f>
        <v>0</v>
      </c>
      <c r="I27" s="159">
        <f ca="1" t="shared" si="1"/>
        <v>45881.6687731482</v>
      </c>
      <c r="J27" s="157">
        <f>Report!$N$5</f>
        <v>0</v>
      </c>
      <c r="K27" s="157"/>
      <c r="L27" s="157">
        <f>Report!$C$6</f>
        <v>0</v>
      </c>
      <c r="M27" s="157">
        <f>Report!$H$6</f>
        <v>0</v>
      </c>
      <c r="N27" s="101" t="str">
        <f>基线暗噪声检验!$D$2</f>
        <v>未检测</v>
      </c>
      <c r="O27" s="157"/>
      <c r="P27" s="101">
        <v>5001</v>
      </c>
    </row>
    <row r="28" ht="27" spans="1:16">
      <c r="A28" s="101">
        <v>6002</v>
      </c>
      <c r="B28" s="156" t="str">
        <f ca="1" t="shared" si="0"/>
        <v>T600T700-FixedSlit</v>
      </c>
      <c r="C28" s="101">
        <f>光谱带宽与仪器最小光谱带宽!$C2</f>
        <v>2</v>
      </c>
      <c r="D28" s="157">
        <f>光谱带宽与仪器最小光谱带宽!$D2</f>
        <v>0</v>
      </c>
      <c r="E28" s="157"/>
      <c r="F28" s="157"/>
      <c r="G28" s="157"/>
      <c r="H28" s="157">
        <f>Report!$F$5</f>
        <v>0</v>
      </c>
      <c r="I28" s="159">
        <f ca="1" t="shared" si="1"/>
        <v>45881.6687731482</v>
      </c>
      <c r="J28" s="157">
        <f>Report!$N$5</f>
        <v>0</v>
      </c>
      <c r="K28" s="157"/>
      <c r="L28" s="157">
        <f>Report!$C$6</f>
        <v>0</v>
      </c>
      <c r="M28" s="157">
        <f>Report!$H$6</f>
        <v>0</v>
      </c>
      <c r="N28" s="101" t="str">
        <f>光谱带宽与仪器最小光谱带宽!$G2</f>
        <v>未检测</v>
      </c>
      <c r="O28" s="157"/>
      <c r="P28" s="101">
        <v>6001</v>
      </c>
    </row>
    <row r="29" ht="27" spans="1:16">
      <c r="A29" s="101">
        <v>7001</v>
      </c>
      <c r="B29" s="156" t="str">
        <f ca="1" t="shared" si="0"/>
        <v>T600T700-FixedSlit</v>
      </c>
      <c r="C29" s="101">
        <f>噪声检验!$B2</f>
        <v>500</v>
      </c>
      <c r="D29" s="157">
        <f>噪声检验!$C2</f>
        <v>0</v>
      </c>
      <c r="E29" s="157"/>
      <c r="F29" s="157"/>
      <c r="G29" s="157"/>
      <c r="H29" s="157">
        <f>Report!$F$5</f>
        <v>0</v>
      </c>
      <c r="I29" s="159">
        <f ca="1" t="shared" si="1"/>
        <v>45881.6687731482</v>
      </c>
      <c r="J29" s="157">
        <f>Report!$N$5</f>
        <v>0</v>
      </c>
      <c r="K29" s="157"/>
      <c r="L29" s="157">
        <f>Report!$C$6</f>
        <v>0</v>
      </c>
      <c r="M29" s="157">
        <f>Report!$H$6</f>
        <v>0</v>
      </c>
      <c r="N29" s="101" t="str">
        <f>噪声检验!$E2</f>
        <v>未检测</v>
      </c>
      <c r="O29" s="157"/>
      <c r="P29" s="101">
        <v>7001</v>
      </c>
    </row>
    <row r="30" ht="27" spans="1:16">
      <c r="A30" s="101">
        <v>7002</v>
      </c>
      <c r="B30" s="156" t="str">
        <f ca="1" t="shared" si="0"/>
        <v>T600T700-FixedSlit</v>
      </c>
      <c r="C30" s="101">
        <f>噪声检验!$B3</f>
        <v>500</v>
      </c>
      <c r="D30" s="157">
        <f>噪声检验!$C3</f>
        <v>0</v>
      </c>
      <c r="E30" s="157"/>
      <c r="F30" s="157"/>
      <c r="G30" s="157"/>
      <c r="H30" s="157">
        <f>Report!$F$5</f>
        <v>0</v>
      </c>
      <c r="I30" s="159">
        <f ca="1" t="shared" si="1"/>
        <v>45881.6687731482</v>
      </c>
      <c r="J30" s="157">
        <f>Report!$N$5</f>
        <v>0</v>
      </c>
      <c r="K30" s="157"/>
      <c r="L30" s="157">
        <f>Report!$C$6</f>
        <v>0</v>
      </c>
      <c r="M30" s="157">
        <f>Report!$H$6</f>
        <v>0</v>
      </c>
      <c r="N30" s="101" t="str">
        <f>噪声检验!$E3</f>
        <v>未检测</v>
      </c>
      <c r="O30" s="157"/>
      <c r="P30" s="101">
        <v>7002</v>
      </c>
    </row>
    <row r="31" ht="27" spans="1:16">
      <c r="A31" s="101">
        <v>7003</v>
      </c>
      <c r="B31" s="156" t="str">
        <f ca="1" t="shared" si="0"/>
        <v>T600T700-FixedSlit</v>
      </c>
      <c r="C31" s="101">
        <f>噪声检验!$B4</f>
        <v>250</v>
      </c>
      <c r="D31" s="157">
        <f>噪声检验!$C4</f>
        <v>0</v>
      </c>
      <c r="E31" s="157"/>
      <c r="F31" s="157"/>
      <c r="G31" s="157"/>
      <c r="H31" s="157">
        <f>Report!$F$5</f>
        <v>0</v>
      </c>
      <c r="I31" s="159">
        <f ca="1" t="shared" si="1"/>
        <v>45881.6687731482</v>
      </c>
      <c r="J31" s="157">
        <f>Report!$N$5</f>
        <v>0</v>
      </c>
      <c r="K31" s="157"/>
      <c r="L31" s="157">
        <f>Report!$C$6</f>
        <v>0</v>
      </c>
      <c r="M31" s="157">
        <f>Report!$H$6</f>
        <v>0</v>
      </c>
      <c r="N31" s="101" t="str">
        <f>噪声检验!$E4</f>
        <v>未检测</v>
      </c>
      <c r="O31" s="157"/>
      <c r="P31" s="101">
        <v>7003</v>
      </c>
    </row>
    <row r="32" ht="27" spans="1:16">
      <c r="A32" s="101">
        <v>7004</v>
      </c>
      <c r="B32" s="156" t="str">
        <f ca="1" t="shared" si="0"/>
        <v>T600T700-FixedSlit</v>
      </c>
      <c r="C32" s="101">
        <f>噪声检验!$B5</f>
        <v>250</v>
      </c>
      <c r="D32" s="157">
        <f>噪声检验!$C5</f>
        <v>0</v>
      </c>
      <c r="E32" s="157"/>
      <c r="F32" s="157"/>
      <c r="G32" s="157"/>
      <c r="H32" s="157">
        <f>Report!$F$5</f>
        <v>0</v>
      </c>
      <c r="I32" s="159">
        <f ca="1" t="shared" si="1"/>
        <v>45881.6687731482</v>
      </c>
      <c r="J32" s="157">
        <f>Report!$N$5</f>
        <v>0</v>
      </c>
      <c r="K32" s="157"/>
      <c r="L32" s="157">
        <f>Report!$C$6</f>
        <v>0</v>
      </c>
      <c r="M32" s="157">
        <f>Report!$H$6</f>
        <v>0</v>
      </c>
      <c r="N32" s="101" t="str">
        <f>噪声检验!$E5</f>
        <v>未检测</v>
      </c>
      <c r="O32" s="157"/>
      <c r="P32" s="101">
        <v>7004</v>
      </c>
    </row>
    <row r="33" ht="27" spans="1:16">
      <c r="A33" s="101">
        <v>8001</v>
      </c>
      <c r="B33" s="156" t="str">
        <f ca="1" t="shared" si="0"/>
        <v>T600T700-FixedSlit</v>
      </c>
      <c r="C33" s="101">
        <f>波长边缘噪声!$B2</f>
        <v>1090</v>
      </c>
      <c r="D33" s="157">
        <f>波长边缘噪声!$C2</f>
        <v>0</v>
      </c>
      <c r="E33" s="157"/>
      <c r="F33" s="157"/>
      <c r="G33" s="157"/>
      <c r="H33" s="157">
        <f>Report!$F$5</f>
        <v>0</v>
      </c>
      <c r="I33" s="159">
        <f ca="1" t="shared" si="1"/>
        <v>45881.6687731482</v>
      </c>
      <c r="J33" s="157">
        <f>Report!$N$5</f>
        <v>0</v>
      </c>
      <c r="K33" s="157"/>
      <c r="L33" s="157">
        <f>Report!$C$6</f>
        <v>0</v>
      </c>
      <c r="M33" s="157">
        <f>Report!$H$6</f>
        <v>0</v>
      </c>
      <c r="N33" s="101" t="str">
        <f>波长边缘噪声!$E2</f>
        <v>未检测</v>
      </c>
      <c r="O33" s="157"/>
      <c r="P33" s="101">
        <v>8001</v>
      </c>
    </row>
    <row r="34" ht="27" spans="1:16">
      <c r="A34" s="101">
        <v>8002</v>
      </c>
      <c r="B34" s="156" t="str">
        <f ca="1" t="shared" si="0"/>
        <v>T600T700-FixedSlit</v>
      </c>
      <c r="C34" s="101">
        <f>波长边缘噪声!$B3</f>
        <v>1090</v>
      </c>
      <c r="D34" s="157">
        <f>波长边缘噪声!$C3</f>
        <v>0</v>
      </c>
      <c r="E34" s="157"/>
      <c r="F34" s="157"/>
      <c r="G34" s="157"/>
      <c r="H34" s="157">
        <f>Report!$F$5</f>
        <v>0</v>
      </c>
      <c r="I34" s="159">
        <f ca="1" t="shared" si="1"/>
        <v>45881.6687731482</v>
      </c>
      <c r="J34" s="157">
        <f>Report!$N$5</f>
        <v>0</v>
      </c>
      <c r="K34" s="157"/>
      <c r="L34" s="157">
        <f>Report!$C$6</f>
        <v>0</v>
      </c>
      <c r="M34" s="157">
        <f>Report!$H$6</f>
        <v>0</v>
      </c>
      <c r="N34" s="101" t="str">
        <f>波长边缘噪声!$E3</f>
        <v>未检测</v>
      </c>
      <c r="O34" s="157"/>
      <c r="P34" s="101">
        <v>8002</v>
      </c>
    </row>
    <row r="35" ht="27" spans="1:16">
      <c r="A35" s="101">
        <v>8003</v>
      </c>
      <c r="B35" s="156" t="str">
        <f ca="1" t="shared" si="0"/>
        <v>T600T700-FixedSlit</v>
      </c>
      <c r="C35" s="101">
        <f>波长边缘噪声!$B4</f>
        <v>200</v>
      </c>
      <c r="D35" s="157">
        <f>波长边缘噪声!$C4</f>
        <v>0</v>
      </c>
      <c r="E35" s="157"/>
      <c r="F35" s="157"/>
      <c r="G35" s="157"/>
      <c r="H35" s="157">
        <f>Report!$F$5</f>
        <v>0</v>
      </c>
      <c r="I35" s="159">
        <f ca="1" t="shared" si="1"/>
        <v>45881.6687731482</v>
      </c>
      <c r="J35" s="157">
        <f>Report!$N$5</f>
        <v>0</v>
      </c>
      <c r="K35" s="157"/>
      <c r="L35" s="157">
        <f>Report!$C$6</f>
        <v>0</v>
      </c>
      <c r="M35" s="157">
        <f>Report!$H$6</f>
        <v>0</v>
      </c>
      <c r="N35" s="101" t="str">
        <f>波长边缘噪声!$E4</f>
        <v>未检测</v>
      </c>
      <c r="O35" s="157"/>
      <c r="P35" s="101">
        <v>8003</v>
      </c>
    </row>
    <row r="36" ht="27" spans="1:16">
      <c r="A36" s="102">
        <v>8004</v>
      </c>
      <c r="B36" s="156" t="str">
        <f ca="1" t="shared" si="0"/>
        <v>T600T700-FixedSlit</v>
      </c>
      <c r="C36" s="101">
        <f>波长边缘噪声!$B5</f>
        <v>200</v>
      </c>
      <c r="D36" s="157">
        <f>波长边缘噪声!$C5</f>
        <v>0</v>
      </c>
      <c r="E36" s="157"/>
      <c r="F36" s="157"/>
      <c r="G36" s="157"/>
      <c r="H36" s="157">
        <f>Report!$F$5</f>
        <v>0</v>
      </c>
      <c r="I36" s="159">
        <f ca="1" t="shared" si="1"/>
        <v>45881.6687731482</v>
      </c>
      <c r="J36" s="157">
        <f>Report!$N$5</f>
        <v>0</v>
      </c>
      <c r="K36" s="157"/>
      <c r="L36" s="157">
        <f>Report!$C$6</f>
        <v>0</v>
      </c>
      <c r="M36" s="157">
        <f>Report!$H$6</f>
        <v>0</v>
      </c>
      <c r="N36" s="101" t="str">
        <f>波长边缘噪声!$E5</f>
        <v>未检测</v>
      </c>
      <c r="O36" s="157"/>
      <c r="P36" s="101">
        <v>8004</v>
      </c>
    </row>
    <row r="37" ht="27" spans="1:16">
      <c r="A37" s="102">
        <v>9001</v>
      </c>
      <c r="B37" s="156" t="str">
        <f ca="1" t="shared" si="0"/>
        <v>T600T700-FixedSlit</v>
      </c>
      <c r="C37" s="101">
        <f>漂移检验!$B$2</f>
        <v>500</v>
      </c>
      <c r="D37" s="157">
        <f>漂移检验!$C$2</f>
        <v>0</v>
      </c>
      <c r="E37" s="157"/>
      <c r="F37" s="157"/>
      <c r="G37" s="157"/>
      <c r="H37" s="157">
        <f>Report!$F$5</f>
        <v>0</v>
      </c>
      <c r="I37" s="159">
        <f ca="1" t="shared" si="1"/>
        <v>45881.6687731482</v>
      </c>
      <c r="J37" s="157">
        <f>Report!$N$5</f>
        <v>0</v>
      </c>
      <c r="K37" s="157"/>
      <c r="L37" s="157">
        <f>Report!$C$6</f>
        <v>0</v>
      </c>
      <c r="M37" s="157">
        <f>Report!$H$6</f>
        <v>0</v>
      </c>
      <c r="N37" s="101" t="str">
        <f>漂移检验!$E$2</f>
        <v>未检测</v>
      </c>
      <c r="O37" s="157"/>
      <c r="P37" s="101">
        <v>9001</v>
      </c>
    </row>
    <row r="38" customHeight="1" spans="8:8">
      <c r="H38" s="149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showGridLines="0" topLeftCell="C1" workbookViewId="0">
      <pane topLeftCell="A1" activePane="topLeft"/>
      <selection activeCell="K41" sqref="K41"/>
    </sheetView>
  </sheetViews>
  <sheetFormatPr defaultColWidth="9" defaultRowHeight="13.5" customHeight="1"/>
  <cols>
    <col min="1" max="1" width="9" style="1"/>
    <col min="2" max="2" width="17.25" style="1" customWidth="1"/>
    <col min="3" max="3" width="29.25" style="1" customWidth="1"/>
    <col min="4" max="4" width="12.3833333333333" style="1" customWidth="1"/>
    <col min="5" max="5" width="22.6333333333333" style="128" customWidth="1"/>
    <col min="6" max="6" width="9" style="1"/>
    <col min="7" max="7" width="16.8833333333333" style="1" customWidth="1"/>
    <col min="8" max="8" width="29.25" style="1" customWidth="1"/>
    <col min="9" max="9" width="12.3833333333333" style="1" customWidth="1"/>
    <col min="10" max="10" width="3.75" style="1" customWidth="1"/>
    <col min="11" max="11" width="17.25" style="1" customWidth="1"/>
    <col min="12" max="12" width="16.8833333333333" style="1" customWidth="1"/>
    <col min="13" max="13" width="12.3833333333333" style="21" customWidth="1"/>
    <col min="14" max="14" width="5.75" style="1" customWidth="1"/>
    <col min="15" max="15" width="11.6333333333333" style="1" customWidth="1"/>
    <col min="16" max="16" width="5.75" style="1" customWidth="1"/>
    <col min="17" max="17" width="20.3833333333333" style="1" customWidth="1"/>
    <col min="18" max="18" width="14.8833333333333" style="1" customWidth="1"/>
    <col min="19" max="20" width="13.8833333333333" style="1" customWidth="1"/>
    <col min="21" max="21" width="19" style="1" customWidth="1"/>
    <col min="22" max="22" width="7.5" style="1" customWidth="1"/>
    <col min="23" max="23" width="19.3833333333333" style="1" customWidth="1"/>
    <col min="24" max="25" width="13.8833333333333" style="1" customWidth="1"/>
    <col min="26" max="26" width="14.8833333333333" style="1" customWidth="1"/>
    <col min="27" max="16384" width="9" style="1"/>
  </cols>
  <sheetData>
    <row r="1" customHeight="1" spans="1:15">
      <c r="A1" s="129" t="s">
        <v>20</v>
      </c>
      <c r="B1" s="130"/>
      <c r="C1" s="130"/>
      <c r="D1" s="130"/>
      <c r="E1" s="130"/>
      <c r="F1" s="130"/>
      <c r="G1" s="130"/>
      <c r="H1" s="131"/>
      <c r="M1" s="1"/>
      <c r="O1" s="128"/>
    </row>
    <row r="2" customHeight="1" spans="1:15">
      <c r="A2" s="132" t="s">
        <v>5</v>
      </c>
      <c r="B2" s="132" t="s">
        <v>177</v>
      </c>
      <c r="C2" s="132" t="s">
        <v>178</v>
      </c>
      <c r="D2" s="132" t="s">
        <v>179</v>
      </c>
      <c r="E2" s="132" t="s">
        <v>180</v>
      </c>
      <c r="F2" s="132" t="s">
        <v>123</v>
      </c>
      <c r="G2" s="132" t="s">
        <v>181</v>
      </c>
      <c r="H2" s="132" t="s">
        <v>182</v>
      </c>
      <c r="M2" s="1"/>
      <c r="O2" s="128"/>
    </row>
    <row r="3" customHeight="1" spans="1:15">
      <c r="A3" s="125" t="s">
        <v>183</v>
      </c>
      <c r="B3" s="125">
        <v>1000</v>
      </c>
      <c r="C3" s="125" t="s">
        <v>184</v>
      </c>
      <c r="D3" s="125">
        <v>1001</v>
      </c>
      <c r="E3" s="133" t="s">
        <v>28</v>
      </c>
      <c r="F3" s="134" t="s">
        <v>185</v>
      </c>
      <c r="G3" s="135">
        <v>0.1</v>
      </c>
      <c r="H3" s="136">
        <v>0.1</v>
      </c>
      <c r="M3" s="1"/>
      <c r="O3" s="128"/>
    </row>
    <row r="4" customHeight="1" spans="1:15">
      <c r="A4" s="125" t="s">
        <v>183</v>
      </c>
      <c r="B4" s="125">
        <v>1000</v>
      </c>
      <c r="C4" s="125" t="s">
        <v>184</v>
      </c>
      <c r="D4" s="125">
        <v>1002</v>
      </c>
      <c r="E4" s="133" t="s">
        <v>28</v>
      </c>
      <c r="F4" s="125">
        <v>486</v>
      </c>
      <c r="G4" s="135">
        <v>0.3</v>
      </c>
      <c r="H4" s="136">
        <v>0.1</v>
      </c>
      <c r="M4" s="1"/>
      <c r="O4" s="128"/>
    </row>
    <row r="5" customHeight="1" spans="1:19">
      <c r="A5" s="125" t="s">
        <v>183</v>
      </c>
      <c r="B5" s="125">
        <v>1000</v>
      </c>
      <c r="C5" s="125" t="s">
        <v>184</v>
      </c>
      <c r="D5" s="125">
        <v>1003</v>
      </c>
      <c r="E5" s="133" t="s">
        <v>27</v>
      </c>
      <c r="F5" s="134" t="s">
        <v>186</v>
      </c>
      <c r="G5" s="135">
        <v>0.3</v>
      </c>
      <c r="H5" s="136">
        <v>0.1</v>
      </c>
      <c r="J5" s="149"/>
      <c r="K5" s="149"/>
      <c r="L5" s="149"/>
      <c r="M5" s="149"/>
      <c r="S5" s="152"/>
    </row>
    <row r="6" customHeight="1" spans="1:13">
      <c r="A6" s="125" t="s">
        <v>183</v>
      </c>
      <c r="B6" s="125">
        <v>1000</v>
      </c>
      <c r="C6" s="125" t="s">
        <v>184</v>
      </c>
      <c r="D6" s="125">
        <v>1008</v>
      </c>
      <c r="E6" s="133" t="s">
        <v>36</v>
      </c>
      <c r="F6" s="134" t="s">
        <v>187</v>
      </c>
      <c r="G6" s="135">
        <v>0.3</v>
      </c>
      <c r="H6" s="136">
        <v>0.1</v>
      </c>
      <c r="I6" s="150"/>
      <c r="J6" s="151"/>
      <c r="K6" s="151"/>
      <c r="M6" s="1"/>
    </row>
    <row r="7" customHeight="1" spans="1:13">
      <c r="A7" s="125" t="s">
        <v>183</v>
      </c>
      <c r="B7" s="125">
        <v>1000</v>
      </c>
      <c r="C7" s="125" t="s">
        <v>184</v>
      </c>
      <c r="D7" s="125">
        <v>1009</v>
      </c>
      <c r="E7" s="133" t="s">
        <v>36</v>
      </c>
      <c r="F7" s="134" t="s">
        <v>188</v>
      </c>
      <c r="G7" s="135">
        <v>0.3</v>
      </c>
      <c r="H7" s="136">
        <v>0.1</v>
      </c>
      <c r="J7" s="151"/>
      <c r="K7" s="151"/>
      <c r="M7" s="1"/>
    </row>
    <row r="8" customHeight="1" spans="1:13">
      <c r="A8" s="125" t="s">
        <v>183</v>
      </c>
      <c r="B8" s="125">
        <v>1000</v>
      </c>
      <c r="C8" s="125" t="s">
        <v>184</v>
      </c>
      <c r="D8" s="125">
        <v>1010</v>
      </c>
      <c r="E8" s="133" t="s">
        <v>36</v>
      </c>
      <c r="F8" s="134" t="s">
        <v>189</v>
      </c>
      <c r="G8" s="135">
        <v>0.3</v>
      </c>
      <c r="H8" s="136">
        <v>0.1</v>
      </c>
      <c r="J8" s="151"/>
      <c r="K8" s="151"/>
      <c r="M8" s="1"/>
    </row>
    <row r="9" customHeight="1" spans="1:13">
      <c r="A9" s="125" t="s">
        <v>183</v>
      </c>
      <c r="B9" s="125">
        <v>1000</v>
      </c>
      <c r="C9" s="125" t="s">
        <v>184</v>
      </c>
      <c r="D9" s="125">
        <v>1011</v>
      </c>
      <c r="E9" s="133" t="s">
        <v>36</v>
      </c>
      <c r="F9" s="134" t="s">
        <v>190</v>
      </c>
      <c r="G9" s="135">
        <v>0.3</v>
      </c>
      <c r="H9" s="136">
        <v>0.1</v>
      </c>
      <c r="J9" s="151"/>
      <c r="K9" s="151"/>
      <c r="M9" s="1"/>
    </row>
    <row r="10" customHeight="1" spans="1:13">
      <c r="A10" s="125" t="s">
        <v>183</v>
      </c>
      <c r="B10" s="125">
        <v>1000</v>
      </c>
      <c r="C10" s="125" t="s">
        <v>184</v>
      </c>
      <c r="D10" s="125">
        <v>1012</v>
      </c>
      <c r="E10" s="133" t="s">
        <v>36</v>
      </c>
      <c r="F10" s="134" t="s">
        <v>191</v>
      </c>
      <c r="G10" s="135">
        <v>0.3</v>
      </c>
      <c r="H10" s="136">
        <v>0.1</v>
      </c>
      <c r="J10" s="151"/>
      <c r="K10" s="151"/>
      <c r="M10" s="1"/>
    </row>
    <row r="11" customHeight="1" spans="1:13">
      <c r="A11" s="125" t="s">
        <v>183</v>
      </c>
      <c r="B11" s="125">
        <v>1000</v>
      </c>
      <c r="C11" s="125" t="s">
        <v>184</v>
      </c>
      <c r="D11" s="125">
        <v>1013</v>
      </c>
      <c r="E11" s="133" t="s">
        <v>36</v>
      </c>
      <c r="F11" s="134" t="s">
        <v>192</v>
      </c>
      <c r="G11" s="135">
        <v>0.3</v>
      </c>
      <c r="H11" s="136">
        <v>0.1</v>
      </c>
      <c r="J11" s="151"/>
      <c r="K11" s="151"/>
      <c r="M11" s="1"/>
    </row>
    <row r="12" ht="14.25" customHeight="1" spans="1:13">
      <c r="A12" s="125" t="s">
        <v>183</v>
      </c>
      <c r="B12" s="125">
        <v>2000</v>
      </c>
      <c r="C12" s="125" t="s">
        <v>193</v>
      </c>
      <c r="D12" s="125">
        <v>2001</v>
      </c>
      <c r="E12" s="133" t="s">
        <v>52</v>
      </c>
      <c r="F12" s="137" t="s">
        <v>194</v>
      </c>
      <c r="G12" s="125">
        <v>0.3</v>
      </c>
      <c r="H12" s="125">
        <v>0.1</v>
      </c>
      <c r="J12" s="151"/>
      <c r="K12" s="150"/>
      <c r="M12" s="1"/>
    </row>
    <row r="13" ht="25.5" spans="1:13">
      <c r="A13" s="125" t="s">
        <v>183</v>
      </c>
      <c r="B13" s="125">
        <v>2000</v>
      </c>
      <c r="C13" s="125" t="s">
        <v>193</v>
      </c>
      <c r="D13" s="125">
        <v>2002</v>
      </c>
      <c r="E13" s="133" t="s">
        <v>52</v>
      </c>
      <c r="F13" s="137" t="s">
        <v>195</v>
      </c>
      <c r="G13" s="125">
        <v>0.3</v>
      </c>
      <c r="H13" s="125">
        <v>0.1</v>
      </c>
      <c r="J13" s="151"/>
      <c r="K13" s="150"/>
      <c r="M13" s="1"/>
    </row>
    <row r="14" ht="25.5" spans="1:13">
      <c r="A14" s="125" t="s">
        <v>183</v>
      </c>
      <c r="B14" s="125">
        <v>2000</v>
      </c>
      <c r="C14" s="125" t="s">
        <v>193</v>
      </c>
      <c r="D14" s="125">
        <v>2003</v>
      </c>
      <c r="E14" s="133" t="s">
        <v>52</v>
      </c>
      <c r="F14" s="137" t="s">
        <v>196</v>
      </c>
      <c r="G14" s="125">
        <v>0.3</v>
      </c>
      <c r="H14" s="125">
        <v>0.1</v>
      </c>
      <c r="J14" s="151"/>
      <c r="K14" s="150"/>
      <c r="M14" s="1"/>
    </row>
    <row r="15" ht="25.5" spans="1:13">
      <c r="A15" s="125" t="s">
        <v>183</v>
      </c>
      <c r="B15" s="125">
        <v>2000</v>
      </c>
      <c r="C15" s="125" t="s">
        <v>193</v>
      </c>
      <c r="D15" s="125">
        <v>2004</v>
      </c>
      <c r="E15" s="133" t="s">
        <v>52</v>
      </c>
      <c r="F15" s="137" t="s">
        <v>197</v>
      </c>
      <c r="G15" s="125">
        <v>0.3</v>
      </c>
      <c r="H15" s="125">
        <v>0.1</v>
      </c>
      <c r="J15" s="151"/>
      <c r="K15" s="150"/>
      <c r="M15" s="1"/>
    </row>
    <row r="16" customHeight="1" spans="1:13">
      <c r="A16" s="125" t="s">
        <v>183</v>
      </c>
      <c r="B16" s="125">
        <v>2000</v>
      </c>
      <c r="C16" s="125" t="s">
        <v>193</v>
      </c>
      <c r="D16" s="125">
        <v>2005</v>
      </c>
      <c r="E16" s="137" t="s">
        <v>42</v>
      </c>
      <c r="F16" s="137" t="s">
        <v>198</v>
      </c>
      <c r="G16" s="125">
        <v>0.3</v>
      </c>
      <c r="H16" s="125">
        <v>0.1</v>
      </c>
      <c r="M16" s="1"/>
    </row>
    <row r="17" customHeight="1" spans="1:13">
      <c r="A17" s="125" t="s">
        <v>183</v>
      </c>
      <c r="B17" s="125">
        <v>2000</v>
      </c>
      <c r="C17" s="125" t="s">
        <v>193</v>
      </c>
      <c r="D17" s="125">
        <v>2006</v>
      </c>
      <c r="E17" s="137" t="s">
        <v>42</v>
      </c>
      <c r="F17" s="137" t="s">
        <v>199</v>
      </c>
      <c r="G17" s="125">
        <v>0.3</v>
      </c>
      <c r="H17" s="125">
        <v>0.1</v>
      </c>
      <c r="M17" s="1"/>
    </row>
    <row r="18" customHeight="1" spans="1:13">
      <c r="A18" s="125" t="s">
        <v>183</v>
      </c>
      <c r="B18" s="125">
        <v>2000</v>
      </c>
      <c r="C18" s="125" t="s">
        <v>193</v>
      </c>
      <c r="D18" s="125">
        <v>2007</v>
      </c>
      <c r="E18" s="137" t="s">
        <v>42</v>
      </c>
      <c r="F18" s="137" t="s">
        <v>200</v>
      </c>
      <c r="G18" s="125">
        <v>0.3</v>
      </c>
      <c r="H18" s="125">
        <v>0.1</v>
      </c>
      <c r="M18" s="1"/>
    </row>
    <row r="19" customHeight="1" spans="1:13">
      <c r="A19" s="125" t="s">
        <v>183</v>
      </c>
      <c r="B19" s="125">
        <v>2000</v>
      </c>
      <c r="C19" s="125" t="s">
        <v>193</v>
      </c>
      <c r="D19" s="125">
        <v>2008</v>
      </c>
      <c r="E19" s="137" t="s">
        <v>48</v>
      </c>
      <c r="F19" s="137" t="s">
        <v>198</v>
      </c>
      <c r="G19" s="125">
        <v>0.3</v>
      </c>
      <c r="H19" s="125">
        <v>0.1</v>
      </c>
      <c r="M19" s="1"/>
    </row>
    <row r="20" customHeight="1" spans="1:13">
      <c r="A20" s="125" t="s">
        <v>183</v>
      </c>
      <c r="B20" s="125">
        <v>2000</v>
      </c>
      <c r="C20" s="125" t="s">
        <v>193</v>
      </c>
      <c r="D20" s="125">
        <v>2009</v>
      </c>
      <c r="E20" s="137" t="s">
        <v>48</v>
      </c>
      <c r="F20" s="137" t="s">
        <v>199</v>
      </c>
      <c r="G20" s="125">
        <v>0.3</v>
      </c>
      <c r="H20" s="125">
        <v>0.1</v>
      </c>
      <c r="M20" s="1"/>
    </row>
    <row r="21" customHeight="1" spans="1:13">
      <c r="A21" s="125" t="s">
        <v>183</v>
      </c>
      <c r="B21" s="125">
        <v>2000</v>
      </c>
      <c r="C21" s="125" t="s">
        <v>193</v>
      </c>
      <c r="D21" s="125">
        <v>2010</v>
      </c>
      <c r="E21" s="137" t="s">
        <v>48</v>
      </c>
      <c r="F21" s="137" t="s">
        <v>200</v>
      </c>
      <c r="G21" s="125">
        <v>0.3</v>
      </c>
      <c r="H21" s="125">
        <v>0.1</v>
      </c>
      <c r="M21" s="1"/>
    </row>
    <row r="22" customHeight="1" spans="1:13">
      <c r="A22" s="125" t="s">
        <v>183</v>
      </c>
      <c r="B22" s="125">
        <v>2000</v>
      </c>
      <c r="C22" s="125" t="s">
        <v>193</v>
      </c>
      <c r="D22" s="125">
        <v>2011</v>
      </c>
      <c r="E22" s="137" t="s">
        <v>50</v>
      </c>
      <c r="F22" s="137" t="s">
        <v>198</v>
      </c>
      <c r="G22" s="125">
        <v>0.3</v>
      </c>
      <c r="H22" s="125">
        <v>0.1</v>
      </c>
      <c r="M22" s="1"/>
    </row>
    <row r="23" customHeight="1" spans="1:13">
      <c r="A23" s="125" t="s">
        <v>183</v>
      </c>
      <c r="B23" s="125">
        <v>2000</v>
      </c>
      <c r="C23" s="125" t="s">
        <v>193</v>
      </c>
      <c r="D23" s="125">
        <v>2012</v>
      </c>
      <c r="E23" s="137" t="s">
        <v>50</v>
      </c>
      <c r="F23" s="137" t="s">
        <v>199</v>
      </c>
      <c r="G23" s="125">
        <v>0.3</v>
      </c>
      <c r="H23" s="125">
        <v>0.1</v>
      </c>
      <c r="M23" s="1"/>
    </row>
    <row r="24" customHeight="1" spans="1:13">
      <c r="A24" s="125" t="s">
        <v>183</v>
      </c>
      <c r="B24" s="125">
        <v>2000</v>
      </c>
      <c r="C24" s="125" t="s">
        <v>193</v>
      </c>
      <c r="D24" s="125">
        <v>2013</v>
      </c>
      <c r="E24" s="137" t="s">
        <v>50</v>
      </c>
      <c r="F24" s="137" t="s">
        <v>200</v>
      </c>
      <c r="G24" s="125">
        <v>0.3</v>
      </c>
      <c r="H24" s="125">
        <v>0.1</v>
      </c>
      <c r="M24" s="1"/>
    </row>
    <row r="25" customHeight="1" spans="1:13">
      <c r="A25" s="125" t="s">
        <v>183</v>
      </c>
      <c r="B25" s="125">
        <v>3000</v>
      </c>
      <c r="C25" s="125" t="s">
        <v>201</v>
      </c>
      <c r="D25" s="125">
        <v>3001</v>
      </c>
      <c r="E25" s="138" t="s">
        <v>59</v>
      </c>
      <c r="F25" s="139" t="s">
        <v>57</v>
      </c>
      <c r="G25" s="140">
        <v>0.01</v>
      </c>
      <c r="H25" s="125"/>
      <c r="M25" s="1"/>
    </row>
    <row r="26" customHeight="1" spans="1:13">
      <c r="A26" s="125" t="s">
        <v>183</v>
      </c>
      <c r="B26" s="125">
        <v>3000</v>
      </c>
      <c r="C26" s="125" t="s">
        <v>201</v>
      </c>
      <c r="D26" s="125">
        <v>3002</v>
      </c>
      <c r="E26" s="138" t="s">
        <v>63</v>
      </c>
      <c r="F26" s="139" t="s">
        <v>61</v>
      </c>
      <c r="G26" s="140">
        <v>0.02</v>
      </c>
      <c r="H26" s="125"/>
      <c r="M26" s="1"/>
    </row>
    <row r="27" customHeight="1" spans="1:13">
      <c r="A27" s="125" t="s">
        <v>183</v>
      </c>
      <c r="B27" s="125">
        <v>4000</v>
      </c>
      <c r="C27" s="125" t="s">
        <v>202</v>
      </c>
      <c r="D27" s="125">
        <v>4001</v>
      </c>
      <c r="E27" s="138" t="s">
        <v>64</v>
      </c>
      <c r="F27" s="125"/>
      <c r="G27" s="141">
        <v>0.0005</v>
      </c>
      <c r="H27" s="125"/>
      <c r="M27" s="1"/>
    </row>
    <row r="28" customHeight="1" spans="1:13">
      <c r="A28" s="125" t="s">
        <v>183</v>
      </c>
      <c r="B28" s="125">
        <v>5000</v>
      </c>
      <c r="C28" s="125" t="s">
        <v>203</v>
      </c>
      <c r="D28" s="125">
        <v>5001</v>
      </c>
      <c r="E28" s="138" t="s">
        <v>67</v>
      </c>
      <c r="F28" s="125"/>
      <c r="G28" s="142">
        <v>0.1</v>
      </c>
      <c r="H28" s="125"/>
      <c r="M28" s="1"/>
    </row>
    <row r="29" customHeight="1" spans="1:13">
      <c r="A29" s="125" t="s">
        <v>183</v>
      </c>
      <c r="B29" s="125">
        <v>6000</v>
      </c>
      <c r="C29" s="125" t="s">
        <v>204</v>
      </c>
      <c r="D29" s="125">
        <v>6002</v>
      </c>
      <c r="E29" s="138" t="s">
        <v>72</v>
      </c>
      <c r="F29" s="138">
        <v>656.1</v>
      </c>
      <c r="G29" s="143">
        <v>20</v>
      </c>
      <c r="H29" s="125"/>
      <c r="M29" s="1"/>
    </row>
    <row r="30" customHeight="1" spans="1:13">
      <c r="A30" s="125" t="s">
        <v>183</v>
      </c>
      <c r="B30" s="125">
        <v>7000</v>
      </c>
      <c r="C30" s="125" t="s">
        <v>205</v>
      </c>
      <c r="D30" s="125">
        <v>7001</v>
      </c>
      <c r="E30" s="125" t="s">
        <v>206</v>
      </c>
      <c r="F30" s="144">
        <v>500</v>
      </c>
      <c r="G30" s="145">
        <v>0.05</v>
      </c>
      <c r="H30" s="125"/>
      <c r="M30" s="1"/>
    </row>
    <row r="31" customHeight="1" spans="1:13">
      <c r="A31" s="125" t="s">
        <v>183</v>
      </c>
      <c r="B31" s="125">
        <v>7000</v>
      </c>
      <c r="C31" s="125" t="s">
        <v>205</v>
      </c>
      <c r="D31" s="125">
        <v>7002</v>
      </c>
      <c r="E31" s="125" t="s">
        <v>207</v>
      </c>
      <c r="F31" s="144">
        <v>500</v>
      </c>
      <c r="G31" s="146">
        <v>0.005</v>
      </c>
      <c r="H31" s="125"/>
      <c r="M31" s="1"/>
    </row>
    <row r="32" customHeight="1" spans="1:13">
      <c r="A32" s="125" t="s">
        <v>183</v>
      </c>
      <c r="B32" s="125">
        <v>7000</v>
      </c>
      <c r="C32" s="125" t="s">
        <v>205</v>
      </c>
      <c r="D32" s="125">
        <v>7003</v>
      </c>
      <c r="E32" s="125" t="s">
        <v>208</v>
      </c>
      <c r="F32" s="144">
        <v>250</v>
      </c>
      <c r="G32" s="145">
        <v>0.05</v>
      </c>
      <c r="H32" s="125"/>
      <c r="M32" s="1"/>
    </row>
    <row r="33" customHeight="1" spans="1:13">
      <c r="A33" s="125" t="s">
        <v>183</v>
      </c>
      <c r="B33" s="125">
        <v>7000</v>
      </c>
      <c r="C33" s="125" t="s">
        <v>205</v>
      </c>
      <c r="D33" s="125">
        <v>7004</v>
      </c>
      <c r="E33" s="125" t="s">
        <v>209</v>
      </c>
      <c r="F33" s="144">
        <v>250</v>
      </c>
      <c r="G33" s="146">
        <v>0.005</v>
      </c>
      <c r="H33" s="125"/>
      <c r="M33" s="1"/>
    </row>
    <row r="34" customHeight="1" spans="1:13">
      <c r="A34" s="125" t="s">
        <v>183</v>
      </c>
      <c r="B34" s="125">
        <v>8000</v>
      </c>
      <c r="C34" s="125" t="s">
        <v>210</v>
      </c>
      <c r="D34" s="125">
        <v>8001</v>
      </c>
      <c r="E34" s="125" t="s">
        <v>211</v>
      </c>
      <c r="F34" s="144">
        <v>1090</v>
      </c>
      <c r="G34" s="147">
        <v>0.1</v>
      </c>
      <c r="H34" s="125"/>
      <c r="M34" s="1"/>
    </row>
    <row r="35" customHeight="1" spans="1:13">
      <c r="A35" s="125" t="s">
        <v>183</v>
      </c>
      <c r="B35" s="125">
        <v>8000</v>
      </c>
      <c r="C35" s="125" t="s">
        <v>210</v>
      </c>
      <c r="D35" s="125">
        <v>8002</v>
      </c>
      <c r="E35" s="125" t="s">
        <v>212</v>
      </c>
      <c r="F35" s="144">
        <v>1090</v>
      </c>
      <c r="G35" s="145">
        <v>0.02</v>
      </c>
      <c r="H35" s="125"/>
      <c r="M35" s="1"/>
    </row>
    <row r="36" customHeight="1" spans="1:13">
      <c r="A36" s="125" t="s">
        <v>183</v>
      </c>
      <c r="B36" s="125">
        <v>8000</v>
      </c>
      <c r="C36" s="125" t="s">
        <v>210</v>
      </c>
      <c r="D36" s="125">
        <v>8003</v>
      </c>
      <c r="E36" s="125" t="s">
        <v>213</v>
      </c>
      <c r="F36" s="144">
        <v>200</v>
      </c>
      <c r="G36" s="147">
        <v>0.1</v>
      </c>
      <c r="H36" s="125"/>
      <c r="M36" s="1"/>
    </row>
    <row r="37" customHeight="1" spans="1:13">
      <c r="A37" s="125" t="s">
        <v>183</v>
      </c>
      <c r="B37" s="127">
        <v>8000</v>
      </c>
      <c r="C37" s="127" t="s">
        <v>210</v>
      </c>
      <c r="D37" s="127">
        <v>8004</v>
      </c>
      <c r="E37" s="127" t="s">
        <v>214</v>
      </c>
      <c r="F37" s="144">
        <v>200</v>
      </c>
      <c r="G37" s="145">
        <v>0.02</v>
      </c>
      <c r="H37" s="127"/>
      <c r="M37" s="1"/>
    </row>
    <row r="38" customHeight="1" spans="1:13">
      <c r="A38" s="125" t="s">
        <v>183</v>
      </c>
      <c r="B38" s="127">
        <v>9000</v>
      </c>
      <c r="C38" s="127" t="s">
        <v>215</v>
      </c>
      <c r="D38" s="127">
        <v>9001</v>
      </c>
      <c r="E38" s="138" t="s">
        <v>215</v>
      </c>
      <c r="F38" s="127" t="s">
        <v>216</v>
      </c>
      <c r="G38" s="148">
        <v>0.1</v>
      </c>
      <c r="H38" s="127"/>
      <c r="M38" s="1"/>
    </row>
  </sheetData>
  <mergeCells count="1">
    <mergeCell ref="A1:H1"/>
  </mergeCells>
  <pageMargins left="0.7" right="0.7" top="0.75" bottom="0.75" header="0.3" footer="0.3"/>
  <pageSetup paperSize="9" firstPageNumber="4294963191" orientation="portrait" useFirstPageNumb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pane topLeftCell="A1" activePane="topLeft"/>
      <selection activeCell="A6" sqref="A6"/>
    </sheetView>
  </sheetViews>
  <sheetFormatPr defaultColWidth="9" defaultRowHeight="13.5" customHeight="1" outlineLevelCol="4"/>
  <cols>
    <col min="1" max="1" width="10.1333333333333" style="124" customWidth="1"/>
    <col min="2" max="2" width="12.5" style="124" customWidth="1"/>
    <col min="3" max="3" width="9" style="1"/>
    <col min="4" max="4" width="29.25" style="1" customWidth="1"/>
    <col min="5" max="5" width="12.3833333333333" style="1" customWidth="1"/>
    <col min="6" max="6" width="9" style="1" customWidth="1"/>
    <col min="7" max="16384" width="9" style="1"/>
  </cols>
  <sheetData>
    <row r="1" customHeight="1" spans="1:5">
      <c r="A1" s="118" t="s">
        <v>6</v>
      </c>
      <c r="B1" s="118" t="s">
        <v>5</v>
      </c>
      <c r="D1" s="10" t="s">
        <v>178</v>
      </c>
      <c r="E1" s="10" t="s">
        <v>177</v>
      </c>
    </row>
    <row r="2" customHeight="1" spans="1:5">
      <c r="A2" s="102" t="s">
        <v>217</v>
      </c>
      <c r="B2" s="102" t="s">
        <v>218</v>
      </c>
      <c r="D2" s="125" t="s">
        <v>184</v>
      </c>
      <c r="E2" s="125">
        <v>1000</v>
      </c>
    </row>
    <row r="3" customHeight="1" spans="1:5">
      <c r="A3" s="102" t="s">
        <v>219</v>
      </c>
      <c r="B3" s="102" t="s">
        <v>220</v>
      </c>
      <c r="D3" s="125" t="s">
        <v>193</v>
      </c>
      <c r="E3" s="125">
        <v>2000</v>
      </c>
    </row>
    <row r="4" customHeight="1" spans="1:5">
      <c r="A4" s="102" t="s">
        <v>221</v>
      </c>
      <c r="B4" s="102" t="s">
        <v>222</v>
      </c>
      <c r="D4" s="125" t="s">
        <v>201</v>
      </c>
      <c r="E4" s="125">
        <v>3000</v>
      </c>
    </row>
    <row r="5" customHeight="1" spans="1:5">
      <c r="A5" s="102" t="s">
        <v>223</v>
      </c>
      <c r="B5" s="102" t="s">
        <v>224</v>
      </c>
      <c r="D5" s="125" t="s">
        <v>202</v>
      </c>
      <c r="E5" s="125">
        <v>4000</v>
      </c>
    </row>
    <row r="6" customHeight="1" spans="1:5">
      <c r="A6" s="102" t="s">
        <v>225</v>
      </c>
      <c r="B6" s="102" t="s">
        <v>226</v>
      </c>
      <c r="D6" s="125" t="s">
        <v>203</v>
      </c>
      <c r="E6" s="125">
        <v>5000</v>
      </c>
    </row>
    <row r="7" customHeight="1" spans="1:5">
      <c r="A7" s="102" t="s">
        <v>227</v>
      </c>
      <c r="B7" s="102" t="s">
        <v>228</v>
      </c>
      <c r="D7" s="125" t="s">
        <v>204</v>
      </c>
      <c r="E7" s="125">
        <v>6000</v>
      </c>
    </row>
    <row r="8" customHeight="1" spans="1:5">
      <c r="A8" s="102" t="s">
        <v>229</v>
      </c>
      <c r="B8" s="102" t="s">
        <v>183</v>
      </c>
      <c r="D8" s="125" t="s">
        <v>205</v>
      </c>
      <c r="E8" s="125">
        <v>7000</v>
      </c>
    </row>
    <row r="9" customHeight="1" spans="1:5">
      <c r="A9" s="126" t="s">
        <v>230</v>
      </c>
      <c r="B9" s="126" t="s">
        <v>231</v>
      </c>
      <c r="D9" s="127" t="s">
        <v>210</v>
      </c>
      <c r="E9" s="127">
        <v>8000</v>
      </c>
    </row>
    <row r="10" customHeight="1" spans="1:5">
      <c r="A10" s="102"/>
      <c r="B10" s="102"/>
      <c r="D10" s="127" t="s">
        <v>215</v>
      </c>
      <c r="E10" s="127">
        <v>9000</v>
      </c>
    </row>
    <row r="11" customHeight="1" spans="1:2">
      <c r="A11" s="102"/>
      <c r="B11" s="102"/>
    </row>
  </sheetData>
  <pageMargins left="0.7" right="0.7" top="0.75" bottom="0.75" header="0.3" footer="0.3"/>
  <pageSetup paperSize="9" firstPageNumber="4294963191" orientation="portrait" useFirstPageNumber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3"/>
  <sheetViews>
    <sheetView showGridLines="0" zoomScale="66" zoomScaleNormal="66" workbookViewId="0">
      <pane topLeftCell="A1" activePane="topLeft"/>
      <selection activeCell="M2" sqref="M2:M23"/>
    </sheetView>
  </sheetViews>
  <sheetFormatPr defaultColWidth="8.88333333333333" defaultRowHeight="13.5" customHeight="1"/>
  <cols>
    <col min="1" max="1" width="29.25" style="110" customWidth="1"/>
    <col min="2" max="2" width="18.3833333333333" style="111" customWidth="1"/>
    <col min="3" max="3" width="21.5" style="111" customWidth="1"/>
    <col min="4" max="4" width="40" style="111" customWidth="1"/>
    <col min="5" max="5" width="46.5" style="111" customWidth="1"/>
    <col min="6" max="6" width="8.88333333333333" style="111"/>
    <col min="7" max="7" width="10.5" style="111" customWidth="1"/>
    <col min="8" max="8" width="20.1333333333333" style="111" customWidth="1"/>
    <col min="9" max="9" width="79.5" style="111" hidden="1" customWidth="1"/>
    <col min="10" max="10" width="15.3833333333333" style="111" customWidth="1"/>
    <col min="11" max="11" width="11.5" style="111" customWidth="1"/>
    <col min="12" max="12" width="9.63333333333333" style="111" customWidth="1"/>
    <col min="13" max="13" width="8.5" style="111" customWidth="1"/>
    <col min="14" max="14" width="9.88333333333333" style="111" customWidth="1"/>
    <col min="15" max="15" width="10" style="111" customWidth="1"/>
    <col min="16" max="16" width="9.63333333333333" style="111" customWidth="1"/>
    <col min="17" max="17" width="8.5" style="111" customWidth="1"/>
    <col min="18" max="18" width="9.13333333333333" style="111" customWidth="1"/>
    <col min="19" max="19" width="9.5" style="111" customWidth="1"/>
    <col min="20" max="21" width="9.63333333333333" style="111" customWidth="1"/>
    <col min="22" max="22" width="18" style="111" customWidth="1"/>
    <col min="23" max="23" width="12.3833333333333" style="111" customWidth="1"/>
    <col min="24" max="24" width="18.5" style="111" customWidth="1"/>
    <col min="25" max="25" width="19.3833333333333" style="111" customWidth="1"/>
    <col min="26" max="26" width="15.1333333333333" style="112" hidden="1" customWidth="1"/>
    <col min="27" max="27" width="11.6333333333333" style="112" customWidth="1"/>
    <col min="28" max="28" width="17.25" style="113" customWidth="1"/>
    <col min="29" max="16384" width="8.88333333333333" style="111"/>
  </cols>
  <sheetData>
    <row r="1" s="109" customFormat="1" ht="40.5" spans="1:28">
      <c r="A1" s="114" t="s">
        <v>232</v>
      </c>
      <c r="B1" s="114" t="s">
        <v>233</v>
      </c>
      <c r="C1" s="114" t="s">
        <v>234</v>
      </c>
      <c r="D1" s="114" t="s">
        <v>235</v>
      </c>
      <c r="E1" s="114" t="s">
        <v>236</v>
      </c>
      <c r="F1" s="114" t="s">
        <v>131</v>
      </c>
      <c r="G1" s="114" t="s">
        <v>237</v>
      </c>
      <c r="H1" s="114" t="s">
        <v>123</v>
      </c>
      <c r="I1" s="118" t="s">
        <v>238</v>
      </c>
      <c r="J1" s="114" t="s">
        <v>238</v>
      </c>
      <c r="K1" s="119" t="s">
        <v>126</v>
      </c>
      <c r="L1" s="119" t="s">
        <v>239</v>
      </c>
      <c r="M1" s="119" t="s">
        <v>129</v>
      </c>
      <c r="N1" s="119" t="s">
        <v>240</v>
      </c>
      <c r="O1" s="119" t="s">
        <v>241</v>
      </c>
      <c r="P1" s="119" t="s">
        <v>242</v>
      </c>
      <c r="Q1" s="119" t="s">
        <v>134</v>
      </c>
      <c r="R1" s="119" t="s">
        <v>69</v>
      </c>
      <c r="S1" s="119" t="s">
        <v>243</v>
      </c>
      <c r="T1" s="119" t="s">
        <v>244</v>
      </c>
      <c r="U1" s="119" t="s">
        <v>135</v>
      </c>
      <c r="V1" s="114" t="s">
        <v>125</v>
      </c>
      <c r="W1" s="114" t="s">
        <v>245</v>
      </c>
      <c r="X1" s="114" t="s">
        <v>246</v>
      </c>
      <c r="Y1" s="114" t="s">
        <v>247</v>
      </c>
      <c r="Z1" s="114" t="s">
        <v>177</v>
      </c>
      <c r="AA1" s="114" t="s">
        <v>179</v>
      </c>
      <c r="AB1" s="122" t="s">
        <v>124</v>
      </c>
    </row>
    <row r="2" ht="44.25" customHeight="1" spans="1:28">
      <c r="A2" s="115" t="s">
        <v>184</v>
      </c>
      <c r="B2" s="115" t="s">
        <v>248</v>
      </c>
      <c r="C2" s="116"/>
      <c r="D2" s="115" t="str">
        <f>_xlfn.SINGLE(IF(L2="","",字段对应!$B$10&amp;"="&amp;VLOOKUP(L2,基础信息!$I$2:$J$6,2,0)&amp;";"))&amp;_xlfn.SINGLE(IF(M2="","",字段对应!$B$11&amp;"="&amp;VLOOKUP(M2,基础信息!$K$2:$L$6,2,0)&amp;";"))&amp;_xlfn.SINGLE(IF(N2="","",字段对应!$C$2&amp;"="&amp;N2&amp;","&amp;O2&amp;","&amp;P2&amp;";"))&amp;_xlfn.SINGLE(IF(Q2="","",字段对应!$B$13&amp;"="&amp;Q2&amp;";"))&amp;_xlfn.SINGLE(IF(R2="","",字段对应!$B$14&amp;"="&amp;R2&amp;";"))&amp;_xlfn.SINGLE(IF(U2="","",字段对应!$B$22&amp;"="&amp;U2&amp;";"))&amp;_xlfn.SINGLE(IF(K2="","",字段对应!$B$21&amp;"="&amp;VLOOKUP(K2,基础信息!$F$2:$G$4,2,0)))</f>
        <v>PhotoMode=2;ScanSpeed=2;WlRange=660,650,0.02;Gain=4;Slit1=2.0;LampPos=1</v>
      </c>
      <c r="E2" s="115" t="str">
        <f>_xlfn.SINGLE(IF(W2="","",检测项信息!W2&amp;":"&amp;字段对应!$B$16&amp;"|"))&amp;IF(X2="","",X2&amp;":"&amp;IF(V2="是",字段对应!$C$17,字段对应!$B$17&amp;";"&amp;_xlfn.SINGLE(IF(H2="","",字段对应!$B$15&amp;"="&amp;检测项信息!H2)))&amp;"|")&amp;_xlfn.SINGLE(IF(Y2="",":",Y2&amp;":"))&amp;IF(V2="是",字段对应!$C$18,字段对应!$B$18&amp;";"&amp;_xlfn.SINGLE(IF(H2="","",字段对应!$B$15&amp;"="&amp;检测项信息!H2))&amp;_xlfn.SINGLE(IF(AND(T2="",S2=""),"",";"&amp;字段对应!$B$20&amp;"="&amp;T2&amp;";"&amp;字段对应!$B$19&amp;"="&amp;S2)))</f>
        <v>空气:Scan</v>
      </c>
      <c r="F2" s="115">
        <v>3</v>
      </c>
      <c r="G2" s="115">
        <v>1</v>
      </c>
      <c r="H2" s="115" t="s">
        <v>185</v>
      </c>
      <c r="I2" s="115" t="str">
        <f>VLOOKUP(J2,字段对应!$D$2:$E$8,2,0)</f>
        <v>Validation.ViewModel.DataStructure.FindPeakAndAverageUVTestTool</v>
      </c>
      <c r="J2" s="115" t="s">
        <v>249</v>
      </c>
      <c r="K2" s="120" t="s">
        <v>28</v>
      </c>
      <c r="L2" s="120" t="s">
        <v>148</v>
      </c>
      <c r="M2" s="120" t="s">
        <v>149</v>
      </c>
      <c r="N2" s="120">
        <v>660</v>
      </c>
      <c r="O2" s="120">
        <v>650</v>
      </c>
      <c r="P2" s="120">
        <v>0.02</v>
      </c>
      <c r="Q2" s="120">
        <v>4</v>
      </c>
      <c r="R2" s="120" t="s">
        <v>154</v>
      </c>
      <c r="S2" s="120"/>
      <c r="T2" s="120"/>
      <c r="U2" s="120"/>
      <c r="V2" s="115" t="s">
        <v>136</v>
      </c>
      <c r="W2" s="115"/>
      <c r="X2" s="115"/>
      <c r="Y2" s="115" t="s">
        <v>250</v>
      </c>
      <c r="Z2" s="115">
        <f>VLOOKUP(A2,对应信息!$D$2:$E$10,2,0)</f>
        <v>1000</v>
      </c>
      <c r="AA2" s="115">
        <f t="shared" ref="AA2:AA23" si="0">IF(Z1=Z2,AA1+1,Z2+1)</f>
        <v>1001</v>
      </c>
      <c r="AB2" s="123"/>
    </row>
    <row r="3" ht="44.25" customHeight="1" spans="1:28">
      <c r="A3" s="115" t="s">
        <v>184</v>
      </c>
      <c r="B3" s="115" t="s">
        <v>251</v>
      </c>
      <c r="C3" s="116"/>
      <c r="D3" s="115" t="str">
        <f>_xlfn.SINGLE(IF(L3="","",字段对应!$B$10&amp;"="&amp;VLOOKUP(L3,基础信息!$I$2:$J$6,2,0)&amp;";"))&amp;_xlfn.SINGLE(IF(M3="","",字段对应!$B$11&amp;"="&amp;VLOOKUP(M3,基础信息!$K$2:$L$6,2,0)&amp;";"))&amp;_xlfn.SINGLE(IF(N3="","",字段对应!$C$2&amp;"="&amp;N3&amp;","&amp;O3&amp;","&amp;P3&amp;";"))&amp;_xlfn.SINGLE(IF(Q3="","",字段对应!$B$13&amp;"="&amp;Q3&amp;";"))&amp;_xlfn.SINGLE(IF(R3="","",字段对应!$B$14&amp;"="&amp;R3&amp;";"))&amp;_xlfn.SINGLE(IF(U3="","",字段对应!$B$22&amp;"="&amp;U3&amp;";"))&amp;_xlfn.SINGLE(IF(K3="","",字段对应!$B$21&amp;"="&amp;VLOOKUP(K3,基础信息!$F$2:$G$4,2,0)))</f>
        <v>PhotoMode=2;ScanSpeed=2;WlRange=490,480,0.02;Gain=4;Slit1=2.0;LampPos=1</v>
      </c>
      <c r="E3" s="115" t="str">
        <f>_xlfn.SINGLE(IF(W3="","",检测项信息!W3&amp;":"&amp;字段对应!$B$16&amp;"|"))&amp;IF(X3="","",X3&amp;":"&amp;IF(V3="是",字段对应!$C$17,字段对应!$B$17&amp;";"&amp;_xlfn.SINGLE(IF(H3="","",字段对应!$B$15&amp;"="&amp;检测项信息!H3)))&amp;"|")&amp;_xlfn.SINGLE(IF(Y3="",":",Y3&amp;":"))&amp;IF(V3="是",字段对应!$C$18,字段对应!$B$18&amp;";"&amp;_xlfn.SINGLE(IF(H3="","",字段对应!$B$15&amp;"="&amp;检测项信息!H3))&amp;_xlfn.SINGLE(IF(AND(T3="",S3=""),"",";"&amp;字段对应!$B$20&amp;"="&amp;T3&amp;";"&amp;字段对应!$B$19&amp;"="&amp;S3)))</f>
        <v>空气:Scan</v>
      </c>
      <c r="F3" s="115">
        <v>3</v>
      </c>
      <c r="G3" s="115">
        <v>1</v>
      </c>
      <c r="H3" s="115">
        <v>486</v>
      </c>
      <c r="I3" s="115" t="str">
        <f>VLOOKUP(J3,字段对应!$D$2:$E$8,2,0)</f>
        <v>Validation.ViewModel.DataStructure.FindPeakAndAverageUVTestTool</v>
      </c>
      <c r="J3" s="115" t="s">
        <v>249</v>
      </c>
      <c r="K3" s="120" t="s">
        <v>28</v>
      </c>
      <c r="L3" s="120" t="s">
        <v>148</v>
      </c>
      <c r="M3" s="120" t="s">
        <v>149</v>
      </c>
      <c r="N3" s="120">
        <v>490</v>
      </c>
      <c r="O3" s="120">
        <v>480</v>
      </c>
      <c r="P3" s="120">
        <v>0.02</v>
      </c>
      <c r="Q3" s="120">
        <v>4</v>
      </c>
      <c r="R3" s="120" t="s">
        <v>154</v>
      </c>
      <c r="S3" s="120"/>
      <c r="T3" s="120"/>
      <c r="U3" s="120"/>
      <c r="V3" s="115" t="s">
        <v>136</v>
      </c>
      <c r="W3" s="115"/>
      <c r="X3" s="115"/>
      <c r="Y3" s="115" t="s">
        <v>250</v>
      </c>
      <c r="Z3" s="115">
        <f>VLOOKUP(A3,对应信息!$D$2:$E$10,2,0)</f>
        <v>1000</v>
      </c>
      <c r="AA3" s="115">
        <f t="shared" si="0"/>
        <v>1002</v>
      </c>
      <c r="AB3" s="123"/>
    </row>
    <row r="4" ht="46.5" customHeight="1" spans="1:28">
      <c r="A4" s="115" t="s">
        <v>184</v>
      </c>
      <c r="B4" s="115" t="s">
        <v>27</v>
      </c>
      <c r="C4" s="115"/>
      <c r="D4" s="115" t="str">
        <f>_xlfn.SINGLE(IF(L4="","",字段对应!$B$10&amp;"="&amp;VLOOKUP(L4,基础信息!$I$2:$J$6,2,0)&amp;";"))&amp;_xlfn.SINGLE(IF(M4="","",字段对应!$B$11&amp;"="&amp;VLOOKUP(M4,基础信息!$K$2:$L$6,2,0)&amp;";"))&amp;_xlfn.SINGLE(IF(N4="","",字段对应!$C$2&amp;"="&amp;N4&amp;","&amp;O4&amp;","&amp;P4&amp;";"))&amp;_xlfn.SINGLE(IF(Q4="","",字段对应!$B$13&amp;"="&amp;Q4&amp;";"))&amp;_xlfn.SINGLE(IF(R4="","",字段对应!$B$14&amp;"="&amp;R4&amp;";"))&amp;_xlfn.SINGLE(IF(U4="","",字段对应!$B$22&amp;"="&amp;U4&amp;";"))&amp;_xlfn.SINGLE(IF(K4="","",字段对应!$B$21&amp;"="&amp;VLOOKUP(K4,基础信息!$F$2:$G$4,2,0)))</f>
        <v>PhotoMode=0;ScanSpeed=2;WlRange=810,800,0.1;Slit1=2.0;</v>
      </c>
      <c r="E4" s="115" t="str">
        <f>_xlfn.SINGLE(IF(W4="","",检测项信息!W4&amp;":"&amp;字段对应!$B$16&amp;"|"))&amp;IF(X4="","",X4&amp;":"&amp;IF(V4="是",字段对应!$C$17,字段对应!$B$17&amp;";"&amp;_xlfn.SINGLE(IF(H4="","",字段对应!$B$15&amp;"="&amp;检测项信息!H4)))&amp;"|")&amp;_xlfn.SINGLE(IF(Y4="",":",Y4&amp;":"))&amp;IF(V4="是",字段对应!$C$18,字段对应!$B$18&amp;";"&amp;_xlfn.SINGLE(IF(H4="","",字段对应!$B$15&amp;"="&amp;检测项信息!H4))&amp;_xlfn.SINGLE(IF(AND(T4="",S4=""),"",";"&amp;字段对应!$B$20&amp;"="&amp;T4&amp;";"&amp;字段对应!$B$19&amp;"="&amp;S4)))</f>
        <v>黑挡块:Dark|空气:BaseLine|镨钕滤光片:Scan</v>
      </c>
      <c r="F4" s="115">
        <v>3</v>
      </c>
      <c r="G4" s="115">
        <v>1</v>
      </c>
      <c r="H4" s="115" t="s">
        <v>186</v>
      </c>
      <c r="I4" s="115" t="str">
        <f>VLOOKUP(J4,字段对应!$D$2:$E$8,2,0)</f>
        <v>Validation.ViewModel.DataStructure.FindPeakAndAverageUVTestTool</v>
      </c>
      <c r="J4" s="115" t="s">
        <v>249</v>
      </c>
      <c r="K4" s="120"/>
      <c r="L4" s="120" t="s">
        <v>138</v>
      </c>
      <c r="M4" s="120" t="s">
        <v>149</v>
      </c>
      <c r="N4" s="120">
        <v>810</v>
      </c>
      <c r="O4" s="120">
        <v>800</v>
      </c>
      <c r="P4" s="120">
        <v>0.1</v>
      </c>
      <c r="Q4" s="120"/>
      <c r="R4" s="120" t="s">
        <v>154</v>
      </c>
      <c r="S4" s="120"/>
      <c r="T4" s="120"/>
      <c r="U4" s="120"/>
      <c r="V4" s="115" t="s">
        <v>136</v>
      </c>
      <c r="W4" s="115" t="s">
        <v>252</v>
      </c>
      <c r="X4" s="115" t="s">
        <v>250</v>
      </c>
      <c r="Y4" s="115" t="s">
        <v>27</v>
      </c>
      <c r="Z4" s="115">
        <f>VLOOKUP(A4,对应信息!$D$2:$E$10,2,0)</f>
        <v>1000</v>
      </c>
      <c r="AA4" s="115">
        <f t="shared" si="0"/>
        <v>1003</v>
      </c>
      <c r="AB4" s="123"/>
    </row>
    <row r="5" ht="44.25" customHeight="1" spans="1:28">
      <c r="A5" s="115" t="s">
        <v>184</v>
      </c>
      <c r="B5" s="115" t="s">
        <v>36</v>
      </c>
      <c r="C5" s="115"/>
      <c r="D5" s="115" t="str">
        <f>_xlfn.SINGLE(IF(L5="","",字段对应!$B$10&amp;"="&amp;VLOOKUP(L5,基础信息!$I$2:$J$6,2,0)&amp;";"))&amp;_xlfn.SINGLE(IF(M5="","",字段对应!$B$11&amp;"="&amp;VLOOKUP(M5,基础信息!$K$2:$L$6,2,0)&amp;";"))&amp;_xlfn.SINGLE(IF(N5="","",字段对应!$C$2&amp;"="&amp;N5&amp;","&amp;O5&amp;","&amp;P5&amp;";"))&amp;_xlfn.SINGLE(IF(Q5="","",字段对应!$B$13&amp;"="&amp;Q5&amp;";"))&amp;_xlfn.SINGLE(IF(R5="","",字段对应!$B$14&amp;"="&amp;R5&amp;";"))&amp;_xlfn.SINGLE(IF(U5="","",字段对应!$B$22&amp;"="&amp;U5&amp;";"))&amp;_xlfn.SINGLE(IF(K5="","",字段对应!$B$21&amp;"="&amp;VLOOKUP(K5,基础信息!$F$2:$G$4,2,0)))</f>
        <v>PhotoMode=0;ScanSpeed=2;WlRange=645,235,0.1;Slit1=2.0;</v>
      </c>
      <c r="E5" s="115" t="str">
        <f>_xlfn.SINGLE(IF(W5="","",检测项信息!W5&amp;":"&amp;字段对应!$B$16&amp;"|"))&amp;IF(X5="","",X5&amp;":"&amp;IF(V5="是",字段对应!$C$17,字段对应!$B$17&amp;";"&amp;_xlfn.SINGLE(IF(H5="","",字段对应!$B$15&amp;"="&amp;检测项信息!H5)))&amp;"|")&amp;_xlfn.SINGLE(IF(Y5="",":",Y5&amp;":"))&amp;IF(V5="是",字段对应!$C$18,字段对应!$B$18&amp;";"&amp;_xlfn.SINGLE(IF(H5="","",字段对应!$B$15&amp;"="&amp;检测项信息!H5))&amp;_xlfn.SINGLE(IF(AND(T5="",S5=""),"",";"&amp;字段对应!$B$20&amp;"="&amp;T5&amp;";"&amp;字段对应!$B$19&amp;"="&amp;S5)))</f>
        <v>黑挡块:Dark|空气:BaseLine|钬溶液:Scan</v>
      </c>
      <c r="F5" s="115">
        <v>3</v>
      </c>
      <c r="G5" s="115">
        <v>1</v>
      </c>
      <c r="H5" s="115" t="s">
        <v>253</v>
      </c>
      <c r="I5" s="115" t="str">
        <f>VLOOKUP(J5,字段对应!$D$2:$E$8,2,0)</f>
        <v>Validation.ViewModel.DataStructure.FindPeakAndAverageUVTestTool</v>
      </c>
      <c r="J5" s="115" t="s">
        <v>249</v>
      </c>
      <c r="K5" s="120"/>
      <c r="L5" s="120" t="s">
        <v>138</v>
      </c>
      <c r="M5" s="120" t="s">
        <v>149</v>
      </c>
      <c r="N5" s="120">
        <v>645</v>
      </c>
      <c r="O5" s="120">
        <v>235</v>
      </c>
      <c r="P5" s="120">
        <v>0.1</v>
      </c>
      <c r="Q5" s="120"/>
      <c r="R5" s="120" t="s">
        <v>154</v>
      </c>
      <c r="S5" s="120"/>
      <c r="T5" s="120"/>
      <c r="U5" s="120"/>
      <c r="V5" s="115" t="s">
        <v>136</v>
      </c>
      <c r="W5" s="115" t="s">
        <v>252</v>
      </c>
      <c r="X5" s="115" t="s">
        <v>250</v>
      </c>
      <c r="Y5" s="115" t="s">
        <v>36</v>
      </c>
      <c r="Z5" s="115">
        <f>VLOOKUP(A5,对应信息!$D$2:$E$10,2,0)</f>
        <v>1000</v>
      </c>
      <c r="AA5" s="115">
        <f t="shared" si="0"/>
        <v>1004</v>
      </c>
      <c r="AB5" s="123"/>
    </row>
    <row r="6" ht="27" spans="1:28">
      <c r="A6" s="117" t="s">
        <v>204</v>
      </c>
      <c r="B6" s="115" t="s">
        <v>72</v>
      </c>
      <c r="C6" s="115"/>
      <c r="D6" s="115" t="str">
        <f>_xlfn.SINGLE(IF(L6="","",字段对应!$B$10&amp;"="&amp;VLOOKUP(L6,基础信息!$I$2:$J$6,2,0)&amp;";"))&amp;_xlfn.SINGLE(IF(M6="","",字段对应!$B$11&amp;"="&amp;VLOOKUP(M6,基础信息!$K$2:$L$6,2,0)&amp;";"))&amp;_xlfn.SINGLE(IF(N6="","",字段对应!$C$2&amp;"="&amp;N6&amp;","&amp;O6&amp;","&amp;P6&amp;";"))&amp;_xlfn.SINGLE(IF(Q6="","",字段对应!$B$13&amp;"="&amp;Q6&amp;";"))&amp;_xlfn.SINGLE(IF(R6="","",字段对应!$B$14&amp;"="&amp;R6&amp;";"))&amp;_xlfn.SINGLE(IF(U6="","",字段对应!$B$22&amp;"="&amp;U6&amp;";"))&amp;_xlfn.SINGLE(IF(K6="","",字段对应!$B$21&amp;"="&amp;VLOOKUP(K6,基础信息!$F$2:$G$4,2,0)))</f>
        <v>PhotoMode=2;ScanSpeed=2;WlRange=660,650,0.1;Gain=4;Slit1=2.0;LampPos=1</v>
      </c>
      <c r="E6" s="115" t="str">
        <f>_xlfn.SINGLE(IF(W6="","",检测项信息!W6&amp;":"&amp;字段对应!$B$16&amp;"|"))&amp;IF(X6="","",X6&amp;":"&amp;IF(V6="是",字段对应!$C$17,字段对应!$B$17&amp;";"&amp;_xlfn.SINGLE(IF(H6="","",字段对应!$B$15&amp;"="&amp;检测项信息!H6)))&amp;"|")&amp;_xlfn.SINGLE(IF(Y6="",":",Y6&amp;":"))&amp;IF(V6="是",字段对应!$C$18,字段对应!$B$18&amp;";"&amp;_xlfn.SINGLE(IF(H6="","",字段对应!$B$15&amp;"="&amp;检测项信息!H6))&amp;_xlfn.SINGLE(IF(AND(T6="",S6=""),"",";"&amp;字段对应!$B$20&amp;"="&amp;T6&amp;";"&amp;字段对应!$B$19&amp;"="&amp;S6)))</f>
        <v>空气:Scan</v>
      </c>
      <c r="F6" s="115">
        <v>1</v>
      </c>
      <c r="G6" s="115"/>
      <c r="H6" s="115">
        <v>656.1</v>
      </c>
      <c r="I6" s="115" t="str">
        <f>VLOOKUP(J6,字段对应!$D$2:$E$8,2,0)</f>
        <v>Validation.ViewModel.DataStructure.FindHalfPeakUVTestTool</v>
      </c>
      <c r="J6" s="115" t="s">
        <v>254</v>
      </c>
      <c r="K6" s="120" t="s">
        <v>28</v>
      </c>
      <c r="L6" s="120" t="s">
        <v>148</v>
      </c>
      <c r="M6" s="120" t="s">
        <v>149</v>
      </c>
      <c r="N6" s="120">
        <v>660</v>
      </c>
      <c r="O6" s="120">
        <v>650</v>
      </c>
      <c r="P6" s="120">
        <v>0.1</v>
      </c>
      <c r="Q6" s="120">
        <v>4</v>
      </c>
      <c r="R6" s="120" t="s">
        <v>154</v>
      </c>
      <c r="S6" s="120"/>
      <c r="T6" s="120"/>
      <c r="U6" s="120"/>
      <c r="V6" s="115" t="s">
        <v>136</v>
      </c>
      <c r="W6" s="115"/>
      <c r="X6" s="115"/>
      <c r="Y6" s="115" t="s">
        <v>250</v>
      </c>
      <c r="Z6" s="115">
        <f>VLOOKUP(A6,对应信息!$D$2:$E$10,2,0)</f>
        <v>6000</v>
      </c>
      <c r="AA6" s="115">
        <f t="shared" si="0"/>
        <v>6001</v>
      </c>
      <c r="AB6" s="123" t="s">
        <v>154</v>
      </c>
    </row>
    <row r="7" ht="27" spans="1:28">
      <c r="A7" s="115" t="s">
        <v>202</v>
      </c>
      <c r="B7" s="115" t="s">
        <v>64</v>
      </c>
      <c r="C7" s="115"/>
      <c r="D7" s="115" t="str">
        <f>_xlfn.SINGLE(IF(L7="","",字段对应!$B$10&amp;"="&amp;VLOOKUP(L7,基础信息!$I$2:$J$6,2,0)&amp;";"))&amp;_xlfn.SINGLE(IF(M7="","",字段对应!$B$11&amp;"="&amp;VLOOKUP(M7,基础信息!$K$2:$L$6,2,0)&amp;";"))&amp;_xlfn.SINGLE(IF(N7="","",字段对应!$C$2&amp;"="&amp;N7&amp;","&amp;O7&amp;","&amp;P7&amp;";"))&amp;_xlfn.SINGLE(IF(Q7="","",字段对应!$B$13&amp;"="&amp;Q7&amp;";"))&amp;_xlfn.SINGLE(IF(R7="","",字段对应!$B$14&amp;"="&amp;R7&amp;";"))&amp;_xlfn.SINGLE(IF(U7="","",字段对应!$B$22&amp;"="&amp;U7&amp;";"))&amp;_xlfn.SINGLE(IF(K7="","",字段对应!$B$21&amp;"="&amp;VLOOKUP(K7,基础信息!$F$2:$G$4,2,0)))</f>
        <v>PhotoMode=0;ScanSpeed=2;WlRange=1090,200,1;Slit1=2.0;</v>
      </c>
      <c r="E7" s="115" t="str">
        <f>_xlfn.SINGLE(IF(W7="","",检测项信息!W7&amp;":"&amp;字段对应!$B$16&amp;"|"))&amp;IF(X7="","",X7&amp;":"&amp;IF(V7="是",字段对应!$C$17,字段对应!$B$17&amp;";"&amp;_xlfn.SINGLE(IF(H7="","",字段对应!$B$15&amp;"="&amp;检测项信息!H7)))&amp;"|")&amp;_xlfn.SINGLE(IF(Y7="",":",Y7&amp;":"))&amp;IF(V7="是",字段对应!$C$18,字段对应!$B$18&amp;";"&amp;_xlfn.SINGLE(IF(H7="","",字段对应!$B$15&amp;"="&amp;检测项信息!H7))&amp;_xlfn.SINGLE(IF(AND(T7="",S7=""),"",";"&amp;字段对应!$B$20&amp;"="&amp;T7&amp;";"&amp;字段对应!$B$19&amp;"="&amp;S7)))</f>
        <v>黑挡块:Dark|空气:BaseLine|空气:Scan</v>
      </c>
      <c r="F7" s="115">
        <v>1</v>
      </c>
      <c r="G7" s="115"/>
      <c r="H7" s="115"/>
      <c r="I7" s="115" t="str">
        <f>VLOOKUP(J7,字段对应!$D$2:$E$8,2,0)</f>
        <v>Validation.ViewModel.DataStructure.GetMaxDIstanceUVTestTool</v>
      </c>
      <c r="J7" s="115" t="s">
        <v>255</v>
      </c>
      <c r="K7" s="120"/>
      <c r="L7" s="120" t="s">
        <v>138</v>
      </c>
      <c r="M7" s="120" t="s">
        <v>149</v>
      </c>
      <c r="N7" s="120">
        <v>1090</v>
      </c>
      <c r="O7" s="120">
        <v>200</v>
      </c>
      <c r="P7" s="120">
        <v>1</v>
      </c>
      <c r="Q7" s="120"/>
      <c r="R7" s="120" t="s">
        <v>154</v>
      </c>
      <c r="S7" s="120"/>
      <c r="T7" s="120"/>
      <c r="U7" s="120"/>
      <c r="V7" s="115" t="s">
        <v>136</v>
      </c>
      <c r="W7" s="115" t="s">
        <v>252</v>
      </c>
      <c r="X7" s="115" t="s">
        <v>250</v>
      </c>
      <c r="Y7" s="115" t="s">
        <v>250</v>
      </c>
      <c r="Z7" s="115">
        <f>VLOOKUP(A7,对应信息!$D$2:$E$10,2,0)</f>
        <v>4000</v>
      </c>
      <c r="AA7" s="115">
        <f t="shared" si="0"/>
        <v>4001</v>
      </c>
      <c r="AB7" s="123"/>
    </row>
    <row r="8" ht="37.5" customHeight="1" spans="1:28">
      <c r="A8" s="115" t="s">
        <v>203</v>
      </c>
      <c r="B8" s="115" t="s">
        <v>67</v>
      </c>
      <c r="C8" s="115"/>
      <c r="D8" s="115" t="str">
        <f>_xlfn.SINGLE(IF(L8="","",字段对应!$B$10&amp;"="&amp;VLOOKUP(L8,基础信息!$I$2:$J$6,2,0)&amp;";"))&amp;_xlfn.SINGLE(IF(M8="","",字段对应!$B$11&amp;"="&amp;VLOOKUP(M8,基础信息!$K$2:$L$6,2,0)&amp;";"))&amp;_xlfn.SINGLE(IF(N8="","",字段对应!$C$2&amp;"="&amp;N8&amp;","&amp;O8&amp;","&amp;P8&amp;";"))&amp;_xlfn.SINGLE(IF(Q8="","",字段对应!$B$13&amp;"="&amp;Q8&amp;";"))&amp;_xlfn.SINGLE(IF(R8="","",字段对应!$B$14&amp;"="&amp;R8&amp;";"))&amp;_xlfn.SINGLE(IF(U8="","",字段对应!$B$22&amp;"="&amp;U8&amp;";"))&amp;_xlfn.SINGLE(IF(K8="","",字段对应!$B$21&amp;"="&amp;VLOOKUP(K8,基础信息!$F$2:$G$4,2,0)))</f>
        <v>PhotoMode=1;ScanSpeed=2;WlRange=1090,200,1;Slit1=2.0;</v>
      </c>
      <c r="E8" s="115" t="str">
        <f>_xlfn.SINGLE(IF(W8="","",检测项信息!W8&amp;":"&amp;字段对应!$B$16&amp;"|"))&amp;IF(X8="","",X8&amp;":"&amp;IF(V8="是",字段对应!$C$17,字段对应!$B$17&amp;";"&amp;_xlfn.SINGLE(IF(H8="","",字段对应!$B$15&amp;"="&amp;检测项信息!H8)))&amp;"|")&amp;_xlfn.SINGLE(IF(Y8="",":",Y8&amp;":"))&amp;IF(V8="是",字段对应!$C$18,字段对应!$B$18&amp;";"&amp;_xlfn.SINGLE(IF(H8="","",字段对应!$B$15&amp;"="&amp;检测项信息!H8))&amp;_xlfn.SINGLE(IF(AND(T8="",S8=""),"",";"&amp;字段对应!$B$20&amp;"="&amp;T8&amp;";"&amp;字段对应!$B$19&amp;"="&amp;S8)))</f>
        <v>黑挡块:Dark|空气:BaseLine|黑挡块:Scan</v>
      </c>
      <c r="F8" s="115">
        <v>1</v>
      </c>
      <c r="G8" s="115"/>
      <c r="H8" s="115"/>
      <c r="I8" s="115" t="str">
        <f>VLOOKUP(J8,字段对应!$D$2:$E$8,2,0)</f>
        <v>Validation.ViewModel.DataStructure.GetMaxDIstanceUVTestTool</v>
      </c>
      <c r="J8" s="115" t="s">
        <v>255</v>
      </c>
      <c r="K8" s="120"/>
      <c r="L8" s="120" t="s">
        <v>143</v>
      </c>
      <c r="M8" s="120" t="s">
        <v>149</v>
      </c>
      <c r="N8" s="120">
        <v>1090</v>
      </c>
      <c r="O8" s="120">
        <v>200</v>
      </c>
      <c r="P8" s="120">
        <v>1</v>
      </c>
      <c r="Q8" s="120"/>
      <c r="R8" s="120" t="s">
        <v>154</v>
      </c>
      <c r="S8" s="120"/>
      <c r="T8" s="120"/>
      <c r="U8" s="120"/>
      <c r="V8" s="115" t="s">
        <v>136</v>
      </c>
      <c r="W8" s="115" t="s">
        <v>252</v>
      </c>
      <c r="X8" s="115" t="s">
        <v>250</v>
      </c>
      <c r="Y8" s="115" t="s">
        <v>252</v>
      </c>
      <c r="Z8" s="115">
        <f>VLOOKUP(A8,对应信息!$D$2:$E$10,2,0)</f>
        <v>5000</v>
      </c>
      <c r="AA8" s="115">
        <f t="shared" si="0"/>
        <v>5001</v>
      </c>
      <c r="AB8" s="123"/>
    </row>
    <row r="9" ht="51" customHeight="1" spans="1:28">
      <c r="A9" s="115" t="s">
        <v>205</v>
      </c>
      <c r="B9" s="115" t="s">
        <v>206</v>
      </c>
      <c r="C9" s="115"/>
      <c r="D9" s="115" t="str">
        <f>_xlfn.SINGLE(IF(L9="","",字段对应!$B$10&amp;"="&amp;VLOOKUP(L9,基础信息!$I$2:$J$6,2,0)&amp;";"))&amp;_xlfn.SINGLE(IF(M9="","",字段对应!$B$11&amp;"="&amp;VLOOKUP(M9,基础信息!$K$2:$L$6,2,0)&amp;";"))&amp;_xlfn.SINGLE(IF(N9="","",字段对应!$C$2&amp;"="&amp;N9&amp;","&amp;O9&amp;","&amp;P9&amp;";"))&amp;_xlfn.SINGLE(IF(Q9="","",字段对应!$B$13&amp;"="&amp;Q9&amp;";"))&amp;_xlfn.SINGLE(IF(R9="","",字段对应!$B$14&amp;"="&amp;R9&amp;";"))&amp;_xlfn.SINGLE(IF(U9="","",字段对应!$B$22&amp;"="&amp;U9&amp;";"))&amp;_xlfn.SINGLE(IF(K9="","",字段对应!$B$21&amp;"="&amp;VLOOKUP(K9,基础信息!$F$2:$G$4,2,0)))</f>
        <v>PhotoMode=1;ScanSpeed=2;Slit1=2.0;ResponseTime=1;</v>
      </c>
      <c r="E9" s="115" t="str">
        <f>_xlfn.SINGLE(IF(W9="","",检测项信息!W9&amp;":"&amp;字段对应!$B$16&amp;"|"))&amp;IF(X9="","",X9&amp;":"&amp;IF(V9="是",字段对应!$C$17,字段对应!$B$17&amp;";"&amp;_xlfn.SINGLE(IF(H9="","",字段对应!$B$15&amp;"="&amp;检测项信息!H9)))&amp;"|")&amp;_xlfn.SINGLE(IF(Y9="",":",Y9&amp;":"))&amp;IF(V9="是",字段对应!$C$18,字段对应!$B$18&amp;";"&amp;_xlfn.SINGLE(IF(H9="","",字段对应!$B$15&amp;"="&amp;检测项信息!H9))&amp;_xlfn.SINGLE(IF(AND(T9="",S9=""),"",";"&amp;字段对应!$B$20&amp;"="&amp;T9&amp;";"&amp;字段对应!$B$19&amp;"="&amp;S9)))</f>
        <v>黑挡块:Dark|空气:Zero;Wl=500|空气:Measure;Wl=500;totalcount=120;timeinterval=1</v>
      </c>
      <c r="F9" s="115">
        <v>1</v>
      </c>
      <c r="G9" s="115"/>
      <c r="H9" s="115">
        <v>500</v>
      </c>
      <c r="I9" s="115" t="str">
        <f>VLOOKUP(J9,字段对应!$D$2:$E$8,2,0)</f>
        <v>Validation.ViewModel.DataStructure.FindMaxOffsetUVTestTool</v>
      </c>
      <c r="J9" s="115" t="s">
        <v>256</v>
      </c>
      <c r="K9" s="120"/>
      <c r="L9" s="120" t="s">
        <v>143</v>
      </c>
      <c r="M9" s="120" t="s">
        <v>149</v>
      </c>
      <c r="N9" s="120"/>
      <c r="O9" s="120"/>
      <c r="P9" s="120"/>
      <c r="Q9" s="120"/>
      <c r="R9" s="120" t="s">
        <v>154</v>
      </c>
      <c r="S9" s="120">
        <v>1</v>
      </c>
      <c r="T9" s="120">
        <v>120</v>
      </c>
      <c r="U9" s="120">
        <v>1</v>
      </c>
      <c r="V9" s="115" t="s">
        <v>141</v>
      </c>
      <c r="W9" s="115" t="s">
        <v>252</v>
      </c>
      <c r="X9" s="115" t="s">
        <v>250</v>
      </c>
      <c r="Y9" s="115" t="s">
        <v>250</v>
      </c>
      <c r="Z9" s="115">
        <f>VLOOKUP(A9,对应信息!$D$2:$E$10,2,0)</f>
        <v>7000</v>
      </c>
      <c r="AA9" s="115">
        <f t="shared" si="0"/>
        <v>7001</v>
      </c>
      <c r="AB9" s="123"/>
    </row>
    <row r="10" ht="40.5" spans="1:28">
      <c r="A10" s="115" t="s">
        <v>205</v>
      </c>
      <c r="B10" s="115" t="s">
        <v>207</v>
      </c>
      <c r="C10" s="115"/>
      <c r="D10" s="115" t="str">
        <f>_xlfn.SINGLE(IF(L10="","",字段对应!$B$10&amp;"="&amp;VLOOKUP(L10,基础信息!$I$2:$J$6,2,0)&amp;";"))&amp;_xlfn.SINGLE(IF(M10="","",字段对应!$B$11&amp;"="&amp;VLOOKUP(M10,基础信息!$K$2:$L$6,2,0)&amp;";"))&amp;_xlfn.SINGLE(IF(N10="","",字段对应!$C$2&amp;"="&amp;N10&amp;","&amp;O10&amp;","&amp;P10&amp;";"))&amp;_xlfn.SINGLE(IF(Q10="","",字段对应!$B$13&amp;"="&amp;Q10&amp;";"))&amp;_xlfn.SINGLE(IF(R10="","",字段对应!$B$14&amp;"="&amp;R10&amp;";"))&amp;_xlfn.SINGLE(IF(U10="","",字段对应!$B$22&amp;"="&amp;U10&amp;";"))&amp;_xlfn.SINGLE(IF(K10="","",字段对应!$B$21&amp;"="&amp;VLOOKUP(K10,基础信息!$F$2:$G$4,2,0)))</f>
        <v>PhotoMode=1;ScanSpeed=2;Slit1=2.0;ResponseTime=1;</v>
      </c>
      <c r="E10" s="115" t="str">
        <f>_xlfn.SINGLE(IF(W10="","",检测项信息!W10&amp;":"&amp;字段对应!$B$16&amp;"|"))&amp;IF(X10="","",X10&amp;":"&amp;IF(V10="是",字段对应!$C$17,字段对应!$B$17&amp;";"&amp;_xlfn.SINGLE(IF(H10="","",字段对应!$B$15&amp;"="&amp;检测项信息!H10)))&amp;"|")&amp;_xlfn.SINGLE(IF(Y10="",":",Y10&amp;":"))&amp;IF(V10="是",字段对应!$C$18,字段对应!$B$18&amp;";"&amp;_xlfn.SINGLE(IF(H10="","",字段对应!$B$15&amp;"="&amp;检测项信息!H10))&amp;_xlfn.SINGLE(IF(AND(T10="",S10=""),"",";"&amp;字段对应!$B$20&amp;"="&amp;T10&amp;";"&amp;字段对应!$B$19&amp;"="&amp;S10)))</f>
        <v>黑挡块:Dark|空气:Zero;Wl=500|黑挡块:Measure;Wl=500;totalcount=120;timeinterval=1</v>
      </c>
      <c r="F10" s="115">
        <v>1</v>
      </c>
      <c r="G10" s="115"/>
      <c r="H10" s="115">
        <v>500</v>
      </c>
      <c r="I10" s="115" t="str">
        <f>VLOOKUP(J10,字段对应!$D$2:$E$8,2,0)</f>
        <v>Validation.ViewModel.DataStructure.FindMaxOffsetUVTestTool</v>
      </c>
      <c r="J10" s="115" t="s">
        <v>256</v>
      </c>
      <c r="K10" s="120"/>
      <c r="L10" s="120" t="s">
        <v>143</v>
      </c>
      <c r="M10" s="120" t="s">
        <v>149</v>
      </c>
      <c r="N10" s="120"/>
      <c r="O10" s="120"/>
      <c r="P10" s="120"/>
      <c r="Q10" s="120"/>
      <c r="R10" s="120" t="s">
        <v>154</v>
      </c>
      <c r="S10" s="120">
        <v>1</v>
      </c>
      <c r="T10" s="120">
        <v>120</v>
      </c>
      <c r="U10" s="120">
        <v>1</v>
      </c>
      <c r="V10" s="115" t="s">
        <v>141</v>
      </c>
      <c r="W10" s="115" t="s">
        <v>252</v>
      </c>
      <c r="X10" s="115" t="s">
        <v>250</v>
      </c>
      <c r="Y10" s="115" t="s">
        <v>252</v>
      </c>
      <c r="Z10" s="115">
        <f>VLOOKUP(A10,对应信息!$D$2:$E$10,2,0)</f>
        <v>7000</v>
      </c>
      <c r="AA10" s="115">
        <f t="shared" si="0"/>
        <v>7002</v>
      </c>
      <c r="AB10" s="123"/>
    </row>
    <row r="11" ht="40.5" spans="1:28">
      <c r="A11" s="115" t="s">
        <v>205</v>
      </c>
      <c r="B11" s="115" t="s">
        <v>208</v>
      </c>
      <c r="C11" s="115"/>
      <c r="D11" s="115" t="str">
        <f>_xlfn.SINGLE(IF(L11="","",字段对应!$B$10&amp;"="&amp;VLOOKUP(L11,基础信息!$I$2:$J$6,2,0)&amp;";"))&amp;_xlfn.SINGLE(IF(M11="","",字段对应!$B$11&amp;"="&amp;VLOOKUP(M11,基础信息!$K$2:$L$6,2,0)&amp;";"))&amp;_xlfn.SINGLE(IF(N11="","",字段对应!$C$2&amp;"="&amp;N11&amp;","&amp;O11&amp;","&amp;P11&amp;";"))&amp;_xlfn.SINGLE(IF(Q11="","",字段对应!$B$13&amp;"="&amp;Q11&amp;";"))&amp;_xlfn.SINGLE(IF(R11="","",字段对应!$B$14&amp;"="&amp;R11&amp;";"))&amp;_xlfn.SINGLE(IF(U11="","",字段对应!$B$22&amp;"="&amp;U11&amp;";"))&amp;_xlfn.SINGLE(IF(K11="","",字段对应!$B$21&amp;"="&amp;VLOOKUP(K11,基础信息!$F$2:$G$4,2,0)))</f>
        <v>PhotoMode=1;ScanSpeed=2;Slit1=2.0;ResponseTime=1;</v>
      </c>
      <c r="E11" s="115" t="str">
        <f>_xlfn.SINGLE(IF(W11="","",检测项信息!W11&amp;":"&amp;字段对应!$B$16&amp;"|"))&amp;IF(X11="","",X11&amp;":"&amp;IF(V11="是",字段对应!$C$17,字段对应!$B$17&amp;";"&amp;_xlfn.SINGLE(IF(H11="","",字段对应!$B$15&amp;"="&amp;检测项信息!H11)))&amp;"|")&amp;_xlfn.SINGLE(IF(Y11="",":",Y11&amp;":"))&amp;IF(V11="是",字段对应!$C$18,字段对应!$B$18&amp;";"&amp;_xlfn.SINGLE(IF(H11="","",字段对应!$B$15&amp;"="&amp;检测项信息!H11))&amp;_xlfn.SINGLE(IF(AND(T11="",S11=""),"",";"&amp;字段对应!$B$20&amp;"="&amp;T11&amp;";"&amp;字段对应!$B$19&amp;"="&amp;S11)))</f>
        <v>黑挡块:Dark|空气:Zero;Wl=250|空气:Measure;Wl=250;totalcount=120;timeinterval=1</v>
      </c>
      <c r="F11" s="115">
        <v>1</v>
      </c>
      <c r="G11" s="115"/>
      <c r="H11" s="115">
        <v>250</v>
      </c>
      <c r="I11" s="115" t="str">
        <f>VLOOKUP(J11,字段对应!$D$2:$E$8,2,0)</f>
        <v>Validation.ViewModel.DataStructure.FindMaxOffsetUVTestTool</v>
      </c>
      <c r="J11" s="115" t="s">
        <v>256</v>
      </c>
      <c r="K11" s="120"/>
      <c r="L11" s="120" t="s">
        <v>143</v>
      </c>
      <c r="M11" s="120" t="s">
        <v>149</v>
      </c>
      <c r="N11" s="120"/>
      <c r="O11" s="120"/>
      <c r="P11" s="120"/>
      <c r="Q11" s="120"/>
      <c r="R11" s="120" t="s">
        <v>154</v>
      </c>
      <c r="S11" s="120">
        <v>1</v>
      </c>
      <c r="T11" s="120">
        <v>120</v>
      </c>
      <c r="U11" s="120">
        <v>1</v>
      </c>
      <c r="V11" s="115" t="s">
        <v>141</v>
      </c>
      <c r="W11" s="115" t="s">
        <v>252</v>
      </c>
      <c r="X11" s="115" t="s">
        <v>250</v>
      </c>
      <c r="Y11" s="115" t="s">
        <v>250</v>
      </c>
      <c r="Z11" s="115">
        <f>VLOOKUP(A11,对应信息!$D$2:$E$10,2,0)</f>
        <v>7000</v>
      </c>
      <c r="AA11" s="115">
        <f t="shared" si="0"/>
        <v>7003</v>
      </c>
      <c r="AB11" s="123"/>
    </row>
    <row r="12" ht="40.5" spans="1:28">
      <c r="A12" s="115" t="s">
        <v>205</v>
      </c>
      <c r="B12" s="115" t="s">
        <v>209</v>
      </c>
      <c r="C12" s="115"/>
      <c r="D12" s="115" t="str">
        <f>_xlfn.SINGLE(IF(L12="","",字段对应!$B$10&amp;"="&amp;VLOOKUP(L12,基础信息!$I$2:$J$6,2,0)&amp;";"))&amp;_xlfn.SINGLE(IF(M12="","",字段对应!$B$11&amp;"="&amp;VLOOKUP(M12,基础信息!$K$2:$L$6,2,0)&amp;";"))&amp;_xlfn.SINGLE(IF(N12="","",字段对应!$C$2&amp;"="&amp;N12&amp;","&amp;O12&amp;","&amp;P12&amp;";"))&amp;_xlfn.SINGLE(IF(Q12="","",字段对应!$B$13&amp;"="&amp;Q12&amp;";"))&amp;_xlfn.SINGLE(IF(R12="","",字段对应!$B$14&amp;"="&amp;R12&amp;";"))&amp;_xlfn.SINGLE(IF(U12="","",字段对应!$B$22&amp;"="&amp;U12&amp;";"))&amp;_xlfn.SINGLE(IF(K12="","",字段对应!$B$21&amp;"="&amp;VLOOKUP(K12,基础信息!$F$2:$G$4,2,0)))</f>
        <v>PhotoMode=1;ScanSpeed=2;Slit1=2.0;ResponseTime=1;</v>
      </c>
      <c r="E12" s="115" t="str">
        <f>_xlfn.SINGLE(IF(W12="","",检测项信息!W12&amp;":"&amp;字段对应!$B$16&amp;"|"))&amp;IF(X12="","",X12&amp;":"&amp;IF(V12="是",字段对应!$C$17,字段对应!$B$17&amp;";"&amp;_xlfn.SINGLE(IF(H12="","",字段对应!$B$15&amp;"="&amp;检测项信息!H12)))&amp;"|")&amp;_xlfn.SINGLE(IF(Y12="",":",Y12&amp;":"))&amp;IF(V12="是",字段对应!$C$18,字段对应!$B$18&amp;";"&amp;_xlfn.SINGLE(IF(H12="","",字段对应!$B$15&amp;"="&amp;检测项信息!H12))&amp;_xlfn.SINGLE(IF(AND(T12="",S12=""),"",";"&amp;字段对应!$B$20&amp;"="&amp;T12&amp;";"&amp;字段对应!$B$19&amp;"="&amp;S12)))</f>
        <v>黑挡块:Dark|空气:Zero;Wl=250|黑挡块:Measure;Wl=250;totalcount=120;timeinterval=1</v>
      </c>
      <c r="F12" s="115">
        <v>1</v>
      </c>
      <c r="G12" s="115"/>
      <c r="H12" s="115">
        <v>250</v>
      </c>
      <c r="I12" s="115" t="str">
        <f>VLOOKUP(J12,字段对应!$D$2:$E$8,2,0)</f>
        <v>Validation.ViewModel.DataStructure.FindMaxOffsetUVTestTool</v>
      </c>
      <c r="J12" s="115" t="s">
        <v>256</v>
      </c>
      <c r="K12" s="120"/>
      <c r="L12" s="120" t="s">
        <v>143</v>
      </c>
      <c r="M12" s="120" t="s">
        <v>149</v>
      </c>
      <c r="N12" s="120"/>
      <c r="O12" s="120"/>
      <c r="P12" s="120"/>
      <c r="Q12" s="120"/>
      <c r="R12" s="120" t="s">
        <v>154</v>
      </c>
      <c r="S12" s="120">
        <v>1</v>
      </c>
      <c r="T12" s="120">
        <v>120</v>
      </c>
      <c r="U12" s="120">
        <v>1</v>
      </c>
      <c r="V12" s="115" t="s">
        <v>141</v>
      </c>
      <c r="W12" s="115" t="s">
        <v>252</v>
      </c>
      <c r="X12" s="115" t="s">
        <v>250</v>
      </c>
      <c r="Y12" s="115" t="s">
        <v>252</v>
      </c>
      <c r="Z12" s="115">
        <f>VLOOKUP(A12,对应信息!$D$2:$E$10,2,0)</f>
        <v>7000</v>
      </c>
      <c r="AA12" s="115">
        <f t="shared" si="0"/>
        <v>7004</v>
      </c>
      <c r="AB12" s="123"/>
    </row>
    <row r="13" ht="54" spans="1:28">
      <c r="A13" s="115" t="s">
        <v>210</v>
      </c>
      <c r="B13" s="115" t="s">
        <v>211</v>
      </c>
      <c r="C13" s="115"/>
      <c r="D13" s="115" t="str">
        <f>_xlfn.SINGLE(IF(L13="","",字段对应!$B$10&amp;"="&amp;VLOOKUP(L13,基础信息!$I$2:$J$6,2,0)&amp;";"))&amp;_xlfn.SINGLE(IF(M13="","",字段对应!$B$11&amp;"="&amp;VLOOKUP(M13,基础信息!$K$2:$L$6,2,0)&amp;";"))&amp;_xlfn.SINGLE(IF(N13="","",字段对应!$C$2&amp;"="&amp;N13&amp;","&amp;O13&amp;","&amp;P13&amp;";"))&amp;_xlfn.SINGLE(IF(Q13="","",字段对应!$B$13&amp;"="&amp;Q13&amp;";"))&amp;_xlfn.SINGLE(IF(R13="","",字段对应!$B$14&amp;"="&amp;R13&amp;";"))&amp;_xlfn.SINGLE(IF(U13="","",字段对应!$B$22&amp;"="&amp;U13&amp;";"))&amp;_xlfn.SINGLE(IF(K13="","",字段对应!$B$21&amp;"="&amp;VLOOKUP(K13,基础信息!$F$2:$G$4,2,0)))</f>
        <v>PhotoMode=1;ScanSpeed=2;Slit1=2.0;ResponseTime=1;</v>
      </c>
      <c r="E13" s="115" t="str">
        <f>_xlfn.SINGLE(IF(W13="","",检测项信息!W13&amp;":"&amp;字段对应!$B$16&amp;"|"))&amp;IF(X13="","",X13&amp;":"&amp;IF(V13="是",字段对应!$C$17,字段对应!$B$17&amp;";"&amp;_xlfn.SINGLE(IF(H13="","",字段对应!$B$15&amp;"="&amp;检测项信息!H13)))&amp;"|")&amp;_xlfn.SINGLE(IF(Y13="",":",Y13&amp;":"))&amp;IF(V13="是",字段对应!$C$18,字段对应!$B$18&amp;";"&amp;_xlfn.SINGLE(IF(H13="","",字段对应!$B$15&amp;"="&amp;检测项信息!H13))&amp;_xlfn.SINGLE(IF(AND(T13="",S13=""),"",";"&amp;字段对应!$B$20&amp;"="&amp;T13&amp;";"&amp;字段对应!$B$19&amp;"="&amp;S13)))</f>
        <v>黑挡块:Dark|空气:Zero;Wl=1090|空气:Measure;Wl=1090;totalcount=180;timeinterval=1</v>
      </c>
      <c r="F13" s="115">
        <v>1</v>
      </c>
      <c r="G13" s="115"/>
      <c r="H13" s="115">
        <v>1090</v>
      </c>
      <c r="I13" s="115" t="str">
        <f>VLOOKUP(J13,字段对应!$D$2:$E$8,2,0)</f>
        <v>Validation.ViewModel.DataStructure.FindMaxOffsetUVTestTool</v>
      </c>
      <c r="J13" s="115" t="s">
        <v>256</v>
      </c>
      <c r="K13" s="120"/>
      <c r="L13" s="120" t="s">
        <v>143</v>
      </c>
      <c r="M13" s="120" t="s">
        <v>149</v>
      </c>
      <c r="N13" s="120"/>
      <c r="O13" s="120"/>
      <c r="P13" s="120"/>
      <c r="Q13" s="120"/>
      <c r="R13" s="120" t="s">
        <v>154</v>
      </c>
      <c r="S13" s="120">
        <v>1</v>
      </c>
      <c r="T13" s="120">
        <v>180</v>
      </c>
      <c r="U13" s="120">
        <v>1</v>
      </c>
      <c r="V13" s="115" t="s">
        <v>141</v>
      </c>
      <c r="W13" s="115" t="s">
        <v>252</v>
      </c>
      <c r="X13" s="115" t="s">
        <v>250</v>
      </c>
      <c r="Y13" s="115" t="s">
        <v>250</v>
      </c>
      <c r="Z13" s="115">
        <f>VLOOKUP(A13,对应信息!$D$2:$E$10,2,0)</f>
        <v>8000</v>
      </c>
      <c r="AA13" s="115">
        <f t="shared" si="0"/>
        <v>8001</v>
      </c>
      <c r="AB13" s="123"/>
    </row>
    <row r="14" ht="54" spans="1:28">
      <c r="A14" s="115" t="s">
        <v>210</v>
      </c>
      <c r="B14" s="115" t="s">
        <v>212</v>
      </c>
      <c r="C14" s="115"/>
      <c r="D14" s="115" t="str">
        <f>_xlfn.SINGLE(IF(L14="","",字段对应!$B$10&amp;"="&amp;VLOOKUP(L14,基础信息!$I$2:$J$6,2,0)&amp;";"))&amp;_xlfn.SINGLE(IF(M14="","",字段对应!$B$11&amp;"="&amp;VLOOKUP(M14,基础信息!$K$2:$L$6,2,0)&amp;";"))&amp;_xlfn.SINGLE(IF(N14="","",字段对应!$C$2&amp;"="&amp;N14&amp;","&amp;O14&amp;","&amp;P14&amp;";"))&amp;_xlfn.SINGLE(IF(Q14="","",字段对应!$B$13&amp;"="&amp;Q14&amp;";"))&amp;_xlfn.SINGLE(IF(R14="","",字段对应!$B$14&amp;"="&amp;R14&amp;";"))&amp;_xlfn.SINGLE(IF(U14="","",字段对应!$B$22&amp;"="&amp;U14&amp;";"))&amp;_xlfn.SINGLE(IF(K14="","",字段对应!$B$21&amp;"="&amp;VLOOKUP(K14,基础信息!$F$2:$G$4,2,0)))</f>
        <v>PhotoMode=1;ScanSpeed=2;Slit1=2.0;ResponseTime=1;</v>
      </c>
      <c r="E14" s="115" t="str">
        <f>_xlfn.SINGLE(IF(W14="","",检测项信息!W14&amp;":"&amp;字段对应!$B$16&amp;"|"))&amp;IF(X14="","",X14&amp;":"&amp;IF(V14="是",字段对应!$C$17,字段对应!$B$17&amp;";"&amp;_xlfn.SINGLE(IF(H14="","",字段对应!$B$15&amp;"="&amp;检测项信息!H14)))&amp;"|")&amp;_xlfn.SINGLE(IF(Y14="",":",Y14&amp;":"))&amp;IF(V14="是",字段对应!$C$18,字段对应!$B$18&amp;";"&amp;_xlfn.SINGLE(IF(H14="","",字段对应!$B$15&amp;"="&amp;检测项信息!H14))&amp;_xlfn.SINGLE(IF(AND(T14="",S14=""),"",";"&amp;字段对应!$B$20&amp;"="&amp;T14&amp;";"&amp;字段对应!$B$19&amp;"="&amp;S14)))</f>
        <v>黑挡块:Dark|空气:Zero;Wl=1090|黑挡块:Measure;Wl=1090;totalcount=180;timeinterval=1</v>
      </c>
      <c r="F14" s="115">
        <v>1</v>
      </c>
      <c r="G14" s="115"/>
      <c r="H14" s="115">
        <v>1090</v>
      </c>
      <c r="I14" s="115" t="str">
        <f>VLOOKUP(J14,字段对应!$D$2:$E$8,2,0)</f>
        <v>Validation.ViewModel.DataStructure.FindMaxOffsetUVTestTool</v>
      </c>
      <c r="J14" s="115" t="s">
        <v>256</v>
      </c>
      <c r="K14" s="120"/>
      <c r="L14" s="120" t="s">
        <v>143</v>
      </c>
      <c r="M14" s="120" t="s">
        <v>149</v>
      </c>
      <c r="N14" s="120"/>
      <c r="O14" s="120"/>
      <c r="P14" s="120"/>
      <c r="Q14" s="120"/>
      <c r="R14" s="120" t="s">
        <v>154</v>
      </c>
      <c r="S14" s="120">
        <v>1</v>
      </c>
      <c r="T14" s="120">
        <v>180</v>
      </c>
      <c r="U14" s="120">
        <v>1</v>
      </c>
      <c r="V14" s="115" t="s">
        <v>141</v>
      </c>
      <c r="W14" s="115" t="s">
        <v>252</v>
      </c>
      <c r="X14" s="115" t="s">
        <v>250</v>
      </c>
      <c r="Y14" s="115" t="s">
        <v>252</v>
      </c>
      <c r="Z14" s="115">
        <f>VLOOKUP(A14,对应信息!$D$2:$E$10,2,0)</f>
        <v>8000</v>
      </c>
      <c r="AA14" s="115">
        <f t="shared" si="0"/>
        <v>8002</v>
      </c>
      <c r="AB14" s="123"/>
    </row>
    <row r="15" ht="40.5" spans="1:28">
      <c r="A15" s="115" t="s">
        <v>210</v>
      </c>
      <c r="B15" s="115" t="s">
        <v>213</v>
      </c>
      <c r="C15" s="115"/>
      <c r="D15" s="115" t="str">
        <f>_xlfn.SINGLE(IF(L15="","",字段对应!$B$10&amp;"="&amp;VLOOKUP(L15,基础信息!$I$2:$J$6,2,0)&amp;";"))&amp;_xlfn.SINGLE(IF(M15="","",字段对应!$B$11&amp;"="&amp;VLOOKUP(M15,基础信息!$K$2:$L$6,2,0)&amp;";"))&amp;_xlfn.SINGLE(IF(N15="","",字段对应!$C$2&amp;"="&amp;N15&amp;","&amp;O15&amp;","&amp;P15&amp;";"))&amp;_xlfn.SINGLE(IF(Q15="","",字段对应!$B$13&amp;"="&amp;Q15&amp;";"))&amp;_xlfn.SINGLE(IF(R15="","",字段对应!$B$14&amp;"="&amp;R15&amp;";"))&amp;_xlfn.SINGLE(IF(U15="","",字段对应!$B$22&amp;"="&amp;U15&amp;";"))&amp;_xlfn.SINGLE(IF(K15="","",字段对应!$B$21&amp;"="&amp;VLOOKUP(K15,基础信息!$F$2:$G$4,2,0)))</f>
        <v>PhotoMode=1;ScanSpeed=2;Slit1=2.0;ResponseTime=1;</v>
      </c>
      <c r="E15" s="115" t="str">
        <f>_xlfn.SINGLE(IF(W15="","",检测项信息!W15&amp;":"&amp;字段对应!$B$16&amp;"|"))&amp;IF(X15="","",X15&amp;":"&amp;IF(V15="是",字段对应!$C$17,字段对应!$B$17&amp;";"&amp;_xlfn.SINGLE(IF(H15="","",字段对应!$B$15&amp;"="&amp;检测项信息!H15)))&amp;"|")&amp;_xlfn.SINGLE(IF(Y15="",":",Y15&amp;":"))&amp;IF(V15="是",字段对应!$C$18,字段对应!$B$18&amp;";"&amp;_xlfn.SINGLE(IF(H15="","",字段对应!$B$15&amp;"="&amp;检测项信息!H15))&amp;_xlfn.SINGLE(IF(AND(T15="",S15=""),"",";"&amp;字段对应!$B$20&amp;"="&amp;T15&amp;";"&amp;字段对应!$B$19&amp;"="&amp;S15)))</f>
        <v>黑挡块:Dark|空气:Zero;Wl=200|空气:Measure;Wl=200;totalcount=180;timeinterval=1</v>
      </c>
      <c r="F15" s="115">
        <v>1</v>
      </c>
      <c r="G15" s="115"/>
      <c r="H15" s="115">
        <v>200</v>
      </c>
      <c r="I15" s="115" t="str">
        <f>VLOOKUP(J15,字段对应!$D$2:$E$8,2,0)</f>
        <v>Validation.ViewModel.DataStructure.FindMaxOffsetUVTestTool</v>
      </c>
      <c r="J15" s="115" t="s">
        <v>256</v>
      </c>
      <c r="K15" s="120"/>
      <c r="L15" s="120" t="s">
        <v>143</v>
      </c>
      <c r="M15" s="120" t="s">
        <v>149</v>
      </c>
      <c r="N15" s="120"/>
      <c r="O15" s="120"/>
      <c r="P15" s="120"/>
      <c r="Q15" s="120"/>
      <c r="R15" s="120" t="s">
        <v>154</v>
      </c>
      <c r="S15" s="120">
        <v>1</v>
      </c>
      <c r="T15" s="120">
        <v>180</v>
      </c>
      <c r="U15" s="120">
        <v>1</v>
      </c>
      <c r="V15" s="115" t="s">
        <v>141</v>
      </c>
      <c r="W15" s="115" t="s">
        <v>252</v>
      </c>
      <c r="X15" s="115" t="s">
        <v>250</v>
      </c>
      <c r="Y15" s="115" t="s">
        <v>250</v>
      </c>
      <c r="Z15" s="115">
        <f>VLOOKUP(A15,对应信息!$D$2:$E$10,2,0)</f>
        <v>8000</v>
      </c>
      <c r="AA15" s="115">
        <f t="shared" si="0"/>
        <v>8003</v>
      </c>
      <c r="AB15" s="123"/>
    </row>
    <row r="16" ht="40.5" spans="1:28">
      <c r="A16" s="115" t="s">
        <v>210</v>
      </c>
      <c r="B16" s="115" t="s">
        <v>214</v>
      </c>
      <c r="C16" s="115"/>
      <c r="D16" s="115" t="str">
        <f>_xlfn.SINGLE(IF(L16="","",字段对应!$B$10&amp;"="&amp;VLOOKUP(L16,基础信息!$I$2:$J$6,2,0)&amp;";"))&amp;_xlfn.SINGLE(IF(M16="","",字段对应!$B$11&amp;"="&amp;VLOOKUP(M16,基础信息!$K$2:$L$6,2,0)&amp;";"))&amp;_xlfn.SINGLE(IF(N16="","",字段对应!$C$2&amp;"="&amp;N16&amp;","&amp;O16&amp;","&amp;P16&amp;";"))&amp;_xlfn.SINGLE(IF(Q16="","",字段对应!$B$13&amp;"="&amp;Q16&amp;";"))&amp;_xlfn.SINGLE(IF(R16="","",字段对应!$B$14&amp;"="&amp;R16&amp;";"))&amp;_xlfn.SINGLE(IF(U16="","",字段对应!$B$22&amp;"="&amp;U16&amp;";"))&amp;_xlfn.SINGLE(IF(K16="","",字段对应!$B$21&amp;"="&amp;VLOOKUP(K16,基础信息!$F$2:$G$4,2,0)))</f>
        <v>PhotoMode=1;ScanSpeed=2;Slit1=2.0;ResponseTime=1;</v>
      </c>
      <c r="E16" s="115" t="str">
        <f>_xlfn.SINGLE(IF(W16="","",检测项信息!W16&amp;":"&amp;字段对应!$B$16&amp;"|"))&amp;IF(X16="","",X16&amp;":"&amp;IF(V16="是",字段对应!$C$17,字段对应!$B$17&amp;";"&amp;_xlfn.SINGLE(IF(H16="","",字段对应!$B$15&amp;"="&amp;检测项信息!H16)))&amp;"|")&amp;_xlfn.SINGLE(IF(Y16="",":",Y16&amp;":"))&amp;IF(V16="是",字段对应!$C$18,字段对应!$B$18&amp;";"&amp;_xlfn.SINGLE(IF(H16="","",字段对应!$B$15&amp;"="&amp;检测项信息!H16))&amp;_xlfn.SINGLE(IF(AND(T16="",S16=""),"",";"&amp;字段对应!$B$20&amp;"="&amp;T16&amp;";"&amp;字段对应!$B$19&amp;"="&amp;S16)))</f>
        <v>黑挡块:Dark|空气:Zero;Wl=200|黑挡块:Measure;Wl=200;totalcount=180;timeinterval=1</v>
      </c>
      <c r="F16" s="115">
        <v>1</v>
      </c>
      <c r="G16" s="115"/>
      <c r="H16" s="115">
        <v>200</v>
      </c>
      <c r="I16" s="115" t="str">
        <f>VLOOKUP(J16,字段对应!$D$2:$E$8,2,0)</f>
        <v>Validation.ViewModel.DataStructure.FindMaxOffsetUVTestTool</v>
      </c>
      <c r="J16" s="115" t="s">
        <v>256</v>
      </c>
      <c r="K16" s="120"/>
      <c r="L16" s="120" t="s">
        <v>143</v>
      </c>
      <c r="M16" s="120" t="s">
        <v>149</v>
      </c>
      <c r="N16" s="120"/>
      <c r="O16" s="120"/>
      <c r="P16" s="120"/>
      <c r="Q16" s="120"/>
      <c r="R16" s="120" t="s">
        <v>154</v>
      </c>
      <c r="S16" s="120">
        <v>1</v>
      </c>
      <c r="T16" s="120">
        <v>180</v>
      </c>
      <c r="U16" s="120">
        <v>1</v>
      </c>
      <c r="V16" s="115" t="s">
        <v>141</v>
      </c>
      <c r="W16" s="115" t="s">
        <v>252</v>
      </c>
      <c r="X16" s="115" t="s">
        <v>250</v>
      </c>
      <c r="Y16" s="115" t="s">
        <v>252</v>
      </c>
      <c r="Z16" s="115">
        <f>VLOOKUP(A16,对应信息!$D$2:$E$10,2,0)</f>
        <v>8000</v>
      </c>
      <c r="AA16" s="115">
        <f t="shared" si="0"/>
        <v>8004</v>
      </c>
      <c r="AB16" s="123"/>
    </row>
    <row r="17" ht="39.75" customHeight="1" spans="1:28">
      <c r="A17" s="115" t="s">
        <v>201</v>
      </c>
      <c r="B17" s="115" t="s">
        <v>257</v>
      </c>
      <c r="C17" s="115"/>
      <c r="D17" s="115" t="str">
        <f>_xlfn.SINGLE(IF(L17="","",字段对应!$B$10&amp;"="&amp;VLOOKUP(L17,基础信息!$I$2:$J$6,2,0)&amp;";"))&amp;_xlfn.SINGLE(IF(M17="","",字段对应!$B$11&amp;"="&amp;VLOOKUP(M17,基础信息!$K$2:$L$6,2,0)&amp;";"))&amp;_xlfn.SINGLE(IF(N17="","",字段对应!$C$2&amp;"="&amp;N17&amp;","&amp;O17&amp;","&amp;P17&amp;";"))&amp;_xlfn.SINGLE(IF(Q17="","",字段对应!$B$13&amp;"="&amp;Q17&amp;";"))&amp;_xlfn.SINGLE(IF(R17="","",字段对应!$B$14&amp;"="&amp;R17&amp;";"))&amp;_xlfn.SINGLE(IF(U17="","",字段对应!$B$22&amp;"="&amp;U17&amp;";"))&amp;_xlfn.SINGLE(IF(K17="","",字段对应!$B$21&amp;"="&amp;VLOOKUP(K17,基础信息!$F$2:$G$4,2,0)))</f>
        <v>PhotoMode=1;ScanSpeed=2;Slit1=2.0;</v>
      </c>
      <c r="E17" s="115" t="str">
        <f>_xlfn.SINGLE(IF(W17="","",检测项信息!W17&amp;":"&amp;字段对应!$B$16&amp;"|"))&amp;IF(X17="","",X17&amp;":"&amp;IF(V17="是",字段对应!$C$17,字段对应!$B$17&amp;";"&amp;_xlfn.SINGLE(IF(H17="","",字段对应!$B$15&amp;"="&amp;检测项信息!H17)))&amp;"|")&amp;_xlfn.SINGLE(IF(Y17="",":",Y17&amp;":"))&amp;IF(V17="是",字段对应!$C$18,字段对应!$B$18&amp;";"&amp;_xlfn.SINGLE(IF(H17="","",字段对应!$B$15&amp;"="&amp;检测项信息!H17))&amp;_xlfn.SINGLE(IF(AND(T17="",S17=""),"",";"&amp;字段对应!$B$20&amp;"="&amp;T17&amp;";"&amp;字段对应!$B$19&amp;"="&amp;S17)))</f>
        <v>黑挡块:Dark|碘化钠空白溶液:Zero;Wl=220|碘化钠溶液:Measure;Wl=220</v>
      </c>
      <c r="F17" s="115">
        <v>3</v>
      </c>
      <c r="G17" s="115">
        <v>1</v>
      </c>
      <c r="H17" s="115" t="s">
        <v>258</v>
      </c>
      <c r="I17" s="115" t="str">
        <f>VLOOKUP(J17,字段对应!$D$2:$E$8,2,0)</f>
        <v>Validation.ViewModel.DataStructure.WlPointsUVTestTool</v>
      </c>
      <c r="J17" s="115" t="s">
        <v>259</v>
      </c>
      <c r="K17" s="120"/>
      <c r="L17" s="120" t="s">
        <v>143</v>
      </c>
      <c r="M17" s="120" t="s">
        <v>149</v>
      </c>
      <c r="N17" s="120"/>
      <c r="O17" s="120"/>
      <c r="P17" s="120"/>
      <c r="Q17" s="120"/>
      <c r="R17" s="120" t="s">
        <v>154</v>
      </c>
      <c r="S17" s="120"/>
      <c r="T17" s="120"/>
      <c r="U17" s="120"/>
      <c r="V17" s="115" t="s">
        <v>141</v>
      </c>
      <c r="W17" s="115" t="s">
        <v>252</v>
      </c>
      <c r="X17" s="115" t="s">
        <v>260</v>
      </c>
      <c r="Y17" s="115" t="s">
        <v>164</v>
      </c>
      <c r="Z17" s="115">
        <f>VLOOKUP(A17,对应信息!$D$2:$E$10,2,0)</f>
        <v>3000</v>
      </c>
      <c r="AA17" s="115">
        <f t="shared" si="0"/>
        <v>3001</v>
      </c>
      <c r="AB17" s="123"/>
    </row>
    <row r="18" ht="27" spans="1:28">
      <c r="A18" s="115" t="s">
        <v>201</v>
      </c>
      <c r="B18" s="115" t="s">
        <v>261</v>
      </c>
      <c r="C18" s="115"/>
      <c r="D18" s="115" t="str">
        <f>_xlfn.SINGLE(IF(L18="","",字段对应!$B$10&amp;"="&amp;VLOOKUP(L18,基础信息!$I$2:$J$6,2,0)&amp;";"))&amp;_xlfn.SINGLE(IF(M18="","",字段对应!$B$11&amp;"="&amp;VLOOKUP(M18,基础信息!$K$2:$L$6,2,0)&amp;";"))&amp;_xlfn.SINGLE(IF(N18="","",字段对应!$C$2&amp;"="&amp;N18&amp;","&amp;O18&amp;","&amp;P18&amp;";"))&amp;_xlfn.SINGLE(IF(Q18="","",字段对应!$B$13&amp;"="&amp;Q18&amp;";"))&amp;_xlfn.SINGLE(IF(R18="","",字段对应!$B$14&amp;"="&amp;R18&amp;";"))&amp;_xlfn.SINGLE(IF(U18="","",字段对应!$B$22&amp;"="&amp;U18&amp;";"))&amp;_xlfn.SINGLE(IF(K18="","",字段对应!$B$21&amp;"="&amp;VLOOKUP(K18,基础信息!$F$2:$G$4,2,0)))</f>
        <v>PhotoMode=1;ScanSpeed=2;Slit1=2.0;</v>
      </c>
      <c r="E18" s="115" t="str">
        <f>_xlfn.SINGLE(IF(W18="","",检测项信息!W18&amp;":"&amp;字段对应!$B$16&amp;"|"))&amp;IF(X18="","",X18&amp;":"&amp;IF(V18="是",字段对应!$C$17,字段对应!$B$17&amp;";"&amp;_xlfn.SINGLE(IF(H18="","",字段对应!$B$15&amp;"="&amp;检测项信息!H18)))&amp;"|")&amp;_xlfn.SINGLE(IF(Y18="",":",Y18&amp;":"))&amp;IF(V18="是",字段对应!$C$18,字段对应!$B$18&amp;";"&amp;_xlfn.SINGLE(IF(H18="","",字段对应!$B$15&amp;"="&amp;检测项信息!H18))&amp;_xlfn.SINGLE(IF(AND(T18="",S18=""),"",";"&amp;字段对应!$B$20&amp;"="&amp;T18&amp;";"&amp;字段对应!$B$19&amp;"="&amp;S18)))</f>
        <v>黑挡块:Dark|亚硝酸钠空白溶液:Zero;Wl=360|亚硝酸钠溶液:Measure;Wl=360</v>
      </c>
      <c r="F18" s="115">
        <v>3</v>
      </c>
      <c r="G18" s="115">
        <v>1</v>
      </c>
      <c r="H18" s="115" t="s">
        <v>262</v>
      </c>
      <c r="I18" s="115" t="str">
        <f>VLOOKUP(J18,字段对应!$D$2:$E$8,2,0)</f>
        <v>Validation.ViewModel.DataStructure.WlPointsUVTestTool</v>
      </c>
      <c r="J18" s="115" t="s">
        <v>259</v>
      </c>
      <c r="K18" s="120"/>
      <c r="L18" s="120" t="s">
        <v>143</v>
      </c>
      <c r="M18" s="120" t="s">
        <v>149</v>
      </c>
      <c r="N18" s="120"/>
      <c r="O18" s="120"/>
      <c r="P18" s="120"/>
      <c r="Q18" s="120"/>
      <c r="R18" s="120" t="s">
        <v>154</v>
      </c>
      <c r="S18" s="120"/>
      <c r="T18" s="120"/>
      <c r="U18" s="120"/>
      <c r="V18" s="115" t="s">
        <v>141</v>
      </c>
      <c r="W18" s="115" t="s">
        <v>252</v>
      </c>
      <c r="X18" s="115" t="s">
        <v>263</v>
      </c>
      <c r="Y18" s="115" t="s">
        <v>165</v>
      </c>
      <c r="Z18" s="115">
        <f>VLOOKUP(A18,对应信息!$D$2:$E$10,2,0)</f>
        <v>3000</v>
      </c>
      <c r="AA18" s="115">
        <f t="shared" si="0"/>
        <v>3002</v>
      </c>
      <c r="AB18" s="123"/>
    </row>
    <row r="19" ht="40.5" spans="1:28">
      <c r="A19" s="115" t="s">
        <v>193</v>
      </c>
      <c r="B19" s="115" t="s">
        <v>52</v>
      </c>
      <c r="C19" s="115"/>
      <c r="D19" s="115" t="str">
        <f>_xlfn.SINGLE(IF(L19="","",字段对应!$B$10&amp;"="&amp;VLOOKUP(L19,基础信息!$I$2:$J$6,2,0)&amp;";"))&amp;_xlfn.SINGLE(IF(M19="","",字段对应!$B$11&amp;"="&amp;VLOOKUP(M19,基础信息!$K$2:$L$6,2,0)&amp;";"))&amp;_xlfn.SINGLE(IF(N19="","",字段对应!$C$2&amp;"="&amp;N19&amp;","&amp;O19&amp;","&amp;P19&amp;";"))&amp;_xlfn.SINGLE(IF(Q19="","",字段对应!$B$13&amp;"="&amp;Q19&amp;";"))&amp;_xlfn.SINGLE(IF(R19="","",字段对应!$B$14&amp;"="&amp;R19&amp;";"))&amp;_xlfn.SINGLE(IF(U19="","",字段对应!$B$22&amp;"="&amp;U19&amp;";"))&amp;_xlfn.SINGLE(IF(K19="","",字段对应!$B$21&amp;"="&amp;VLOOKUP(K19,基础信息!$F$2:$G$4,2,0)))</f>
        <v>PhotoMode=1;ScanSpeed=2;Slit1=2.0;</v>
      </c>
      <c r="E19" s="115" t="str">
        <f>_xlfn.SINGLE(IF(W19="","",检测项信息!W19&amp;":"&amp;字段对应!$B$16&amp;"|"))&amp;IF(X19="","",X19&amp;":"&amp;IF(V19="是",字段对应!$C$17,字段对应!$B$17&amp;";"&amp;_xlfn.SINGLE(IF(H19="","",字段对应!$B$15&amp;"="&amp;检测项信息!H19)))&amp;"|")&amp;_xlfn.SINGLE(IF(Y19="",":",Y19&amp;":"))&amp;IF(V19="是",字段对应!$C$18,字段对应!$B$18&amp;";"&amp;_xlfn.SINGLE(IF(H19="","",字段对应!$B$15&amp;"="&amp;检测项信息!H19))&amp;_xlfn.SINGLE(IF(AND(T19="",S19=""),"",";"&amp;字段对应!$B$20&amp;"="&amp;T19&amp;";"&amp;字段对应!$B$19&amp;"="&amp;S19)))</f>
        <v>黑挡块:Dark|紫外分光光度计标准物质空白溶液:Zero;Wl=350,313,257,235|紫外分光光度计标准物质GBW(E)130066:Measure;Wl=350,313,257,235</v>
      </c>
      <c r="F19" s="115">
        <v>3</v>
      </c>
      <c r="G19" s="115">
        <v>1</v>
      </c>
      <c r="H19" s="115" t="s">
        <v>264</v>
      </c>
      <c r="I19" s="115" t="str">
        <f>VLOOKUP(J19,字段对应!$D$2:$E$8,2,0)</f>
        <v>Validation.ViewModel.DataStructure.WlPointsAndAverageUVTestTool</v>
      </c>
      <c r="J19" s="115" t="s">
        <v>265</v>
      </c>
      <c r="K19" s="120"/>
      <c r="L19" s="120" t="s">
        <v>143</v>
      </c>
      <c r="M19" s="120" t="s">
        <v>149</v>
      </c>
      <c r="N19" s="120"/>
      <c r="O19" s="120"/>
      <c r="P19" s="120"/>
      <c r="Q19" s="120"/>
      <c r="R19" s="120" t="s">
        <v>154</v>
      </c>
      <c r="S19" s="120"/>
      <c r="T19" s="120"/>
      <c r="U19" s="120"/>
      <c r="V19" s="115" t="s">
        <v>141</v>
      </c>
      <c r="W19" s="115" t="s">
        <v>252</v>
      </c>
      <c r="X19" s="121" t="s">
        <v>266</v>
      </c>
      <c r="Y19" s="115" t="s">
        <v>52</v>
      </c>
      <c r="Z19" s="115">
        <f>VLOOKUP(A19,对应信息!$D$2:$E$10,2,0)</f>
        <v>2000</v>
      </c>
      <c r="AA19" s="115">
        <f t="shared" si="0"/>
        <v>2001</v>
      </c>
      <c r="AB19" s="123" t="s">
        <v>267</v>
      </c>
    </row>
    <row r="20" ht="27" spans="1:28">
      <c r="A20" s="115" t="s">
        <v>193</v>
      </c>
      <c r="B20" s="115" t="s">
        <v>42</v>
      </c>
      <c r="C20" s="115"/>
      <c r="D20" s="115" t="str">
        <f>_xlfn.SINGLE(IF(L20="","",字段对应!$B$10&amp;"="&amp;VLOOKUP(L20,基础信息!$I$2:$J$6,2,0)&amp;";"))&amp;_xlfn.SINGLE(IF(M20="","",字段对应!$B$11&amp;"="&amp;VLOOKUP(M20,基础信息!$K$2:$L$6,2,0)&amp;";"))&amp;_xlfn.SINGLE(IF(N20="","",字段对应!$C$2&amp;"="&amp;N20&amp;","&amp;O20&amp;","&amp;P20&amp;";"))&amp;_xlfn.SINGLE(IF(Q20="","",字段对应!$B$13&amp;"="&amp;Q20&amp;";"))&amp;_xlfn.SINGLE(IF(R20="","",字段对应!$B$14&amp;"="&amp;R20&amp;";"))&amp;_xlfn.SINGLE(IF(U20="","",字段对应!$B$22&amp;"="&amp;U20&amp;";"))&amp;_xlfn.SINGLE(IF(K20="","",字段对应!$B$21&amp;"="&amp;VLOOKUP(K20,基础信息!$F$2:$G$4,2,0)))</f>
        <v>PhotoMode=1;ScanSpeed=2;Slit1=2.0;</v>
      </c>
      <c r="E20" s="115" t="str">
        <f>_xlfn.SINGLE(IF(W20="","",检测项信息!W20&amp;":"&amp;字段对应!$B$16&amp;"|"))&amp;IF(X20="","",X20&amp;":"&amp;IF(V20="是",字段对应!$C$17,字段对应!$B$17&amp;";"&amp;_xlfn.SINGLE(IF(H20="","",字段对应!$B$15&amp;"="&amp;检测项信息!H20)))&amp;"|")&amp;_xlfn.SINGLE(IF(Y20="",":",Y20&amp;":"))&amp;IF(V20="是",字段对应!$C$18,字段对应!$B$18&amp;";"&amp;_xlfn.SINGLE(IF(H20="","",字段对应!$B$15&amp;"="&amp;检测项信息!H20))&amp;_xlfn.SINGLE(IF(AND(T20="",S20=""),"",";"&amp;字段对应!$B$20&amp;"="&amp;T20&amp;";"&amp;字段对应!$B$19&amp;"="&amp;S20)))</f>
        <v>黑挡块:Dark|空气:Zero;Wl=635,546,440|10%中性滤光片:Measure;Wl=635,546,440</v>
      </c>
      <c r="F20" s="115">
        <v>3</v>
      </c>
      <c r="G20" s="115">
        <v>1</v>
      </c>
      <c r="H20" s="115" t="s">
        <v>268</v>
      </c>
      <c r="I20" s="115" t="str">
        <f>VLOOKUP(J20,字段对应!$D$2:$E$8,2,0)</f>
        <v>Validation.ViewModel.DataStructure.WlPointsAndAverageUVTestTool</v>
      </c>
      <c r="J20" s="115" t="s">
        <v>265</v>
      </c>
      <c r="K20" s="120"/>
      <c r="L20" s="120" t="s">
        <v>143</v>
      </c>
      <c r="M20" s="120" t="s">
        <v>149</v>
      </c>
      <c r="N20" s="120"/>
      <c r="O20" s="120"/>
      <c r="P20" s="120"/>
      <c r="Q20" s="120"/>
      <c r="R20" s="120" t="s">
        <v>154</v>
      </c>
      <c r="S20" s="120"/>
      <c r="T20" s="120"/>
      <c r="U20" s="120"/>
      <c r="V20" s="115" t="s">
        <v>141</v>
      </c>
      <c r="W20" s="115" t="s">
        <v>252</v>
      </c>
      <c r="X20" s="115" t="s">
        <v>250</v>
      </c>
      <c r="Y20" s="115" t="s">
        <v>42</v>
      </c>
      <c r="Z20" s="115">
        <f>VLOOKUP(A20,对应信息!$D$2:$E$10,2,0)</f>
        <v>2000</v>
      </c>
      <c r="AA20" s="115">
        <f t="shared" si="0"/>
        <v>2002</v>
      </c>
      <c r="AB20" s="123" t="s">
        <v>269</v>
      </c>
    </row>
    <row r="21" ht="27" spans="1:28">
      <c r="A21" s="115" t="s">
        <v>193</v>
      </c>
      <c r="B21" s="115" t="s">
        <v>48</v>
      </c>
      <c r="C21" s="115"/>
      <c r="D21" s="115" t="str">
        <f>_xlfn.SINGLE(IF(L21="","",字段对应!$B$10&amp;"="&amp;VLOOKUP(L21,基础信息!$I$2:$J$6,2,0)&amp;";"))&amp;_xlfn.SINGLE(IF(M21="","",字段对应!$B$11&amp;"="&amp;VLOOKUP(M21,基础信息!$K$2:$L$6,2,0)&amp;";"))&amp;_xlfn.SINGLE(IF(N21="","",字段对应!$C$2&amp;"="&amp;N21&amp;","&amp;O21&amp;","&amp;P21&amp;";"))&amp;_xlfn.SINGLE(IF(Q21="","",字段对应!$B$13&amp;"="&amp;Q21&amp;";"))&amp;_xlfn.SINGLE(IF(R21="","",字段对应!$B$14&amp;"="&amp;R21&amp;";"))&amp;_xlfn.SINGLE(IF(U21="","",字段对应!$B$22&amp;"="&amp;U21&amp;";"))&amp;_xlfn.SINGLE(IF(K21="","",字段对应!$B$21&amp;"="&amp;VLOOKUP(K21,基础信息!$F$2:$G$4,2,0)))</f>
        <v>PhotoMode=1;ScanSpeed=2;Slit1=2.0;</v>
      </c>
      <c r="E21" s="115" t="str">
        <f>_xlfn.SINGLE(IF(W21="","",检测项信息!W21&amp;":"&amp;字段对应!$B$16&amp;"|"))&amp;IF(X21="","",X21&amp;":"&amp;IF(V21="是",字段对应!$C$17,字段对应!$B$17&amp;";"&amp;_xlfn.SINGLE(IF(H21="","",字段对应!$B$15&amp;"="&amp;检测项信息!H21)))&amp;"|")&amp;_xlfn.SINGLE(IF(Y21="",":",Y21&amp;":"))&amp;IF(V21="是",字段对应!$C$18,字段对应!$B$18&amp;";"&amp;_xlfn.SINGLE(IF(H21="","",字段对应!$B$15&amp;"="&amp;检测项信息!H21))&amp;_xlfn.SINGLE(IF(AND(T21="",S21=""),"",";"&amp;字段对应!$B$20&amp;"="&amp;T21&amp;";"&amp;字段对应!$B$19&amp;"="&amp;S21)))</f>
        <v>黑挡块:Dark|空气:Zero;Wl=635,546,440|20%中性滤光片:Measure;Wl=635,546,440</v>
      </c>
      <c r="F21" s="115">
        <v>3</v>
      </c>
      <c r="G21" s="115">
        <v>1</v>
      </c>
      <c r="H21" s="115" t="s">
        <v>268</v>
      </c>
      <c r="I21" s="115" t="str">
        <f>VLOOKUP(J21,字段对应!$D$2:$E$8,2,0)</f>
        <v>Validation.ViewModel.DataStructure.WlPointsAndAverageUVTestTool</v>
      </c>
      <c r="J21" s="115" t="s">
        <v>265</v>
      </c>
      <c r="K21" s="120"/>
      <c r="L21" s="120" t="s">
        <v>143</v>
      </c>
      <c r="M21" s="120" t="s">
        <v>149</v>
      </c>
      <c r="N21" s="120"/>
      <c r="O21" s="120"/>
      <c r="P21" s="120"/>
      <c r="Q21" s="120"/>
      <c r="R21" s="120" t="s">
        <v>154</v>
      </c>
      <c r="S21" s="120"/>
      <c r="T21" s="120"/>
      <c r="U21" s="120"/>
      <c r="V21" s="115" t="s">
        <v>141</v>
      </c>
      <c r="W21" s="115" t="s">
        <v>252</v>
      </c>
      <c r="X21" s="115" t="s">
        <v>250</v>
      </c>
      <c r="Y21" s="115" t="s">
        <v>48</v>
      </c>
      <c r="Z21" s="115">
        <f>VLOOKUP(A21,对应信息!$D$2:$E$10,2,0)</f>
        <v>2000</v>
      </c>
      <c r="AA21" s="115">
        <f t="shared" si="0"/>
        <v>2003</v>
      </c>
      <c r="AB21" s="123" t="s">
        <v>270</v>
      </c>
    </row>
    <row r="22" ht="40.5" customHeight="1" spans="1:28">
      <c r="A22" s="115" t="s">
        <v>193</v>
      </c>
      <c r="B22" s="115" t="s">
        <v>50</v>
      </c>
      <c r="C22" s="115"/>
      <c r="D22" s="115" t="str">
        <f>_xlfn.SINGLE(IF(L22="","",字段对应!$B$10&amp;"="&amp;VLOOKUP(L22,基础信息!$I$2:$J$6,2,0)&amp;";"))&amp;_xlfn.SINGLE(IF(M22="","",字段对应!$B$11&amp;"="&amp;VLOOKUP(M22,基础信息!$K$2:$L$6,2,0)&amp;";"))&amp;_xlfn.SINGLE(IF(N22="","",字段对应!$C$2&amp;"="&amp;N22&amp;","&amp;O22&amp;","&amp;P22&amp;";"))&amp;_xlfn.SINGLE(IF(Q22="","",字段对应!$B$13&amp;"="&amp;Q22&amp;";"))&amp;_xlfn.SINGLE(IF(R22="","",字段对应!$B$14&amp;"="&amp;R22&amp;";"))&amp;_xlfn.SINGLE(IF(U22="","",字段对应!$B$22&amp;"="&amp;U22&amp;";"))&amp;_xlfn.SINGLE(IF(K22="","",字段对应!$B$21&amp;"="&amp;VLOOKUP(K22,基础信息!$F$2:$G$4,2,0)))</f>
        <v>PhotoMode=1;ScanSpeed=2;Slit1=2.0;</v>
      </c>
      <c r="E22" s="115" t="str">
        <f>_xlfn.SINGLE(IF(W22="","",检测项信息!W22&amp;":"&amp;字段对应!$B$16&amp;"|"))&amp;IF(X22="","",X22&amp;":"&amp;IF(V22="是",字段对应!$C$17,字段对应!$B$17&amp;";"&amp;_xlfn.SINGLE(IF(H22="","",字段对应!$B$15&amp;"="&amp;检测项信息!H22)))&amp;"|")&amp;_xlfn.SINGLE(IF(Y22="",":",Y22&amp;":"))&amp;IF(V22="是",字段对应!$C$18,字段对应!$B$18&amp;";"&amp;_xlfn.SINGLE(IF(H22="","",字段对应!$B$15&amp;"="&amp;检测项信息!H22))&amp;_xlfn.SINGLE(IF(AND(T22="",S22=""),"",";"&amp;字段对应!$B$20&amp;"="&amp;T22&amp;";"&amp;字段对应!$B$19&amp;"="&amp;S22)))</f>
        <v>黑挡块:Dark|空气:Zero;Wl=635,546,440|30%中性滤光片:Measure;Wl=635,546,440</v>
      </c>
      <c r="F22" s="115">
        <v>3</v>
      </c>
      <c r="G22" s="115">
        <v>1</v>
      </c>
      <c r="H22" s="115" t="s">
        <v>268</v>
      </c>
      <c r="I22" s="115" t="str">
        <f>VLOOKUP(J22,字段对应!$D$2:$E$8,2,0)</f>
        <v>Validation.ViewModel.DataStructure.WlPointsAndAverageUVTestTool</v>
      </c>
      <c r="J22" s="115" t="s">
        <v>265</v>
      </c>
      <c r="K22" s="120"/>
      <c r="L22" s="120" t="s">
        <v>143</v>
      </c>
      <c r="M22" s="120" t="s">
        <v>149</v>
      </c>
      <c r="N22" s="120"/>
      <c r="O22" s="120"/>
      <c r="P22" s="120"/>
      <c r="Q22" s="120"/>
      <c r="R22" s="120" t="s">
        <v>154</v>
      </c>
      <c r="S22" s="120"/>
      <c r="T22" s="120"/>
      <c r="U22" s="120"/>
      <c r="V22" s="115" t="s">
        <v>141</v>
      </c>
      <c r="W22" s="115" t="s">
        <v>252</v>
      </c>
      <c r="X22" s="115" t="s">
        <v>250</v>
      </c>
      <c r="Y22" s="115" t="s">
        <v>50</v>
      </c>
      <c r="Z22" s="115">
        <f>VLOOKUP(A22,对应信息!$D$2:$E$10,2,0)</f>
        <v>2000</v>
      </c>
      <c r="AA22" s="115">
        <f t="shared" si="0"/>
        <v>2004</v>
      </c>
      <c r="AB22" s="123" t="s">
        <v>271</v>
      </c>
    </row>
    <row r="23" ht="54" spans="1:28">
      <c r="A23" s="115" t="s">
        <v>215</v>
      </c>
      <c r="B23" s="115" t="s">
        <v>215</v>
      </c>
      <c r="C23" s="115" t="s">
        <v>272</v>
      </c>
      <c r="D23" s="115" t="str">
        <f>_xlfn.SINGLE(IF(L23="","",字段对应!$B$10&amp;"="&amp;VLOOKUP(L23,基础信息!$I$2:$J$6,2,0)&amp;";"))&amp;_xlfn.SINGLE(IF(M23="","",字段对应!$B$11&amp;"="&amp;VLOOKUP(M23,基础信息!$K$2:$L$6,2,0)&amp;";"))&amp;_xlfn.SINGLE(IF(N23="","",字段对应!$C$2&amp;"="&amp;N23&amp;","&amp;O23&amp;","&amp;P23&amp;";"))&amp;_xlfn.SINGLE(IF(Q23="","",字段对应!$B$13&amp;"="&amp;Q23&amp;";"))&amp;_xlfn.SINGLE(IF(R23="","",字段对应!$B$14&amp;"="&amp;R23&amp;";"))&amp;_xlfn.SINGLE(IF(U23="","",字段对应!$B$22&amp;"="&amp;U23&amp;";"))&amp;_xlfn.SINGLE(IF(K23="","",字段对应!$B$21&amp;"="&amp;VLOOKUP(K23,基础信息!$F$2:$G$4,2,0)))</f>
        <v>PhotoMode=1;ScanSpeed=2;Slit1=2.0;ResponseTime=1;</v>
      </c>
      <c r="E23" s="115" t="str">
        <f>_xlfn.SINGLE(IF(W23="","",检测项信息!W23&amp;":"&amp;字段对应!$B$16&amp;"|"))&amp;IF(X23="","",X23&amp;":"&amp;IF(V23="是",字段对应!$C$17,字段对应!$B$17&amp;";"&amp;_xlfn.SINGLE(IF(H23="","",字段对应!$B$15&amp;"="&amp;检测项信息!H23)))&amp;"|")&amp;_xlfn.SINGLE(IF(Y23="",":",Y23&amp;":"))&amp;IF(V23="是",字段对应!$C$18,字段对应!$B$18&amp;";"&amp;_xlfn.SINGLE(IF(H23="","",字段对应!$B$15&amp;"="&amp;检测项信息!H23))&amp;_xlfn.SINGLE(IF(AND(T23="",S23=""),"",";"&amp;字段对应!$B$20&amp;"="&amp;T23&amp;";"&amp;字段对应!$B$19&amp;"="&amp;S23)))</f>
        <v>黑挡块:Dark|空气:Zero;Wl=500|空气:Measure;Wl=500;totalcount=3600;timeinterval=1</v>
      </c>
      <c r="F23" s="115">
        <v>1</v>
      </c>
      <c r="G23" s="115"/>
      <c r="H23" s="115">
        <v>500</v>
      </c>
      <c r="I23" s="115" t="str">
        <f>VLOOKUP(J23,字段对应!$D$2:$E$8,2,0)</f>
        <v>Validation.ViewModel.DataStructure.FindMaxOffsetUVTestTool</v>
      </c>
      <c r="J23" s="115" t="s">
        <v>256</v>
      </c>
      <c r="K23" s="120"/>
      <c r="L23" s="120" t="s">
        <v>143</v>
      </c>
      <c r="M23" s="120" t="s">
        <v>149</v>
      </c>
      <c r="N23" s="120"/>
      <c r="O23" s="120"/>
      <c r="P23" s="120"/>
      <c r="Q23" s="120"/>
      <c r="R23" s="120" t="s">
        <v>154</v>
      </c>
      <c r="S23" s="120">
        <v>1</v>
      </c>
      <c r="T23" s="120">
        <v>3600</v>
      </c>
      <c r="U23" s="120">
        <v>1</v>
      </c>
      <c r="V23" s="115" t="s">
        <v>141</v>
      </c>
      <c r="W23" s="115" t="s">
        <v>252</v>
      </c>
      <c r="X23" s="115" t="s">
        <v>250</v>
      </c>
      <c r="Y23" s="115" t="s">
        <v>250</v>
      </c>
      <c r="Z23" s="115">
        <f>VLOOKUP(A23,对应信息!$D$2:$E$10,2,0)</f>
        <v>9000</v>
      </c>
      <c r="AA23" s="115">
        <f t="shared" si="0"/>
        <v>9001</v>
      </c>
      <c r="AB23" s="123"/>
    </row>
  </sheetData>
  <dataValidations count="9">
    <dataValidation type="list" allowBlank="1" showInputMessage="1" showErrorMessage="1" sqref="J$1:J$1048576">
      <formula1>字段对应!$D$2:$D$8</formula1>
    </dataValidation>
    <dataValidation type="list" allowBlank="1" showInputMessage="1" showErrorMessage="1" sqref="K$1:K$1048576">
      <formula1>基础信息!$F$2:$F$4</formula1>
    </dataValidation>
    <dataValidation type="list" allowBlank="1" showInputMessage="1" showErrorMessage="1" sqref="L$1:L$1048576">
      <formula1>基础信息!$I$2:$I$6</formula1>
    </dataValidation>
    <dataValidation type="list" allowBlank="1" showInputMessage="1" showErrorMessage="1" sqref="M$1:M$1048576">
      <formula1>基础信息!$K$2:$K$6</formula1>
    </dataValidation>
    <dataValidation type="list" allowBlank="1" showInputMessage="1" showErrorMessage="1" sqref="P$1:P$1048576">
      <formula1>基础信息!$M$2:$M$9</formula1>
    </dataValidation>
    <dataValidation type="list" allowBlank="1" showInputMessage="1" showErrorMessage="1" sqref="Q$1:Q$1048576">
      <formula1>基础信息!$Q$2:$Q$7</formula1>
    </dataValidation>
    <dataValidation type="list" allowBlank="1" showInputMessage="1" showErrorMessage="1" sqref="R$1:R$1048576">
      <formula1>基础信息!$P$2:$P$6</formula1>
    </dataValidation>
    <dataValidation type="list" allowBlank="1" showInputMessage="1" showErrorMessage="1" sqref="U$1:U$1048576">
      <formula1>基础信息!$R$2:$R$5</formula1>
    </dataValidation>
    <dataValidation type="list" allowBlank="1" showInputMessage="1" showErrorMessage="1" sqref="V$1:V$1048576">
      <formula1>基础信息!$E$2:$E$3</formula1>
    </dataValidation>
  </dataValidations>
  <pageMargins left="0.7" right="0.7" top="0.75" bottom="0.75" header="0.3" footer="0.3"/>
  <pageSetup paperSize="9" firstPageNumber="4294963191" orientation="portrait" useFirstPageNumber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pane topLeftCell="A1" activePane="topLeft"/>
      <selection activeCell="G1" sqref="G1"/>
    </sheetView>
  </sheetViews>
  <sheetFormatPr defaultColWidth="9" defaultRowHeight="13.5" customHeight="1" outlineLevelCol="4"/>
  <cols>
    <col min="1" max="1" width="22.6333333333333" style="1" customWidth="1"/>
    <col min="2" max="2" width="44.6333333333333" style="1" customWidth="1"/>
    <col min="3" max="3" width="22.6333333333333" style="1" customWidth="1"/>
    <col min="4" max="5" width="5.5" style="1" customWidth="1"/>
    <col min="6" max="9" width="22.6333333333333" style="1" customWidth="1"/>
    <col min="10" max="16384" width="9" style="1"/>
  </cols>
  <sheetData>
    <row r="1" customHeight="1" spans="1:5">
      <c r="A1" s="105" t="s">
        <v>273</v>
      </c>
      <c r="B1" s="105" t="s">
        <v>274</v>
      </c>
      <c r="C1" s="105" t="s">
        <v>275</v>
      </c>
      <c r="D1" s="105" t="s">
        <v>276</v>
      </c>
      <c r="E1" s="105" t="s">
        <v>277</v>
      </c>
    </row>
    <row r="2" customHeight="1" spans="1:5">
      <c r="A2" s="106" t="str">
        <f ca="1" t="shared" ref="A2:A18" si="0">MID(_xlfn.SINGLE(CELL("filename")),FIND("[",_xlfn.SINGLE(CELL("filename")),1)+1,FIND(".",_xlfn.SINGLE(CELL("filename")),1)-FIND("[",_xlfn.SINGLE(CELL("filename")),1)-1)</f>
        <v>T600T700-FixedSlit</v>
      </c>
      <c r="B2" s="107" t="s">
        <v>278</v>
      </c>
      <c r="C2" s="106"/>
      <c r="D2" s="106"/>
      <c r="E2" s="106"/>
    </row>
    <row r="3" customHeight="1" spans="1:5">
      <c r="A3" s="106" t="str">
        <f ca="1" t="shared" si="0"/>
        <v>T600T700-FixedSlit</v>
      </c>
      <c r="B3" s="107" t="s">
        <v>279</v>
      </c>
      <c r="C3" s="106"/>
      <c r="D3" s="106"/>
      <c r="E3" s="106"/>
    </row>
    <row r="4" customHeight="1" spans="1:5">
      <c r="A4" s="106" t="str">
        <f ca="1" t="shared" si="0"/>
        <v>T600T700-FixedSlit</v>
      </c>
      <c r="B4" s="107" t="s">
        <v>280</v>
      </c>
      <c r="C4" s="106"/>
      <c r="D4" s="106"/>
      <c r="E4" s="106"/>
    </row>
    <row r="5" customHeight="1" spans="1:5">
      <c r="A5" s="106" t="str">
        <f ca="1" t="shared" si="0"/>
        <v>T600T700-FixedSlit</v>
      </c>
      <c r="B5" s="107" t="s">
        <v>281</v>
      </c>
      <c r="C5" s="106"/>
      <c r="D5" s="106"/>
      <c r="E5" s="106"/>
    </row>
    <row r="6" customHeight="1" spans="1:5">
      <c r="A6" s="106" t="str">
        <f ca="1" t="shared" si="0"/>
        <v>T600T700-FixedSlit</v>
      </c>
      <c r="B6" s="107" t="s">
        <v>282</v>
      </c>
      <c r="C6" s="106"/>
      <c r="D6" s="106"/>
      <c r="E6" s="106"/>
    </row>
    <row r="7" customHeight="1" spans="1:5">
      <c r="A7" s="106" t="str">
        <f ca="1" t="shared" si="0"/>
        <v>T600T700-FixedSlit</v>
      </c>
      <c r="B7" s="107" t="s">
        <v>283</v>
      </c>
      <c r="C7" s="106"/>
      <c r="D7" s="106"/>
      <c r="E7" s="106"/>
    </row>
    <row r="8" customHeight="1" spans="1:5">
      <c r="A8" s="106" t="str">
        <f ca="1" t="shared" si="0"/>
        <v>T600T700-FixedSlit</v>
      </c>
      <c r="B8" s="107" t="s">
        <v>284</v>
      </c>
      <c r="C8" s="106"/>
      <c r="D8" s="106"/>
      <c r="E8" s="106"/>
    </row>
    <row r="9" customHeight="1" spans="1:5">
      <c r="A9" s="106" t="str">
        <f ca="1" t="shared" si="0"/>
        <v>T600T700-FixedSlit</v>
      </c>
      <c r="B9" s="107" t="s">
        <v>285</v>
      </c>
      <c r="C9" s="106"/>
      <c r="D9" s="106"/>
      <c r="E9" s="106"/>
    </row>
    <row r="10" customHeight="1" spans="1:5">
      <c r="A10" s="106" t="str">
        <f ca="1" t="shared" si="0"/>
        <v>T600T700-FixedSlit</v>
      </c>
      <c r="B10" s="107" t="s">
        <v>286</v>
      </c>
      <c r="C10" s="106"/>
      <c r="D10" s="106">
        <v>1001</v>
      </c>
      <c r="E10" s="106">
        <v>1001</v>
      </c>
    </row>
    <row r="11" customHeight="1" spans="1:5">
      <c r="A11" s="106" t="str">
        <f ca="1" t="shared" si="0"/>
        <v>T600T700-FixedSlit</v>
      </c>
      <c r="B11" s="107" t="s">
        <v>287</v>
      </c>
      <c r="C11" s="106"/>
      <c r="D11" s="106">
        <v>1002</v>
      </c>
      <c r="E11" s="106">
        <v>1002</v>
      </c>
    </row>
    <row r="12" customHeight="1" spans="1:5">
      <c r="A12" s="106" t="str">
        <f ca="1" t="shared" si="0"/>
        <v>T600T700-FixedSlit</v>
      </c>
      <c r="B12" s="107" t="s">
        <v>288</v>
      </c>
      <c r="C12" s="106"/>
      <c r="D12" s="106">
        <v>2001</v>
      </c>
      <c r="E12" s="106">
        <v>2001</v>
      </c>
    </row>
    <row r="13" customHeight="1" spans="1:5">
      <c r="A13" s="106" t="str">
        <f ca="1" t="shared" si="0"/>
        <v>T600T700-FixedSlit</v>
      </c>
      <c r="B13" s="107" t="s">
        <v>289</v>
      </c>
      <c r="C13" s="106"/>
      <c r="D13" s="106">
        <v>2002</v>
      </c>
      <c r="E13" s="106">
        <v>2001</v>
      </c>
    </row>
    <row r="14" customHeight="1" spans="1:5">
      <c r="A14" s="106" t="str">
        <f ca="1" t="shared" si="0"/>
        <v>T600T700-FixedSlit</v>
      </c>
      <c r="B14" s="107" t="s">
        <v>290</v>
      </c>
      <c r="C14" s="106"/>
      <c r="D14" s="106">
        <v>2003</v>
      </c>
      <c r="E14" s="106">
        <v>2001</v>
      </c>
    </row>
    <row r="15" customHeight="1" spans="1:5">
      <c r="A15" s="106" t="str">
        <f ca="1" t="shared" si="0"/>
        <v>T600T700-FixedSlit</v>
      </c>
      <c r="B15" s="107" t="s">
        <v>291</v>
      </c>
      <c r="C15" s="106"/>
      <c r="D15" s="106">
        <v>2004</v>
      </c>
      <c r="E15" s="106">
        <v>2001</v>
      </c>
    </row>
    <row r="16" customHeight="1" spans="1:5">
      <c r="A16" s="106" t="str">
        <f ca="1" t="shared" si="0"/>
        <v>T600T700-FixedSlit</v>
      </c>
      <c r="B16" s="107" t="s">
        <v>292</v>
      </c>
      <c r="C16" s="106"/>
      <c r="D16" s="106">
        <v>3001</v>
      </c>
      <c r="E16" s="106">
        <v>3001</v>
      </c>
    </row>
    <row r="17" customHeight="1" spans="1:5">
      <c r="A17" s="106" t="str">
        <f ca="1" t="shared" si="0"/>
        <v>T600T700-FixedSlit</v>
      </c>
      <c r="B17" s="107" t="s">
        <v>293</v>
      </c>
      <c r="C17" s="106"/>
      <c r="D17" s="106">
        <v>3002</v>
      </c>
      <c r="E17" s="106">
        <v>3002</v>
      </c>
    </row>
    <row r="18" customHeight="1" spans="1:5">
      <c r="A18" s="106" t="str">
        <f ca="1" t="shared" si="0"/>
        <v>T600T700-FixedSlit</v>
      </c>
      <c r="B18" s="108" t="s">
        <v>294</v>
      </c>
      <c r="C18" s="106"/>
      <c r="D18" s="106">
        <v>4001</v>
      </c>
      <c r="E18" s="106">
        <v>4001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pane topLeftCell="A1" activePane="topLeft"/>
      <selection activeCell="D7" sqref="D7"/>
    </sheetView>
  </sheetViews>
  <sheetFormatPr defaultColWidth="9" defaultRowHeight="13.5" customHeight="1"/>
  <cols>
    <col min="1" max="1" width="35.75" style="1" customWidth="1"/>
    <col min="2" max="16384" width="9" style="1"/>
  </cols>
  <sheetData>
    <row r="1" ht="189.75" customHeight="1" spans="1:1">
      <c r="A1" s="104"/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showGridLines="0" workbookViewId="0">
      <pane topLeftCell="A1" activePane="topLeft"/>
      <selection activeCell="E16" sqref="E16"/>
    </sheetView>
  </sheetViews>
  <sheetFormatPr defaultColWidth="9" defaultRowHeight="13.5" customHeight="1" outlineLevelCol="3"/>
  <cols>
    <col min="1" max="1" width="35.3833333333333" style="1" customWidth="1"/>
    <col min="2" max="2" width="27.5" style="1" customWidth="1"/>
    <col min="3" max="3" width="15.75" style="1" customWidth="1"/>
    <col min="4" max="4" width="20.25" style="1" customWidth="1"/>
    <col min="5" max="16384" width="9" style="1"/>
  </cols>
  <sheetData>
    <row r="1" customHeight="1" spans="1:4">
      <c r="A1" s="3" t="s">
        <v>295</v>
      </c>
      <c r="B1" s="3" t="s">
        <v>26</v>
      </c>
      <c r="C1" s="3" t="s">
        <v>123</v>
      </c>
      <c r="D1" s="4" t="s">
        <v>53</v>
      </c>
    </row>
    <row r="2" customHeight="1" spans="1:4">
      <c r="A2" s="71" t="s">
        <v>193</v>
      </c>
      <c r="B2" s="67" t="s">
        <v>52</v>
      </c>
      <c r="C2" s="68" t="s">
        <v>194</v>
      </c>
      <c r="D2" s="68">
        <v>23.2</v>
      </c>
    </row>
    <row r="3" customHeight="1" spans="1:4">
      <c r="A3" s="71"/>
      <c r="B3" s="71"/>
      <c r="C3" s="68" t="s">
        <v>195</v>
      </c>
      <c r="D3" s="68">
        <v>51.58</v>
      </c>
    </row>
    <row r="4" ht="12" customHeight="1" spans="1:4">
      <c r="A4" s="71"/>
      <c r="B4" s="71"/>
      <c r="C4" s="72" t="s">
        <v>196</v>
      </c>
      <c r="D4" s="68">
        <v>14.06</v>
      </c>
    </row>
    <row r="5" customHeight="1" spans="1:4">
      <c r="A5" s="71"/>
      <c r="B5" s="73"/>
      <c r="C5" s="72" t="s">
        <v>197</v>
      </c>
      <c r="D5" s="68">
        <v>18.42</v>
      </c>
    </row>
    <row r="6" customHeight="1" spans="1:4">
      <c r="A6" s="71"/>
      <c r="B6" s="74" t="s">
        <v>42</v>
      </c>
      <c r="C6" s="68" t="s">
        <v>198</v>
      </c>
      <c r="D6" s="68">
        <v>7.62</v>
      </c>
    </row>
    <row r="7" customHeight="1" spans="1:4">
      <c r="A7" s="71"/>
      <c r="B7" s="75"/>
      <c r="C7" s="68" t="s">
        <v>199</v>
      </c>
      <c r="D7" s="68">
        <v>11.03</v>
      </c>
    </row>
    <row r="8" customHeight="1" spans="1:4">
      <c r="A8" s="71"/>
      <c r="B8" s="76"/>
      <c r="C8" s="68" t="s">
        <v>200</v>
      </c>
      <c r="D8" s="68">
        <v>11.46</v>
      </c>
    </row>
    <row r="9" customHeight="1" spans="1:4">
      <c r="A9" s="71"/>
      <c r="B9" s="74" t="s">
        <v>48</v>
      </c>
      <c r="C9" s="68" t="s">
        <v>198</v>
      </c>
      <c r="D9" s="68">
        <v>17.64</v>
      </c>
    </row>
    <row r="10" customHeight="1" spans="1:4">
      <c r="A10" s="71"/>
      <c r="B10" s="75"/>
      <c r="C10" s="68" t="s">
        <v>199</v>
      </c>
      <c r="D10" s="68">
        <v>21.74</v>
      </c>
    </row>
    <row r="11" customHeight="1" spans="1:4">
      <c r="A11" s="71"/>
      <c r="B11" s="76"/>
      <c r="C11" s="68" t="s">
        <v>200</v>
      </c>
      <c r="D11" s="68">
        <v>21.92</v>
      </c>
    </row>
    <row r="12" customHeight="1" spans="1:4">
      <c r="A12" s="71"/>
      <c r="B12" s="74" t="s">
        <v>50</v>
      </c>
      <c r="C12" s="68" t="s">
        <v>198</v>
      </c>
      <c r="D12" s="68">
        <v>23.59</v>
      </c>
    </row>
    <row r="13" customHeight="1" spans="1:4">
      <c r="A13" s="71"/>
      <c r="B13" s="75"/>
      <c r="C13" s="68" t="s">
        <v>199</v>
      </c>
      <c r="D13" s="68">
        <v>29.32</v>
      </c>
    </row>
    <row r="14" customHeight="1" spans="1:4">
      <c r="A14" s="73"/>
      <c r="B14" s="76"/>
      <c r="C14" s="68" t="s">
        <v>200</v>
      </c>
      <c r="D14" s="68">
        <v>29.91</v>
      </c>
    </row>
    <row r="15" customHeight="1" spans="1:4">
      <c r="A15" s="67" t="s">
        <v>184</v>
      </c>
      <c r="B15" s="82" t="s">
        <v>27</v>
      </c>
      <c r="C15" s="83" t="s">
        <v>186</v>
      </c>
      <c r="D15" s="83"/>
    </row>
    <row r="16" customHeight="1" spans="1:4">
      <c r="A16" s="71"/>
      <c r="B16" s="86" t="s">
        <v>36</v>
      </c>
      <c r="C16" s="83" t="s">
        <v>296</v>
      </c>
      <c r="D16" s="83"/>
    </row>
    <row r="17" customHeight="1" spans="1:4">
      <c r="A17" s="71"/>
      <c r="B17" s="87"/>
      <c r="C17" s="83" t="s">
        <v>297</v>
      </c>
      <c r="D17" s="83"/>
    </row>
    <row r="18" customHeight="1" spans="1:4">
      <c r="A18" s="71"/>
      <c r="B18" s="87"/>
      <c r="C18" s="83" t="s">
        <v>298</v>
      </c>
      <c r="D18" s="83"/>
    </row>
    <row r="19" customHeight="1" spans="1:4">
      <c r="A19" s="71"/>
      <c r="B19" s="87"/>
      <c r="C19" s="83" t="s">
        <v>299</v>
      </c>
      <c r="D19" s="83"/>
    </row>
    <row r="20" customHeight="1" spans="1:4">
      <c r="A20" s="71"/>
      <c r="B20" s="87"/>
      <c r="C20" s="83" t="s">
        <v>300</v>
      </c>
      <c r="D20" s="83"/>
    </row>
    <row r="21" customHeight="1" spans="1:4">
      <c r="A21" s="73"/>
      <c r="B21" s="88"/>
      <c r="C21" s="83" t="s">
        <v>301</v>
      </c>
      <c r="D21" s="83"/>
    </row>
    <row r="23" customHeight="1" spans="1:4">
      <c r="A23" s="103" t="s">
        <v>302</v>
      </c>
      <c r="B23" s="103"/>
      <c r="C23" s="103"/>
      <c r="D23" s="103"/>
    </row>
  </sheetData>
  <mergeCells count="8">
    <mergeCell ref="A23:D23"/>
    <mergeCell ref="A2:A14"/>
    <mergeCell ref="A15:A21"/>
    <mergeCell ref="B2:B5"/>
    <mergeCell ref="B6:B8"/>
    <mergeCell ref="B9:B11"/>
    <mergeCell ref="B12:B14"/>
    <mergeCell ref="B16:B21"/>
  </mergeCells>
  <pageMargins left="0.7" right="0.7" top="0.75" bottom="0.75" header="0.3" footer="0.3"/>
  <pageSetup paperSize="1" firstPageNumber="4294963191" orientation="portrait" useFirstPageNumber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topLeftCell="A1" activePane="topLeft"/>
      <selection activeCell="G7" sqref="G7:G8"/>
    </sheetView>
  </sheetViews>
  <sheetFormatPr defaultColWidth="9" defaultRowHeight="13.5" customHeight="1" outlineLevelCol="4"/>
  <cols>
    <col min="1" max="2" width="16.1333333333333" style="1" customWidth="1"/>
    <col min="3" max="3" width="9" style="1"/>
    <col min="4" max="4" width="13.8833333333333" style="1" customWidth="1"/>
    <col min="5" max="5" width="69.8833333333333" style="1" customWidth="1"/>
    <col min="6" max="16384" width="9" style="1"/>
  </cols>
  <sheetData>
    <row r="1" customHeight="1" spans="1:5">
      <c r="A1" s="10" t="s">
        <v>303</v>
      </c>
      <c r="B1" s="10" t="s">
        <v>304</v>
      </c>
      <c r="D1" s="10" t="s">
        <v>305</v>
      </c>
      <c r="E1" s="10" t="s">
        <v>306</v>
      </c>
    </row>
    <row r="2" customHeight="1" spans="1:5">
      <c r="A2" s="101" t="s">
        <v>240</v>
      </c>
      <c r="B2" s="101" t="s">
        <v>307</v>
      </c>
      <c r="C2" s="101" t="s">
        <v>308</v>
      </c>
      <c r="D2" s="102" t="s">
        <v>249</v>
      </c>
      <c r="E2" s="101" t="s">
        <v>309</v>
      </c>
    </row>
    <row r="3" customHeight="1" spans="1:5">
      <c r="A3" s="101" t="s">
        <v>241</v>
      </c>
      <c r="B3" s="101" t="s">
        <v>310</v>
      </c>
      <c r="D3" s="101" t="s">
        <v>265</v>
      </c>
      <c r="E3" s="101" t="s">
        <v>311</v>
      </c>
    </row>
    <row r="4" customHeight="1" spans="1:5">
      <c r="A4" s="101" t="s">
        <v>131</v>
      </c>
      <c r="B4" s="101" t="s">
        <v>312</v>
      </c>
      <c r="D4" s="102" t="s">
        <v>259</v>
      </c>
      <c r="E4" s="101" t="s">
        <v>313</v>
      </c>
    </row>
    <row r="5" customHeight="1" spans="1:5">
      <c r="A5" s="101" t="s">
        <v>237</v>
      </c>
      <c r="B5" s="101" t="s">
        <v>314</v>
      </c>
      <c r="D5" s="102" t="s">
        <v>256</v>
      </c>
      <c r="E5" s="101" t="s">
        <v>315</v>
      </c>
    </row>
    <row r="6" customHeight="1" spans="1:5">
      <c r="A6" s="101" t="s">
        <v>235</v>
      </c>
      <c r="B6" s="101" t="s">
        <v>316</v>
      </c>
      <c r="D6" s="102" t="s">
        <v>254</v>
      </c>
      <c r="E6" s="101" t="s">
        <v>317</v>
      </c>
    </row>
    <row r="7" customHeight="1" spans="1:5">
      <c r="A7" s="101" t="s">
        <v>236</v>
      </c>
      <c r="B7" s="101" t="s">
        <v>318</v>
      </c>
      <c r="D7" s="102" t="s">
        <v>255</v>
      </c>
      <c r="E7" s="101" t="s">
        <v>319</v>
      </c>
    </row>
    <row r="8" customHeight="1" spans="1:5">
      <c r="A8" s="101" t="s">
        <v>320</v>
      </c>
      <c r="B8" s="101" t="s">
        <v>321</v>
      </c>
      <c r="D8" s="102" t="s">
        <v>322</v>
      </c>
      <c r="E8" s="101" t="s">
        <v>323</v>
      </c>
    </row>
    <row r="9" customHeight="1" spans="1:2">
      <c r="A9" s="101" t="s">
        <v>233</v>
      </c>
      <c r="B9" s="101" t="s">
        <v>324</v>
      </c>
    </row>
    <row r="10" customHeight="1" spans="1:2">
      <c r="A10" s="101" t="s">
        <v>239</v>
      </c>
      <c r="B10" s="101" t="s">
        <v>325</v>
      </c>
    </row>
    <row r="11" customHeight="1" spans="1:2">
      <c r="A11" s="101" t="s">
        <v>129</v>
      </c>
      <c r="B11" s="101" t="s">
        <v>326</v>
      </c>
    </row>
    <row r="12" customHeight="1" spans="1:2">
      <c r="A12" s="101" t="s">
        <v>242</v>
      </c>
      <c r="B12" s="101" t="s">
        <v>327</v>
      </c>
    </row>
    <row r="13" customHeight="1" spans="1:2">
      <c r="A13" s="101" t="s">
        <v>134</v>
      </c>
      <c r="B13" s="101" t="s">
        <v>328</v>
      </c>
    </row>
    <row r="14" customHeight="1" spans="1:2">
      <c r="A14" s="101" t="s">
        <v>69</v>
      </c>
      <c r="B14" s="101" t="s">
        <v>329</v>
      </c>
    </row>
    <row r="15" customHeight="1" spans="1:2">
      <c r="A15" s="101" t="s">
        <v>123</v>
      </c>
      <c r="B15" s="101" t="s">
        <v>330</v>
      </c>
    </row>
    <row r="16" customHeight="1" spans="1:2">
      <c r="A16" s="101" t="s">
        <v>331</v>
      </c>
      <c r="B16" s="101" t="s">
        <v>332</v>
      </c>
    </row>
    <row r="17" customHeight="1" spans="1:3">
      <c r="A17" s="101" t="s">
        <v>333</v>
      </c>
      <c r="B17" s="101" t="s">
        <v>334</v>
      </c>
      <c r="C17" s="101" t="s">
        <v>335</v>
      </c>
    </row>
    <row r="18" customHeight="1" spans="1:3">
      <c r="A18" s="101" t="s">
        <v>336</v>
      </c>
      <c r="B18" s="101" t="s">
        <v>337</v>
      </c>
      <c r="C18" s="101" t="s">
        <v>338</v>
      </c>
    </row>
    <row r="19" customHeight="1" spans="1:2">
      <c r="A19" s="101" t="s">
        <v>243</v>
      </c>
      <c r="B19" s="101" t="s">
        <v>339</v>
      </c>
    </row>
    <row r="20" customHeight="1" spans="1:4">
      <c r="A20" s="101" t="s">
        <v>244</v>
      </c>
      <c r="B20" s="101" t="s">
        <v>340</v>
      </c>
      <c r="D20" s="101"/>
    </row>
    <row r="21" customHeight="1" spans="1:2">
      <c r="A21" s="101" t="s">
        <v>126</v>
      </c>
      <c r="B21" s="101" t="s">
        <v>341</v>
      </c>
    </row>
    <row r="22" customHeight="1" spans="1:2">
      <c r="A22" s="101" t="s">
        <v>135</v>
      </c>
      <c r="B22" s="101" t="s">
        <v>342</v>
      </c>
    </row>
  </sheetData>
  <pageMargins left="0.7" right="0.7" top="0.75" bottom="0.75" header="0.3" footer="0.3"/>
  <pageSetup paperSize="1" firstPageNumber="4294963191" orientation="portrait" useFirstPageNumber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showGridLines="0" workbookViewId="0">
      <pane topLeftCell="A1" activePane="bottomLeft"/>
      <selection activeCell="C2" sqref="C2:G10"/>
    </sheetView>
  </sheetViews>
  <sheetFormatPr defaultColWidth="9" defaultRowHeight="13.5" customHeight="1"/>
  <cols>
    <col min="1" max="1" width="11.5" style="27" customWidth="1"/>
    <col min="2" max="2" width="7.75" style="27" customWidth="1"/>
    <col min="3" max="6" width="8.5" style="52" customWidth="1"/>
    <col min="7" max="7" width="8.5" style="78" customWidth="1"/>
    <col min="8" max="8" width="7.75" style="52" customWidth="1"/>
    <col min="9" max="9" width="9.75" style="27" customWidth="1"/>
    <col min="10" max="10" width="7.38333333333333" style="27" customWidth="1"/>
    <col min="11" max="11" width="10" style="27" customWidth="1"/>
    <col min="12" max="12" width="10.5" style="29" customWidth="1"/>
    <col min="13" max="13" width="9" style="27"/>
    <col min="14" max="14" width="6.63333333333333" style="27" customWidth="1"/>
    <col min="15" max="16384" width="9" style="27"/>
  </cols>
  <sheetData>
    <row r="1" ht="25.5" spans="1:11">
      <c r="A1" s="3" t="s">
        <v>233</v>
      </c>
      <c r="B1" s="3" t="s">
        <v>343</v>
      </c>
      <c r="C1" s="79" t="s">
        <v>30</v>
      </c>
      <c r="D1" s="80"/>
      <c r="E1" s="81"/>
      <c r="F1" s="4" t="s">
        <v>344</v>
      </c>
      <c r="G1" s="66" t="s">
        <v>345</v>
      </c>
      <c r="H1" s="4" t="s">
        <v>346</v>
      </c>
      <c r="I1" s="5" t="s">
        <v>347</v>
      </c>
      <c r="J1" s="94" t="s">
        <v>182</v>
      </c>
      <c r="K1" s="95" t="s">
        <v>174</v>
      </c>
    </row>
    <row r="2" ht="15" customHeight="1" spans="1:12">
      <c r="A2" s="82" t="s">
        <v>348</v>
      </c>
      <c r="B2" s="83" t="s">
        <v>185</v>
      </c>
      <c r="C2" s="84"/>
      <c r="D2" s="84"/>
      <c r="E2" s="84"/>
      <c r="F2" s="36" t="str">
        <f t="shared" ref="F2:F10" si="0">IFERROR(AVERAGE(C2:E2),"")</f>
        <v/>
      </c>
      <c r="G2" s="36" t="str">
        <f t="shared" ref="G2:G10" si="1">IFERROR(F2-B2,"")</f>
        <v/>
      </c>
      <c r="H2" s="85">
        <f t="shared" ref="H2:H10" si="2">MAX(C2:E2)-MIN(C2:E2)</f>
        <v>0</v>
      </c>
      <c r="I2" s="85">
        <v>0.1</v>
      </c>
      <c r="J2" s="96">
        <v>0.1</v>
      </c>
      <c r="K2" s="10" t="str">
        <f t="shared" ref="K2:K10" si="3">IF(C2="","未检测",IF(AND(ROUND(ABS(G2),1)&lt;=ROUND(ABS(I2),1),ROUND(H2,1)&lt;=ROUND(J2,1)),"合格","不合格"))</f>
        <v>未检测</v>
      </c>
      <c r="L2" s="97"/>
    </row>
    <row r="3" ht="15" customHeight="1" spans="1:12">
      <c r="A3" s="82" t="s">
        <v>349</v>
      </c>
      <c r="B3" s="83" t="s">
        <v>350</v>
      </c>
      <c r="C3" s="84"/>
      <c r="D3" s="84"/>
      <c r="E3" s="84"/>
      <c r="F3" s="36" t="str">
        <f t="shared" si="0"/>
        <v/>
      </c>
      <c r="G3" s="36" t="str">
        <f t="shared" si="1"/>
        <v/>
      </c>
      <c r="H3" s="85">
        <f t="shared" si="2"/>
        <v>0</v>
      </c>
      <c r="I3" s="85">
        <v>0.3</v>
      </c>
      <c r="J3" s="96">
        <v>0.1</v>
      </c>
      <c r="K3" s="10" t="str">
        <f t="shared" si="3"/>
        <v>未检测</v>
      </c>
      <c r="L3" s="97"/>
    </row>
    <row r="4" ht="15" customHeight="1" spans="1:14">
      <c r="A4" s="82" t="s">
        <v>27</v>
      </c>
      <c r="B4" s="83" t="str">
        <f>标准值!C15</f>
        <v>807.4</v>
      </c>
      <c r="C4" s="84"/>
      <c r="D4" s="84"/>
      <c r="E4" s="84"/>
      <c r="F4" s="36" t="str">
        <f t="shared" si="0"/>
        <v/>
      </c>
      <c r="G4" s="36" t="str">
        <f t="shared" si="1"/>
        <v/>
      </c>
      <c r="H4" s="85">
        <f t="shared" si="2"/>
        <v>0</v>
      </c>
      <c r="I4" s="85">
        <v>0.3</v>
      </c>
      <c r="J4" s="96">
        <v>0.1</v>
      </c>
      <c r="K4" s="10" t="str">
        <f t="shared" si="3"/>
        <v>未检测</v>
      </c>
      <c r="L4" s="27"/>
      <c r="N4" s="98"/>
    </row>
    <row r="5" ht="12" customHeight="1" spans="1:12">
      <c r="A5" s="86" t="s">
        <v>36</v>
      </c>
      <c r="B5" s="83" t="str">
        <f>标准值!C16</f>
        <v>640.7</v>
      </c>
      <c r="C5" s="84"/>
      <c r="D5" s="84"/>
      <c r="E5" s="84"/>
      <c r="F5" s="36" t="str">
        <f t="shared" si="0"/>
        <v/>
      </c>
      <c r="G5" s="36" t="str">
        <f t="shared" si="1"/>
        <v/>
      </c>
      <c r="H5" s="85">
        <f t="shared" si="2"/>
        <v>0</v>
      </c>
      <c r="I5" s="85">
        <v>0.3</v>
      </c>
      <c r="J5" s="96">
        <v>0.1</v>
      </c>
      <c r="K5" s="10" t="str">
        <f t="shared" si="3"/>
        <v>未检测</v>
      </c>
      <c r="L5" s="97"/>
    </row>
    <row r="6" customHeight="1" spans="1:14">
      <c r="A6" s="87"/>
      <c r="B6" s="83" t="str">
        <f>标准值!C17</f>
        <v>536.8</v>
      </c>
      <c r="C6" s="84"/>
      <c r="D6" s="84"/>
      <c r="E6" s="84"/>
      <c r="F6" s="36" t="str">
        <f t="shared" si="0"/>
        <v/>
      </c>
      <c r="G6" s="36" t="str">
        <f t="shared" si="1"/>
        <v/>
      </c>
      <c r="H6" s="85">
        <f t="shared" si="2"/>
        <v>0</v>
      </c>
      <c r="I6" s="85">
        <v>0.3</v>
      </c>
      <c r="J6" s="96">
        <v>0.1</v>
      </c>
      <c r="K6" s="10" t="str">
        <f t="shared" si="3"/>
        <v>未检测</v>
      </c>
      <c r="L6" s="97"/>
      <c r="N6" s="99"/>
    </row>
    <row r="7" customHeight="1" spans="1:12">
      <c r="A7" s="87"/>
      <c r="B7" s="83" t="str">
        <f>标准值!C18</f>
        <v>416.5</v>
      </c>
      <c r="C7" s="84"/>
      <c r="D7" s="84"/>
      <c r="E7" s="84"/>
      <c r="F7" s="36" t="str">
        <f t="shared" si="0"/>
        <v/>
      </c>
      <c r="G7" s="36" t="str">
        <f t="shared" si="1"/>
        <v/>
      </c>
      <c r="H7" s="85">
        <f t="shared" si="2"/>
        <v>0</v>
      </c>
      <c r="I7" s="85">
        <v>0.3</v>
      </c>
      <c r="J7" s="96">
        <v>0.1</v>
      </c>
      <c r="K7" s="10" t="str">
        <f t="shared" si="3"/>
        <v>未检测</v>
      </c>
      <c r="L7" s="97"/>
    </row>
    <row r="8" ht="15" customHeight="1" spans="1:12">
      <c r="A8" s="87"/>
      <c r="B8" s="83" t="str">
        <f>标准值!C19</f>
        <v>361.0</v>
      </c>
      <c r="C8" s="84"/>
      <c r="D8" s="84"/>
      <c r="E8" s="84"/>
      <c r="F8" s="36" t="str">
        <f t="shared" si="0"/>
        <v/>
      </c>
      <c r="G8" s="36" t="str">
        <f t="shared" si="1"/>
        <v/>
      </c>
      <c r="H8" s="85">
        <f t="shared" si="2"/>
        <v>0</v>
      </c>
      <c r="I8" s="85">
        <v>0.3</v>
      </c>
      <c r="J8" s="96">
        <v>0.1</v>
      </c>
      <c r="K8" s="10" t="str">
        <f t="shared" si="3"/>
        <v>未检测</v>
      </c>
      <c r="L8" s="97"/>
    </row>
    <row r="9" ht="15" customHeight="1" spans="1:12">
      <c r="A9" s="87"/>
      <c r="B9" s="83" t="str">
        <f>标准值!C20</f>
        <v>287.4</v>
      </c>
      <c r="C9" s="84"/>
      <c r="D9" s="84"/>
      <c r="E9" s="84"/>
      <c r="F9" s="36" t="str">
        <f t="shared" si="0"/>
        <v/>
      </c>
      <c r="G9" s="36" t="str">
        <f t="shared" si="1"/>
        <v/>
      </c>
      <c r="H9" s="85">
        <f t="shared" si="2"/>
        <v>0</v>
      </c>
      <c r="I9" s="85">
        <v>0.3</v>
      </c>
      <c r="J9" s="96">
        <v>0.1</v>
      </c>
      <c r="K9" s="10" t="str">
        <f t="shared" si="3"/>
        <v>未检测</v>
      </c>
      <c r="L9" s="97"/>
    </row>
    <row r="10" ht="15" customHeight="1" spans="1:12">
      <c r="A10" s="88"/>
      <c r="B10" s="83" t="str">
        <f>标准值!C21</f>
        <v>241.0</v>
      </c>
      <c r="C10" s="84"/>
      <c r="D10" s="84"/>
      <c r="E10" s="84"/>
      <c r="F10" s="36" t="str">
        <f t="shared" si="0"/>
        <v/>
      </c>
      <c r="G10" s="36" t="str">
        <f t="shared" si="1"/>
        <v/>
      </c>
      <c r="H10" s="85">
        <f t="shared" si="2"/>
        <v>0</v>
      </c>
      <c r="I10" s="85">
        <v>0.3</v>
      </c>
      <c r="J10" s="96">
        <v>0.1</v>
      </c>
      <c r="K10" s="10" t="str">
        <f t="shared" si="3"/>
        <v>未检测</v>
      </c>
      <c r="L10" s="97"/>
    </row>
    <row r="11" ht="15" customHeight="1" spans="1:12">
      <c r="A11" s="89"/>
      <c r="B11" s="90"/>
      <c r="C11" s="91"/>
      <c r="D11" s="92"/>
      <c r="E11" s="92"/>
      <c r="F11" s="92"/>
      <c r="G11" s="93"/>
      <c r="H11" s="92"/>
      <c r="I11" s="92"/>
      <c r="J11" s="100"/>
      <c r="K11" s="28"/>
      <c r="L11" s="97"/>
    </row>
    <row r="12" customHeight="1" spans="12:12">
      <c r="L12" s="27"/>
    </row>
    <row r="13" customHeight="1" spans="12:12">
      <c r="L13" s="27"/>
    </row>
    <row r="14" customHeight="1" spans="12:12">
      <c r="L14" s="27"/>
    </row>
    <row r="15" customHeight="1" spans="12:12">
      <c r="L15" s="27"/>
    </row>
    <row r="16" customHeight="1" spans="12:12">
      <c r="L16" s="27"/>
    </row>
    <row r="17" customHeight="1" spans="12:12">
      <c r="L17" s="27"/>
    </row>
    <row r="18" customHeight="1" spans="12:12">
      <c r="L18" s="27"/>
    </row>
    <row r="19" customHeight="1" spans="12:12">
      <c r="L19" s="27"/>
    </row>
  </sheetData>
  <mergeCells count="2">
    <mergeCell ref="C1:E1"/>
    <mergeCell ref="A5:A10"/>
  </mergeCells>
  <conditionalFormatting sqref="K2:K11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workbookViewId="0">
      <pane topLeftCell="A1" activePane="bottomLeft"/>
      <selection activeCell="G5" sqref="G5"/>
    </sheetView>
  </sheetViews>
  <sheetFormatPr defaultColWidth="9" defaultRowHeight="13.5" customHeight="1"/>
  <cols>
    <col min="1" max="1" width="13.3833333333333" style="27" customWidth="1"/>
    <col min="2" max="2" width="7.25" style="28" customWidth="1"/>
    <col min="3" max="3" width="7.25" style="52" customWidth="1"/>
    <col min="4" max="6" width="7.88333333333333" style="30" customWidth="1"/>
    <col min="7" max="7" width="8.75" style="61" customWidth="1"/>
    <col min="8" max="8" width="7.88333333333333" style="62" customWidth="1"/>
    <col min="9" max="9" width="7.25" style="52" customWidth="1"/>
    <col min="10" max="11" width="7.25" style="27" customWidth="1"/>
    <col min="12" max="12" width="10" style="27" customWidth="1"/>
    <col min="13" max="13" width="9" style="27"/>
    <col min="14" max="14" width="14.3833333333333" style="27" customWidth="1"/>
    <col min="15" max="20" width="9" style="27"/>
    <col min="21" max="21" width="16.1333333333333" style="27" customWidth="1"/>
    <col min="22" max="22" width="13.8833333333333" style="27" customWidth="1"/>
    <col min="23" max="16384" width="9" style="27"/>
  </cols>
  <sheetData>
    <row r="1" ht="38.25" spans="1:12">
      <c r="A1" s="3" t="s">
        <v>233</v>
      </c>
      <c r="B1" s="3" t="s">
        <v>351</v>
      </c>
      <c r="C1" s="4" t="s">
        <v>53</v>
      </c>
      <c r="D1" s="63" t="s">
        <v>54</v>
      </c>
      <c r="E1" s="64"/>
      <c r="F1" s="65"/>
      <c r="G1" s="4" t="s">
        <v>352</v>
      </c>
      <c r="H1" s="66" t="s">
        <v>353</v>
      </c>
      <c r="I1" s="4" t="s">
        <v>354</v>
      </c>
      <c r="J1" s="5" t="s">
        <v>355</v>
      </c>
      <c r="K1" s="5" t="s">
        <v>356</v>
      </c>
      <c r="L1" s="3" t="s">
        <v>174</v>
      </c>
    </row>
    <row r="2" ht="15" customHeight="1" spans="1:12">
      <c r="A2" s="67" t="s">
        <v>52</v>
      </c>
      <c r="B2" s="68">
        <v>350</v>
      </c>
      <c r="C2" s="68">
        <f>标准值!D2</f>
        <v>23.2</v>
      </c>
      <c r="D2" s="69"/>
      <c r="E2" s="69"/>
      <c r="F2" s="69"/>
      <c r="G2" s="8" t="str">
        <f t="shared" ref="G2:G14" si="0">IFERROR(AVERAGE(D2:F2),"")</f>
        <v/>
      </c>
      <c r="H2" s="70" t="str">
        <f t="shared" ref="H2:H14" si="1">IFERROR(G2-C2,"")</f>
        <v/>
      </c>
      <c r="I2" s="77">
        <f t="shared" ref="I2:I14" si="2">MAX(ROUND(D2,2),ROUND(E2,2),ROUND(F2,2))-MIN(ROUND(D2,2),ROUND(E2,2),ROUND(F2,2))</f>
        <v>0</v>
      </c>
      <c r="J2" s="15">
        <v>0.3</v>
      </c>
      <c r="K2" s="15">
        <v>0.1</v>
      </c>
      <c r="L2" s="10" t="str">
        <f t="shared" ref="L2:L14" si="3">IF(D2="","未检测",IF(AND(ROUND(ABS(H2),2)&lt;=ROUND(ABS(J2),2),ROUND(I2,2)&lt;=ROUND(K2,2)),"合格","不合格"))</f>
        <v>未检测</v>
      </c>
    </row>
    <row r="3" customHeight="1" spans="1:12">
      <c r="A3" s="71"/>
      <c r="B3" s="68">
        <v>313</v>
      </c>
      <c r="C3" s="68">
        <f>标准值!D3</f>
        <v>51.58</v>
      </c>
      <c r="D3" s="69"/>
      <c r="E3" s="69"/>
      <c r="F3" s="69"/>
      <c r="G3" s="8" t="str">
        <f t="shared" si="0"/>
        <v/>
      </c>
      <c r="H3" s="70" t="str">
        <f t="shared" si="1"/>
        <v/>
      </c>
      <c r="I3" s="77">
        <f t="shared" si="2"/>
        <v>0</v>
      </c>
      <c r="J3" s="15">
        <v>0.3</v>
      </c>
      <c r="K3" s="15">
        <v>0.1</v>
      </c>
      <c r="L3" s="10" t="str">
        <f t="shared" si="3"/>
        <v>未检测</v>
      </c>
    </row>
    <row r="4" customHeight="1" spans="1:12">
      <c r="A4" s="71"/>
      <c r="B4" s="72">
        <v>257</v>
      </c>
      <c r="C4" s="68">
        <f>标准值!D4</f>
        <v>14.06</v>
      </c>
      <c r="D4" s="69"/>
      <c r="E4" s="69"/>
      <c r="F4" s="69"/>
      <c r="G4" s="8" t="str">
        <f t="shared" si="0"/>
        <v/>
      </c>
      <c r="H4" s="70" t="str">
        <f t="shared" si="1"/>
        <v/>
      </c>
      <c r="I4" s="77">
        <f t="shared" si="2"/>
        <v>0</v>
      </c>
      <c r="J4" s="15">
        <v>0.3</v>
      </c>
      <c r="K4" s="15">
        <v>0.1</v>
      </c>
      <c r="L4" s="10" t="str">
        <f t="shared" si="3"/>
        <v>未检测</v>
      </c>
    </row>
    <row r="5" customHeight="1" spans="1:12">
      <c r="A5" s="73"/>
      <c r="B5" s="72">
        <v>235</v>
      </c>
      <c r="C5" s="68">
        <f>标准值!D5</f>
        <v>18.42</v>
      </c>
      <c r="D5" s="69"/>
      <c r="E5" s="69"/>
      <c r="F5" s="69"/>
      <c r="G5" s="8" t="str">
        <f t="shared" si="0"/>
        <v/>
      </c>
      <c r="H5" s="70" t="str">
        <f t="shared" si="1"/>
        <v/>
      </c>
      <c r="I5" s="77">
        <f t="shared" si="2"/>
        <v>0</v>
      </c>
      <c r="J5" s="15">
        <v>0.3</v>
      </c>
      <c r="K5" s="15">
        <v>0.1</v>
      </c>
      <c r="L5" s="10" t="str">
        <f t="shared" si="3"/>
        <v>未检测</v>
      </c>
    </row>
    <row r="6" customHeight="1" spans="1:12">
      <c r="A6" s="74" t="s">
        <v>42</v>
      </c>
      <c r="B6" s="68">
        <v>635</v>
      </c>
      <c r="C6" s="68">
        <f>标准值!D6</f>
        <v>7.62</v>
      </c>
      <c r="D6" s="69"/>
      <c r="E6" s="69"/>
      <c r="F6" s="69"/>
      <c r="G6" s="8" t="str">
        <f t="shared" si="0"/>
        <v/>
      </c>
      <c r="H6" s="70" t="str">
        <f t="shared" si="1"/>
        <v/>
      </c>
      <c r="I6" s="77">
        <f t="shared" si="2"/>
        <v>0</v>
      </c>
      <c r="J6" s="15">
        <v>0.3</v>
      </c>
      <c r="K6" s="15">
        <v>0.1</v>
      </c>
      <c r="L6" s="10" t="str">
        <f t="shared" si="3"/>
        <v>未检测</v>
      </c>
    </row>
    <row r="7" ht="15" customHeight="1" spans="1:12">
      <c r="A7" s="75"/>
      <c r="B7" s="68">
        <v>546</v>
      </c>
      <c r="C7" s="68">
        <f>标准值!D7</f>
        <v>11.03</v>
      </c>
      <c r="D7" s="69"/>
      <c r="E7" s="69"/>
      <c r="F7" s="69"/>
      <c r="G7" s="8" t="str">
        <f t="shared" si="0"/>
        <v/>
      </c>
      <c r="H7" s="70" t="str">
        <f t="shared" si="1"/>
        <v/>
      </c>
      <c r="I7" s="77">
        <f t="shared" si="2"/>
        <v>0</v>
      </c>
      <c r="J7" s="15">
        <v>0.3</v>
      </c>
      <c r="K7" s="15">
        <v>0.1</v>
      </c>
      <c r="L7" s="10" t="str">
        <f t="shared" si="3"/>
        <v>未检测</v>
      </c>
    </row>
    <row r="8" ht="15" customHeight="1" spans="1:12">
      <c r="A8" s="76"/>
      <c r="B8" s="68">
        <v>440</v>
      </c>
      <c r="C8" s="68">
        <f>标准值!D8</f>
        <v>11.46</v>
      </c>
      <c r="D8" s="69"/>
      <c r="E8" s="69"/>
      <c r="F8" s="69"/>
      <c r="G8" s="8" t="str">
        <f t="shared" si="0"/>
        <v/>
      </c>
      <c r="H8" s="70" t="str">
        <f t="shared" si="1"/>
        <v/>
      </c>
      <c r="I8" s="77">
        <f t="shared" si="2"/>
        <v>0</v>
      </c>
      <c r="J8" s="15">
        <v>0.3</v>
      </c>
      <c r="K8" s="15">
        <v>0.1</v>
      </c>
      <c r="L8" s="10" t="str">
        <f t="shared" si="3"/>
        <v>未检测</v>
      </c>
    </row>
    <row r="9" ht="15" customHeight="1" spans="1:12">
      <c r="A9" s="74" t="s">
        <v>48</v>
      </c>
      <c r="B9" s="68">
        <v>635</v>
      </c>
      <c r="C9" s="68">
        <f>标准值!D9</f>
        <v>17.64</v>
      </c>
      <c r="D9" s="69"/>
      <c r="E9" s="69"/>
      <c r="F9" s="69"/>
      <c r="G9" s="8" t="str">
        <f t="shared" si="0"/>
        <v/>
      </c>
      <c r="H9" s="70" t="str">
        <f t="shared" si="1"/>
        <v/>
      </c>
      <c r="I9" s="77">
        <f t="shared" si="2"/>
        <v>0</v>
      </c>
      <c r="J9" s="15">
        <v>0.3</v>
      </c>
      <c r="K9" s="15">
        <v>0.1</v>
      </c>
      <c r="L9" s="10" t="str">
        <f t="shared" si="3"/>
        <v>未检测</v>
      </c>
    </row>
    <row r="10" ht="15" customHeight="1" spans="1:12">
      <c r="A10" s="75"/>
      <c r="B10" s="68">
        <v>546</v>
      </c>
      <c r="C10" s="68">
        <f>标准值!D10</f>
        <v>21.74</v>
      </c>
      <c r="D10" s="69"/>
      <c r="E10" s="69"/>
      <c r="F10" s="69"/>
      <c r="G10" s="8" t="str">
        <f t="shared" si="0"/>
        <v/>
      </c>
      <c r="H10" s="70" t="str">
        <f t="shared" si="1"/>
        <v/>
      </c>
      <c r="I10" s="77">
        <f t="shared" si="2"/>
        <v>0</v>
      </c>
      <c r="J10" s="15">
        <v>0.3</v>
      </c>
      <c r="K10" s="15">
        <v>0.1</v>
      </c>
      <c r="L10" s="10" t="str">
        <f t="shared" si="3"/>
        <v>未检测</v>
      </c>
    </row>
    <row r="11" customHeight="1" spans="1:12">
      <c r="A11" s="76"/>
      <c r="B11" s="68">
        <v>440</v>
      </c>
      <c r="C11" s="68">
        <f>标准值!D11</f>
        <v>21.92</v>
      </c>
      <c r="D11" s="69"/>
      <c r="E11" s="69"/>
      <c r="F11" s="69"/>
      <c r="G11" s="8" t="str">
        <f t="shared" si="0"/>
        <v/>
      </c>
      <c r="H11" s="70" t="str">
        <f t="shared" si="1"/>
        <v/>
      </c>
      <c r="I11" s="77">
        <f t="shared" si="2"/>
        <v>0</v>
      </c>
      <c r="J11" s="15">
        <v>0.3</v>
      </c>
      <c r="K11" s="15">
        <v>0.1</v>
      </c>
      <c r="L11" s="10" t="str">
        <f t="shared" si="3"/>
        <v>未检测</v>
      </c>
    </row>
    <row r="12" customHeight="1" spans="1:12">
      <c r="A12" s="74" t="s">
        <v>50</v>
      </c>
      <c r="B12" s="68">
        <v>635</v>
      </c>
      <c r="C12" s="68">
        <f>标准值!D12</f>
        <v>23.59</v>
      </c>
      <c r="D12" s="69"/>
      <c r="E12" s="69"/>
      <c r="F12" s="69"/>
      <c r="G12" s="8" t="str">
        <f t="shared" si="0"/>
        <v/>
      </c>
      <c r="H12" s="70" t="str">
        <f t="shared" si="1"/>
        <v/>
      </c>
      <c r="I12" s="77">
        <f t="shared" si="2"/>
        <v>0</v>
      </c>
      <c r="J12" s="15">
        <v>0.3</v>
      </c>
      <c r="K12" s="15">
        <v>0.1</v>
      </c>
      <c r="L12" s="10" t="str">
        <f t="shared" si="3"/>
        <v>未检测</v>
      </c>
    </row>
    <row r="13" customHeight="1" spans="1:12">
      <c r="A13" s="75"/>
      <c r="B13" s="68">
        <v>546</v>
      </c>
      <c r="C13" s="68">
        <f>标准值!D13</f>
        <v>29.32</v>
      </c>
      <c r="D13" s="69"/>
      <c r="E13" s="69"/>
      <c r="F13" s="69"/>
      <c r="G13" s="8" t="str">
        <f t="shared" si="0"/>
        <v/>
      </c>
      <c r="H13" s="70" t="str">
        <f t="shared" si="1"/>
        <v/>
      </c>
      <c r="I13" s="77">
        <f t="shared" si="2"/>
        <v>0</v>
      </c>
      <c r="J13" s="15">
        <v>0.3</v>
      </c>
      <c r="K13" s="15">
        <v>0.1</v>
      </c>
      <c r="L13" s="10" t="str">
        <f t="shared" si="3"/>
        <v>未检测</v>
      </c>
    </row>
    <row r="14" customHeight="1" spans="1:12">
      <c r="A14" s="76"/>
      <c r="B14" s="68">
        <v>440</v>
      </c>
      <c r="C14" s="68">
        <f>标准值!D14</f>
        <v>29.91</v>
      </c>
      <c r="D14" s="69"/>
      <c r="E14" s="69"/>
      <c r="F14" s="69"/>
      <c r="G14" s="8" t="str">
        <f t="shared" si="0"/>
        <v/>
      </c>
      <c r="H14" s="70" t="str">
        <f t="shared" si="1"/>
        <v/>
      </c>
      <c r="I14" s="77">
        <f t="shared" si="2"/>
        <v>0</v>
      </c>
      <c r="J14" s="15">
        <v>0.3</v>
      </c>
      <c r="K14" s="15">
        <v>0.1</v>
      </c>
      <c r="L14" s="10" t="str">
        <f t="shared" si="3"/>
        <v>未检测</v>
      </c>
    </row>
    <row r="18" ht="15" customHeight="1"/>
    <row r="19" ht="15" customHeight="1"/>
    <row r="25" ht="15" customHeight="1"/>
    <row r="26" ht="15" customHeight="1"/>
    <row r="28" ht="15" customHeight="1"/>
    <row r="31" ht="15" customHeight="1"/>
    <row r="32" ht="15" customHeight="1"/>
    <row r="33" ht="15" customHeight="1"/>
  </sheetData>
  <mergeCells count="5">
    <mergeCell ref="D1:F1"/>
    <mergeCell ref="A2:A5"/>
    <mergeCell ref="A6:A8"/>
    <mergeCell ref="A9:A11"/>
    <mergeCell ref="A12:A14"/>
  </mergeCells>
  <conditionalFormatting sqref="L2:L14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showGridLines="0" workbookViewId="0">
      <pane topLeftCell="A1" activePane="bottomLeft"/>
      <selection activeCell="E3" sqref="E3"/>
    </sheetView>
  </sheetViews>
  <sheetFormatPr defaultColWidth="9" defaultRowHeight="13.5" customHeight="1" outlineLevelRow="4" outlineLevelCol="6"/>
  <cols>
    <col min="1" max="1" width="18.3833333333333" style="27" customWidth="1"/>
    <col min="2" max="2" width="7.88333333333333" style="27" customWidth="1"/>
    <col min="3" max="5" width="12.75" style="51" customWidth="1"/>
    <col min="6" max="6" width="10" style="52" customWidth="1"/>
    <col min="7" max="7" width="9.38333333333333" style="27" customWidth="1"/>
    <col min="8" max="16384" width="9" style="27"/>
  </cols>
  <sheetData>
    <row r="1" ht="30" customHeight="1" spans="1:7">
      <c r="A1" s="3" t="s">
        <v>233</v>
      </c>
      <c r="B1" s="3" t="s">
        <v>357</v>
      </c>
      <c r="C1" s="53" t="s">
        <v>54</v>
      </c>
      <c r="D1" s="54"/>
      <c r="E1" s="55"/>
      <c r="F1" s="56" t="s">
        <v>358</v>
      </c>
      <c r="G1" s="3" t="s">
        <v>174</v>
      </c>
    </row>
    <row r="2" ht="18" customHeight="1" spans="1:7">
      <c r="A2" s="57" t="s">
        <v>59</v>
      </c>
      <c r="B2" s="57">
        <v>220</v>
      </c>
      <c r="C2" s="58"/>
      <c r="D2" s="58"/>
      <c r="E2" s="58"/>
      <c r="F2" s="59">
        <v>0.01</v>
      </c>
      <c r="G2" s="10" t="str">
        <f t="shared" ref="G2:G3" si="0">IF(C2="","未检测",IF(ROUND(ABS(AVERAGE(C2:E2)),4)&lt;ROUND(F2,4),"合格","不合格"))</f>
        <v>未检测</v>
      </c>
    </row>
    <row r="3" ht="16.5" customHeight="1" spans="1:7">
      <c r="A3" s="57" t="s">
        <v>63</v>
      </c>
      <c r="B3" s="57">
        <v>360</v>
      </c>
      <c r="C3" s="58"/>
      <c r="D3" s="58"/>
      <c r="E3" s="58"/>
      <c r="F3" s="59">
        <v>0.05</v>
      </c>
      <c r="G3" s="10" t="str">
        <f t="shared" si="0"/>
        <v>未检测</v>
      </c>
    </row>
    <row r="5" customHeight="1" spans="1:1">
      <c r="A5" s="60"/>
    </row>
  </sheetData>
  <mergeCells count="1">
    <mergeCell ref="C1:E1"/>
  </mergeCells>
  <conditionalFormatting sqref="G2:G3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topLeftCell="A1" activePane="bottomLeft"/>
      <selection activeCell="B2" sqref="B2"/>
    </sheetView>
  </sheetViews>
  <sheetFormatPr defaultColWidth="9" defaultRowHeight="13.5" customHeight="1" outlineLevelRow="4" outlineLevelCol="3"/>
  <cols>
    <col min="1" max="1" width="11.75" style="1" customWidth="1"/>
    <col min="2" max="2" width="16.1333333333333" style="47" customWidth="1"/>
    <col min="3" max="3" width="17.5" style="1" customWidth="1"/>
    <col min="4" max="4" width="12.25" style="1" customWidth="1"/>
    <col min="5" max="16384" width="9" style="1"/>
  </cols>
  <sheetData>
    <row r="1" ht="30" customHeight="1" spans="1:4">
      <c r="A1" s="3" t="s">
        <v>233</v>
      </c>
      <c r="B1" s="48" t="s">
        <v>66</v>
      </c>
      <c r="C1" s="5" t="s">
        <v>358</v>
      </c>
      <c r="D1" s="3" t="s">
        <v>174</v>
      </c>
    </row>
    <row r="2" customHeight="1" spans="1:4">
      <c r="A2" s="6" t="s">
        <v>64</v>
      </c>
      <c r="B2" s="44"/>
      <c r="C2" s="49">
        <v>0.0005</v>
      </c>
      <c r="D2" s="10" t="str">
        <f>IF(B2="","未检测",IF(OR(B2="",(ABS(B2)&gt;C2)),"不合格","合格"))</f>
        <v>未检测</v>
      </c>
    </row>
    <row r="4" customHeight="1" spans="2:2">
      <c r="B4" s="50"/>
    </row>
    <row r="5" customHeight="1" spans="1:1">
      <c r="A5" s="20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showGridLines="0" workbookViewId="0">
      <pane topLeftCell="A1" activePane="bottomLeft"/>
      <selection activeCell="B2" sqref="B2"/>
    </sheetView>
  </sheetViews>
  <sheetFormatPr defaultColWidth="9" defaultRowHeight="13.5" customHeight="1" outlineLevelRow="4" outlineLevelCol="3"/>
  <cols>
    <col min="1" max="1" width="12.25" style="1" customWidth="1"/>
    <col min="2" max="2" width="12.75" style="41" customWidth="1"/>
    <col min="3" max="3" width="13.25" style="42" customWidth="1"/>
    <col min="4" max="4" width="10.25" style="1" customWidth="1"/>
    <col min="5" max="5" width="13.5" style="1" customWidth="1"/>
    <col min="6" max="8" width="9" style="1"/>
    <col min="9" max="9" width="10" style="1" customWidth="1"/>
    <col min="10" max="16384" width="9" style="1"/>
  </cols>
  <sheetData>
    <row r="1" ht="30" customHeight="1" spans="1:4">
      <c r="A1" s="3" t="s">
        <v>233</v>
      </c>
      <c r="B1" s="32" t="s">
        <v>54</v>
      </c>
      <c r="C1" s="43" t="s">
        <v>358</v>
      </c>
      <c r="D1" s="3" t="s">
        <v>174</v>
      </c>
    </row>
    <row r="2" customHeight="1" spans="1:4">
      <c r="A2" s="6" t="s">
        <v>67</v>
      </c>
      <c r="B2" s="44"/>
      <c r="C2" s="45">
        <v>0.1</v>
      </c>
      <c r="D2" s="10" t="str">
        <f>IF(B2="","未检测",IF(ABS(ROUND(B2,4))&lt;ROUND(C2,4),"合格","不合格"))</f>
        <v>未检测</v>
      </c>
    </row>
    <row r="4" customHeight="1" spans="2:2">
      <c r="B4" s="46"/>
    </row>
    <row r="5" customHeight="1" spans="1:1">
      <c r="A5" s="20"/>
    </row>
  </sheetData>
  <conditionalFormatting sqref="D2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showGridLines="0" workbookViewId="0">
      <pane topLeftCell="A1" activePane="bottomLeft"/>
      <selection activeCell="D2" sqref="D2"/>
    </sheetView>
  </sheetViews>
  <sheetFormatPr defaultColWidth="9" defaultRowHeight="13.5" customHeight="1" outlineLevelRow="2" outlineLevelCol="6"/>
  <cols>
    <col min="1" max="1" width="9.38333333333333" style="27" customWidth="1"/>
    <col min="2" max="2" width="9.38333333333333" style="28" customWidth="1"/>
    <col min="3" max="3" width="11.3833333333333" style="29" customWidth="1"/>
    <col min="4" max="4" width="14.75" style="30" customWidth="1"/>
    <col min="5" max="5" width="12.1333333333333" style="30" customWidth="1"/>
    <col min="6" max="6" width="14.8833333333333" style="30" customWidth="1"/>
    <col min="7" max="7" width="10" style="27" customWidth="1"/>
    <col min="8" max="11" width="9" style="27"/>
    <col min="12" max="12" width="16.5" style="27" customWidth="1"/>
    <col min="13" max="16384" width="9" style="27"/>
  </cols>
  <sheetData>
    <row r="1" ht="30" customHeight="1" spans="1:7">
      <c r="A1" s="3" t="s">
        <v>233</v>
      </c>
      <c r="B1" s="31" t="s">
        <v>123</v>
      </c>
      <c r="C1" s="31" t="s">
        <v>124</v>
      </c>
      <c r="D1" s="32" t="s">
        <v>30</v>
      </c>
      <c r="E1" s="32" t="s">
        <v>74</v>
      </c>
      <c r="F1" s="33" t="s">
        <v>359</v>
      </c>
      <c r="G1" s="3" t="s">
        <v>174</v>
      </c>
    </row>
    <row r="2" ht="15" customHeight="1" spans="1:7">
      <c r="A2" s="6" t="s">
        <v>72</v>
      </c>
      <c r="B2" s="34">
        <v>656.1</v>
      </c>
      <c r="C2" s="35">
        <v>2</v>
      </c>
      <c r="D2" s="36"/>
      <c r="E2" s="37">
        <f>(D2-C2)/C2*100</f>
        <v>-100</v>
      </c>
      <c r="F2" s="38">
        <v>20</v>
      </c>
      <c r="G2" s="10" t="str">
        <f>IF(D2="","未检测",IF(ROUND(ABS(E2),2)&lt;=ROUND(ABS(F2),2),"合格","不合格"))</f>
        <v>未检测</v>
      </c>
    </row>
    <row r="3" customHeight="1" spans="3:7">
      <c r="C3" s="39"/>
      <c r="D3" s="40"/>
      <c r="E3" s="40"/>
      <c r="F3" s="40"/>
      <c r="G3" s="28"/>
    </row>
  </sheetData>
  <conditionalFormatting sqref="G2">
    <cfRule type="cellIs" priority="2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topLeftCell="A1" activePane="bottomLeft"/>
      <selection activeCell="C2" sqref="C2:C5"/>
    </sheetView>
  </sheetViews>
  <sheetFormatPr defaultColWidth="9" defaultRowHeight="13.5" customHeight="1" outlineLevelRow="6" outlineLevelCol="4"/>
  <cols>
    <col min="1" max="1" width="15" style="1" customWidth="1"/>
    <col min="2" max="2" width="11.3833333333333" style="1" customWidth="1"/>
    <col min="3" max="3" width="14.6333333333333" style="22" customWidth="1"/>
    <col min="4" max="4" width="14.1333333333333" style="11" customWidth="1"/>
    <col min="5" max="5" width="10" style="1" customWidth="1"/>
    <col min="6" max="16384" width="9" style="1"/>
  </cols>
  <sheetData>
    <row r="1" ht="30" customHeight="1" spans="1:5">
      <c r="A1" s="12" t="s">
        <v>233</v>
      </c>
      <c r="B1" s="3" t="s">
        <v>123</v>
      </c>
      <c r="C1" s="23" t="s">
        <v>54</v>
      </c>
      <c r="D1" s="24" t="s">
        <v>360</v>
      </c>
      <c r="E1" s="3" t="s">
        <v>174</v>
      </c>
    </row>
    <row r="2" customHeight="1" spans="1:5">
      <c r="A2" s="15" t="s">
        <v>206</v>
      </c>
      <c r="B2" s="16">
        <v>500</v>
      </c>
      <c r="C2" s="25"/>
      <c r="D2" s="19">
        <v>0.05</v>
      </c>
      <c r="E2" s="10" t="str">
        <f t="shared" ref="E2:E5" si="0">IF(C2="","未检测",IF(C2&lt;=D2,"合格","不合格"))</f>
        <v>未检测</v>
      </c>
    </row>
    <row r="3" customHeight="1" spans="1:5">
      <c r="A3" s="15" t="s">
        <v>207</v>
      </c>
      <c r="B3" s="16">
        <v>500</v>
      </c>
      <c r="C3" s="25"/>
      <c r="D3" s="26">
        <v>0.005</v>
      </c>
      <c r="E3" s="10" t="str">
        <f t="shared" si="0"/>
        <v>未检测</v>
      </c>
    </row>
    <row r="4" customHeight="1" spans="1:5">
      <c r="A4" s="15" t="s">
        <v>208</v>
      </c>
      <c r="B4" s="16">
        <v>250</v>
      </c>
      <c r="C4" s="25"/>
      <c r="D4" s="19">
        <v>0.05</v>
      </c>
      <c r="E4" s="10" t="str">
        <f t="shared" si="0"/>
        <v>未检测</v>
      </c>
    </row>
    <row r="5" customHeight="1" spans="1:5">
      <c r="A5" s="15" t="s">
        <v>209</v>
      </c>
      <c r="B5" s="16">
        <v>250</v>
      </c>
      <c r="C5" s="25"/>
      <c r="D5" s="26">
        <v>0.005</v>
      </c>
      <c r="E5" s="10" t="str">
        <f t="shared" si="0"/>
        <v>未检测</v>
      </c>
    </row>
    <row r="7" customHeight="1" spans="1:2">
      <c r="A7" s="20"/>
      <c r="B7" s="21"/>
    </row>
  </sheetData>
  <conditionalFormatting sqref="E2:E5">
    <cfRule type="cellIs" priority="1" operator="equal">
      <formula>"不合格"</formula>
    </cfRule>
  </conditionalFormatting>
  <pageMargins left="0.7" right="0.7" top="0.75" bottom="0.75" header="0.3" footer="0.3"/>
  <pageSetup paperSize="9" firstPageNumber="4294963191" orientation="portrait" useFirstPageNumber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showGridLines="0" workbookViewId="0">
      <pane topLeftCell="A1" activePane="bottomLeft"/>
      <selection activeCell="C2" sqref="C2:C5"/>
    </sheetView>
  </sheetViews>
  <sheetFormatPr defaultColWidth="9" defaultRowHeight="13.5" customHeight="1" outlineLevelRow="6" outlineLevelCol="4"/>
  <cols>
    <col min="1" max="1" width="16.1333333333333" style="1" customWidth="1"/>
    <col min="2" max="2" width="11.3833333333333" style="1" customWidth="1"/>
    <col min="3" max="3" width="14.3833333333333" style="11" customWidth="1"/>
    <col min="4" max="4" width="14.25" style="2" customWidth="1"/>
    <col min="5" max="5" width="10.75" style="1" customWidth="1"/>
    <col min="6" max="16384" width="9" style="1"/>
  </cols>
  <sheetData>
    <row r="1" ht="30" customHeight="1" spans="1:5">
      <c r="A1" s="12" t="s">
        <v>233</v>
      </c>
      <c r="B1" s="3" t="s">
        <v>361</v>
      </c>
      <c r="C1" s="13" t="s">
        <v>54</v>
      </c>
      <c r="D1" s="14" t="s">
        <v>360</v>
      </c>
      <c r="E1" s="3" t="s">
        <v>174</v>
      </c>
    </row>
    <row r="2" customHeight="1" spans="1:5">
      <c r="A2" s="15" t="s">
        <v>211</v>
      </c>
      <c r="B2" s="16">
        <v>1090</v>
      </c>
      <c r="C2" s="17"/>
      <c r="D2" s="18">
        <v>0.1</v>
      </c>
      <c r="E2" s="10" t="str">
        <f t="shared" ref="E2:E5" si="0">IF(C2="","未检测",IF(C2&lt;=D2,"合格","不合格"))</f>
        <v>未检测</v>
      </c>
    </row>
    <row r="3" customHeight="1" spans="1:5">
      <c r="A3" s="15" t="s">
        <v>212</v>
      </c>
      <c r="B3" s="16">
        <v>1090</v>
      </c>
      <c r="C3" s="17"/>
      <c r="D3" s="19">
        <v>0.02</v>
      </c>
      <c r="E3" s="10" t="str">
        <f t="shared" si="0"/>
        <v>未检测</v>
      </c>
    </row>
    <row r="4" customHeight="1" spans="1:5">
      <c r="A4" s="15" t="s">
        <v>213</v>
      </c>
      <c r="B4" s="16">
        <v>200</v>
      </c>
      <c r="C4" s="17"/>
      <c r="D4" s="18">
        <v>0.1</v>
      </c>
      <c r="E4" s="10" t="str">
        <f t="shared" si="0"/>
        <v>未检测</v>
      </c>
    </row>
    <row r="5" customHeight="1" spans="1:5">
      <c r="A5" s="15" t="s">
        <v>214</v>
      </c>
      <c r="B5" s="16">
        <v>200</v>
      </c>
      <c r="C5" s="17"/>
      <c r="D5" s="19">
        <v>0.02</v>
      </c>
      <c r="E5" s="10" t="str">
        <f t="shared" si="0"/>
        <v>未检测</v>
      </c>
    </row>
    <row r="7" customHeight="1" spans="1:2">
      <c r="A7" s="20"/>
      <c r="B7" s="21"/>
    </row>
  </sheetData>
  <conditionalFormatting sqref="E2:E5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workbookViewId="0">
      <pane topLeftCell="A1" activePane="bottomLeft"/>
      <selection activeCell="P31" sqref="P31"/>
    </sheetView>
  </sheetViews>
  <sheetFormatPr defaultColWidth="9" defaultRowHeight="13.5" customHeight="1" outlineLevelCol="4"/>
  <cols>
    <col min="1" max="2" width="10.5" style="1" customWidth="1"/>
    <col min="3" max="3" width="16.6333333333333" style="2" customWidth="1"/>
    <col min="4" max="4" width="16.6333333333333" style="1" customWidth="1"/>
    <col min="5" max="5" width="10.75" style="1" customWidth="1"/>
    <col min="6" max="16384" width="9" style="1"/>
  </cols>
  <sheetData>
    <row r="1" ht="30" customHeight="1" spans="1:5">
      <c r="A1" s="3" t="s">
        <v>233</v>
      </c>
      <c r="B1" s="3" t="s">
        <v>361</v>
      </c>
      <c r="C1" s="4" t="s">
        <v>54</v>
      </c>
      <c r="D1" s="5" t="s">
        <v>358</v>
      </c>
      <c r="E1" s="3" t="s">
        <v>174</v>
      </c>
    </row>
    <row r="2" customHeight="1" spans="1:5">
      <c r="A2" s="6" t="s">
        <v>215</v>
      </c>
      <c r="B2" s="7">
        <v>500</v>
      </c>
      <c r="C2" s="8"/>
      <c r="D2" s="9">
        <v>0.1</v>
      </c>
      <c r="E2" s="10" t="str">
        <f t="shared" ref="E2:E11" si="0">IF(C2="","未检测",IF(C2&lt;=D2,"合格","不合格"))</f>
        <v>未检测</v>
      </c>
    </row>
    <row r="3" customHeight="1" spans="1:5">
      <c r="A3" s="6" t="s">
        <v>215</v>
      </c>
      <c r="B3" s="7">
        <v>500</v>
      </c>
      <c r="C3" s="8"/>
      <c r="D3" s="9">
        <v>0.1</v>
      </c>
      <c r="E3" s="10" t="str">
        <f t="shared" si="0"/>
        <v>未检测</v>
      </c>
    </row>
    <row r="4" customHeight="1" spans="1:5">
      <c r="A4" s="6" t="s">
        <v>215</v>
      </c>
      <c r="B4" s="7">
        <v>500</v>
      </c>
      <c r="C4" s="8"/>
      <c r="D4" s="9">
        <v>0.1</v>
      </c>
      <c r="E4" s="10" t="str">
        <f t="shared" si="0"/>
        <v>未检测</v>
      </c>
    </row>
    <row r="5" customHeight="1" spans="1:5">
      <c r="A5" s="6" t="s">
        <v>215</v>
      </c>
      <c r="B5" s="7">
        <v>500</v>
      </c>
      <c r="C5" s="8"/>
      <c r="D5" s="9">
        <v>0.1</v>
      </c>
      <c r="E5" s="10" t="str">
        <f t="shared" si="0"/>
        <v>未检测</v>
      </c>
    </row>
    <row r="6" customHeight="1" spans="1:5">
      <c r="A6" s="6" t="s">
        <v>215</v>
      </c>
      <c r="B6" s="7">
        <v>500</v>
      </c>
      <c r="C6" s="8"/>
      <c r="D6" s="9">
        <v>0.1</v>
      </c>
      <c r="E6" s="10" t="str">
        <f t="shared" si="0"/>
        <v>未检测</v>
      </c>
    </row>
    <row r="7" customHeight="1" spans="1:5">
      <c r="A7" s="6" t="s">
        <v>215</v>
      </c>
      <c r="B7" s="7">
        <v>500</v>
      </c>
      <c r="C7" s="8"/>
      <c r="D7" s="9">
        <v>0.1</v>
      </c>
      <c r="E7" s="10" t="str">
        <f t="shared" si="0"/>
        <v>未检测</v>
      </c>
    </row>
    <row r="8" customHeight="1" spans="1:5">
      <c r="A8" s="6" t="s">
        <v>215</v>
      </c>
      <c r="B8" s="7">
        <v>500</v>
      </c>
      <c r="C8" s="8"/>
      <c r="D8" s="9">
        <v>0.1</v>
      </c>
      <c r="E8" s="10" t="str">
        <f t="shared" si="0"/>
        <v>未检测</v>
      </c>
    </row>
    <row r="9" customHeight="1" spans="1:5">
      <c r="A9" s="6" t="s">
        <v>215</v>
      </c>
      <c r="B9" s="7">
        <v>500</v>
      </c>
      <c r="C9" s="8"/>
      <c r="D9" s="9">
        <v>0.1</v>
      </c>
      <c r="E9" s="10" t="str">
        <f t="shared" si="0"/>
        <v>未检测</v>
      </c>
    </row>
    <row r="10" customHeight="1" spans="1:5">
      <c r="A10" s="6" t="s">
        <v>215</v>
      </c>
      <c r="B10" s="7">
        <v>500</v>
      </c>
      <c r="C10" s="8"/>
      <c r="D10" s="9">
        <v>0.1</v>
      </c>
      <c r="E10" s="10" t="str">
        <f t="shared" si="0"/>
        <v>未检测</v>
      </c>
    </row>
    <row r="11" customHeight="1" spans="1:5">
      <c r="A11" s="6" t="s">
        <v>215</v>
      </c>
      <c r="B11" s="7">
        <v>500</v>
      </c>
      <c r="C11" s="8"/>
      <c r="D11" s="9">
        <v>0.1</v>
      </c>
      <c r="E11" s="10" t="str">
        <f t="shared" si="0"/>
        <v>未检测</v>
      </c>
    </row>
  </sheetData>
  <conditionalFormatting sqref="E2:E11">
    <cfRule type="cellIs" priority="1" operator="equal">
      <formula>"不合格"</formula>
    </cfRule>
  </conditionalFormatting>
  <pageMargins left="0.7" right="0.7" top="0.75" bottom="0.75" header="0.3" footer="0.3"/>
  <pageSetup paperSize="1" firstPageNumber="4294963191" orientation="portrait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Report</vt:lpstr>
      <vt:lpstr>基础信息</vt:lpstr>
      <vt:lpstr>测量结果表</vt:lpstr>
      <vt:lpstr>管理表</vt:lpstr>
      <vt:lpstr>对应信息</vt:lpstr>
      <vt:lpstr>检测项信息</vt:lpstr>
      <vt:lpstr>仪器状态</vt:lpstr>
      <vt:lpstr>样品池准确度与重复性校验</vt:lpstr>
      <vt:lpstr>标准值</vt:lpstr>
      <vt:lpstr>字段对应</vt:lpstr>
      <vt:lpstr>波长示值误差与重复性校验</vt:lpstr>
      <vt:lpstr>透射比示值误差与重复性校验</vt:lpstr>
      <vt:lpstr>杂散光校验</vt:lpstr>
      <vt:lpstr>基线平直度检验</vt:lpstr>
      <vt:lpstr>基线暗噪声检验</vt:lpstr>
      <vt:lpstr>光谱带宽与仪器最小光谱带宽</vt:lpstr>
      <vt:lpstr>噪声检验</vt:lpstr>
      <vt:lpstr>波长边缘噪声</vt:lpstr>
      <vt:lpstr>漂移检验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99153</dc:creator>
  <cp:lastModifiedBy>寻</cp:lastModifiedBy>
  <cp:revision>0</cp:revision>
  <dcterms:created xsi:type="dcterms:W3CDTF">2006-09-16T08:00:00Z</dcterms:created>
  <dcterms:modified xsi:type="dcterms:W3CDTF">2025-08-12T08:06:28Z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AA14EEC631D74B9F8CFEC23551EAF7D5_12</vt:lpwstr>
  </property>
  <property fmtid="{D5CDD505-2E9C-101B-9397-08002B2CF9AE}" pid="3" name="KSOProductBuildVer">
    <vt:lpwstr>2052-12.1.0.21915</vt:lpwstr>
  </property>
</Properties>
</file>