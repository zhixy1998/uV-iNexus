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952" activeTab="17"/>
  </bookViews>
  <sheets>
    <sheet name="Report" sheetId="21" r:id="rId1"/>
    <sheet name="基础信息" sheetId="13" r:id="rId2"/>
    <sheet name="测量结果表" sheetId="20" r:id="rId3"/>
    <sheet name="管理表" sheetId="19" r:id="rId4"/>
    <sheet name="对应信息" sheetId="17" state="hidden" r:id="rId5"/>
    <sheet name="检测项信息" sheetId="14" r:id="rId6"/>
    <sheet name="仪器状态" sheetId="22" r:id="rId7"/>
    <sheet name="样品池准确度与重复性校验" sheetId="23" state="hidden" r:id="rId8"/>
    <sheet name="标准值" sheetId="16" r:id="rId9"/>
    <sheet name="字段对应" sheetId="15" state="hidden" r:id="rId10"/>
    <sheet name="波长示值误差与重复性校验" sheetId="3" r:id="rId11"/>
    <sheet name="透射比示值误差与重复性校验" sheetId="4" r:id="rId12"/>
    <sheet name="杂散光校验" sheetId="5" r:id="rId13"/>
    <sheet name="基线平直度检验" sheetId="6" r:id="rId14"/>
    <sheet name="基线暗噪声检验" sheetId="7" r:id="rId15"/>
    <sheet name="噪声检验" sheetId="9" r:id="rId16"/>
    <sheet name="波长边缘噪声" sheetId="10" r:id="rId17"/>
    <sheet name="漂移检验" sheetId="11" r:id="rId18"/>
  </sheets>
  <definedNames>
    <definedName name="OLE_LINK10" localSheetId="0">Report!#REF!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<sst xmlns="http://schemas.openxmlformats.org/spreadsheetml/2006/main" count="660" uniqueCount="303">
  <si>
    <t>北京普析通用仪器有限责任公司</t>
  </si>
  <si>
    <t>文件编号</t>
  </si>
  <si>
    <t>KF/R-01-003</t>
  </si>
  <si>
    <t>T400系列紫外可见分光光度计整机检验原始记录表</t>
  </si>
  <si>
    <t>版本/修订</t>
  </si>
  <si>
    <t>B/0</t>
  </si>
  <si>
    <t>发布/修订日期</t>
  </si>
  <si>
    <t>产品型号</t>
  </si>
  <si>
    <t>产品编号</t>
  </si>
  <si>
    <t>检验员</t>
  </si>
  <si>
    <t>检验日期</t>
  </si>
  <si>
    <t>复核员</t>
  </si>
  <si>
    <t>温度(℃)</t>
  </si>
  <si>
    <t>相对湿度(%)</t>
  </si>
  <si>
    <t>检验结果</t>
  </si>
  <si>
    <t>序号</t>
  </si>
  <si>
    <t>检验项目</t>
  </si>
  <si>
    <t>结果</t>
  </si>
  <si>
    <t>波长示值误差与重复性</t>
  </si>
  <si>
    <t xml:space="preserve">
波长示值误差
镨钕：
±1.4nm
波长重复性
≤0.4nm 
</t>
  </si>
  <si>
    <t>波长段</t>
  </si>
  <si>
    <t>B段</t>
  </si>
  <si>
    <t>检测工具</t>
  </si>
  <si>
    <t>镨钕滤光片</t>
  </si>
  <si>
    <t>钬溶液</t>
  </si>
  <si>
    <t>标准值(nm)</t>
  </si>
  <si>
    <t>测量值（nm）</t>
  </si>
  <si>
    <t>平均值(nm)</t>
  </si>
  <si>
    <t>误差值(nm)</t>
  </si>
  <si>
    <t>重复性(nm)</t>
  </si>
  <si>
    <t>透射比示值误差与重复性
(可见区）</t>
  </si>
  <si>
    <t xml:space="preserve">透射比示值误差
±0.3%
透射比重复性
≤0.15%
</t>
  </si>
  <si>
    <t>10%中性滤光片、20%中性滤光片、30%中性滤光片
（以标定的标准值为准）</t>
  </si>
  <si>
    <t>型号</t>
  </si>
  <si>
    <t>测量点</t>
  </si>
  <si>
    <t>10%中性滤光片</t>
  </si>
  <si>
    <t>标准值(%)</t>
  </si>
  <si>
    <t>测量值(%)</t>
  </si>
  <si>
    <t>平均值(%)</t>
  </si>
  <si>
    <t>误差值(%)</t>
  </si>
  <si>
    <t>重复性(%)</t>
  </si>
  <si>
    <t>20%中性滤光片</t>
  </si>
  <si>
    <t>透射比示值误差
±0.3%
透射比重复性
≤0.15%</t>
  </si>
  <si>
    <t>30%中性滤光片</t>
  </si>
  <si>
    <t>杂散光</t>
  </si>
  <si>
    <t>检验工具</t>
  </si>
  <si>
    <t>360nm</t>
  </si>
  <si>
    <t>≤0.05%</t>
  </si>
  <si>
    <t>亚硝酸钠标准溶液</t>
  </si>
  <si>
    <t>测量值
（%）</t>
  </si>
  <si>
    <t>基线平直度</t>
  </si>
  <si>
    <t>≤±0.002（2.0nm光谱带宽）</t>
  </si>
  <si>
    <t>测量值（Abs）</t>
  </si>
  <si>
    <t>基线暗噪声</t>
  </si>
  <si>
    <t>≤±0.5%</t>
  </si>
  <si>
    <t>测量值（%）</t>
  </si>
  <si>
    <t>噪声500nm</t>
  </si>
  <si>
    <t>≤0.15%</t>
  </si>
  <si>
    <t>边缘噪声
1090 nm</t>
  </si>
  <si>
    <t>≤1.0%</t>
  </si>
  <si>
    <t>≤0.3%</t>
  </si>
  <si>
    <t>边缘噪声335nm</t>
  </si>
  <si>
    <t>漂移</t>
  </si>
  <si>
    <t>500nm ≤0.2%/h</t>
  </si>
  <si>
    <t>电源电压的适应性</t>
  </si>
  <si>
    <t>±0.2%</t>
  </si>
  <si>
    <t>电压</t>
  </si>
  <si>
    <t>198V</t>
  </si>
  <si>
    <t>220V</t>
  </si>
  <si>
    <t>242V</t>
  </si>
  <si>
    <t>调压器，数字万用表</t>
  </si>
  <si>
    <t>500nm测量值（%）</t>
  </si>
  <si>
    <t>500nm处的透射比变化（%）</t>
  </si>
  <si>
    <t>250nm测量值（%）</t>
  </si>
  <si>
    <t>250nm处的透射比变化（%）</t>
  </si>
  <si>
    <t>介电强度</t>
  </si>
  <si>
    <t>无击穿和飞弧现象</t>
  </si>
  <si>
    <t>检验工具：耐压测试仪</t>
  </si>
  <si>
    <t xml:space="preserve">  有 □        无 □</t>
  </si>
  <si>
    <t>接触电流</t>
  </si>
  <si>
    <t>正常条件≤0.5mA</t>
  </si>
  <si>
    <t>检验工具：泄漏电流测试仪</t>
  </si>
  <si>
    <t>测量值（mA）</t>
  </si>
  <si>
    <t>单一故障≤3.5mA</t>
  </si>
  <si>
    <t>保护接地</t>
  </si>
  <si>
    <t>≤0.1Ω</t>
  </si>
  <si>
    <t>检验工具：程控接地电阻测试仪</t>
  </si>
  <si>
    <t>测量值（Ω）</t>
  </si>
  <si>
    <t>绝缘电阻</t>
  </si>
  <si>
    <t>≥20MΩ</t>
  </si>
  <si>
    <t>检验工具：绝缘电阻测试仪</t>
  </si>
  <si>
    <t>测量值（MΩ）</t>
  </si>
  <si>
    <t>样品池准确度于重复性校验</t>
  </si>
  <si>
    <t>准确度：100%±0.1%
重复性：&lt;0.1%</t>
  </si>
  <si>
    <t>1号池测量值(%)</t>
  </si>
  <si>
    <t>外观和结构</t>
  </si>
  <si>
    <t>仪器外观应清洁，所有电镀件表面不应有脱皮现象，喷漆表面色泽应均匀，无掉漆与划痕，不得有明显的擦伤、露底、裂纹、起泡现象，外露部件结合处应整齐，无粗糙不平现象。仪器应有下列标志：仪器名称、型号、制造厂名、出厂日期、仪器编号、工作电源电压、频率、制造计量器具许可证标志及编号，仪器的铭牌、二维码的内容及粘贴方向应正确。仪器的各紧固件均应紧固良好，外露螺钉无损伤，生锈，缺失。各按键、开关、指示灯工作正常，电缆线的接插件均能紧密配合且接地良好，启动后无异常杂音。</t>
  </si>
  <si>
    <t>合格□
不合格□</t>
  </si>
  <si>
    <t>检验结论</t>
  </si>
  <si>
    <t>合格 □                 不合格 □</t>
  </si>
  <si>
    <t>备注</t>
  </si>
  <si>
    <t xml:space="preserve">1.本表格依据T600T700系列紫外可见分光光度计整机检验工艺编制；
2. 测量结果保留的小数点位数应与指标要求的小数点位数一致；
3. 表格中的标准值依据有效期内的标准物质证书提供的标准值为准。
</t>
  </si>
  <si>
    <t>名称</t>
  </si>
  <si>
    <t>特征值</t>
  </si>
  <si>
    <t>标准值</t>
  </si>
  <si>
    <t>是否为光谱扫描</t>
  </si>
  <si>
    <t>灯状态</t>
  </si>
  <si>
    <t>较零物质</t>
  </si>
  <si>
    <t>光度方式</t>
  </si>
  <si>
    <t>扫描速度</t>
  </si>
  <si>
    <t>扫描间隔(nm)</t>
  </si>
  <si>
    <t>重复次数</t>
  </si>
  <si>
    <t>重复时间间隔(S)</t>
  </si>
  <si>
    <t>光谱带宽(nm)</t>
  </si>
  <si>
    <t>增益</t>
  </si>
  <si>
    <t>响应时间</t>
  </si>
  <si>
    <t>氘灯</t>
  </si>
  <si>
    <t>是</t>
  </si>
  <si>
    <t>钨灯</t>
  </si>
  <si>
    <t>Abs</t>
  </si>
  <si>
    <t>快速</t>
  </si>
  <si>
    <t>低压汞灯A段</t>
  </si>
  <si>
    <t>否</t>
  </si>
  <si>
    <t>其它</t>
  </si>
  <si>
    <t>T%</t>
  </si>
  <si>
    <t>中速</t>
  </si>
  <si>
    <t>低压汞灯B段</t>
  </si>
  <si>
    <t>365.0,435.8,546.1</t>
  </si>
  <si>
    <t>汞灯</t>
  </si>
  <si>
    <t>Es</t>
  </si>
  <si>
    <t>慢速</t>
  </si>
  <si>
    <t>1.0</t>
  </si>
  <si>
    <t>739.2,,807.4</t>
  </si>
  <si>
    <t>Er</t>
  </si>
  <si>
    <t>最慢速</t>
  </si>
  <si>
    <t>2.0</t>
  </si>
  <si>
    <t>635.0,546.0,440.0</t>
  </si>
  <si>
    <t>R%</t>
  </si>
  <si>
    <t>5.0</t>
  </si>
  <si>
    <t>635.0,546.0,440.1</t>
  </si>
  <si>
    <t xml:space="preserve"> </t>
  </si>
  <si>
    <t>635.0,546.0,440.2</t>
  </si>
  <si>
    <t>重铬酸钾标准物质</t>
  </si>
  <si>
    <t>22.9,51.3,13.7,18.2</t>
  </si>
  <si>
    <t>碘化钠溶液</t>
  </si>
  <si>
    <t>亚硝酸钠溶液</t>
  </si>
  <si>
    <t>项目编号</t>
  </si>
  <si>
    <t>仪器ID</t>
  </si>
  <si>
    <t>平均值</t>
  </si>
  <si>
    <t>误差值</t>
  </si>
  <si>
    <t>重复性</t>
  </si>
  <si>
    <t>检验地点</t>
  </si>
  <si>
    <t>温度</t>
  </si>
  <si>
    <t>湿度</t>
  </si>
  <si>
    <t>判定结果</t>
  </si>
  <si>
    <t>其他</t>
  </si>
  <si>
    <t>子项目编号-与检测项信息对应的</t>
  </si>
  <si>
    <t>父项目编号</t>
  </si>
  <si>
    <t>父项目名称</t>
  </si>
  <si>
    <t>子项目编号</t>
  </si>
  <si>
    <t>子项目名称</t>
  </si>
  <si>
    <t>可允许误差范围</t>
  </si>
  <si>
    <t>波长重复性</t>
  </si>
  <si>
    <t>T700S</t>
  </si>
  <si>
    <t>波长示值误差与重复性校验</t>
  </si>
  <si>
    <t>透射比示值误差与重复性校验</t>
  </si>
  <si>
    <t>635nm</t>
  </si>
  <si>
    <t>546nm</t>
  </si>
  <si>
    <t>440nm</t>
  </si>
  <si>
    <t>杂散光校验</t>
  </si>
  <si>
    <t>基线平直度检验</t>
  </si>
  <si>
    <t>基线暗噪声检验</t>
  </si>
  <si>
    <t>噪声检验</t>
  </si>
  <si>
    <t>500nm100%噪声</t>
  </si>
  <si>
    <t>500nm0%噪声</t>
  </si>
  <si>
    <t>波长边缘噪声</t>
  </si>
  <si>
    <t>1090nm100%噪声</t>
  </si>
  <si>
    <t>1090nm0%噪声</t>
  </si>
  <si>
    <t>335nm100%噪声</t>
  </si>
  <si>
    <t>335nm0%噪声</t>
  </si>
  <si>
    <t>漂移检验</t>
  </si>
  <si>
    <t>500nm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</si>
  <si>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401</t>
    </r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</si>
  <si>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400</t>
    </r>
  </si>
  <si>
    <t>1501</t>
  </si>
  <si>
    <r>
      <rPr>
        <sz val="11"/>
        <color theme="1"/>
        <rFont val="宋体"/>
        <charset val="134"/>
        <scheme val="minor"/>
      </rPr>
      <t>T</t>
    </r>
    <r>
      <rPr>
        <sz val="11"/>
        <color theme="1"/>
        <rFont val="宋体"/>
        <charset val="134"/>
        <scheme val="minor"/>
      </rPr>
      <t>500</t>
    </r>
  </si>
  <si>
    <t>1610</t>
  </si>
  <si>
    <t>T6新悦</t>
  </si>
  <si>
    <t>1650</t>
  </si>
  <si>
    <t>T6新世纪</t>
  </si>
  <si>
    <t>光谱带宽与仪器最小光谱带宽</t>
  </si>
  <si>
    <t>检测类别</t>
  </si>
  <si>
    <t>项目名称</t>
  </si>
  <si>
    <t>提示</t>
  </si>
  <si>
    <t>方法信息</t>
  </si>
  <si>
    <t>测量信息</t>
  </si>
  <si>
    <t>重复时间间隔</t>
  </si>
  <si>
    <t>分析方法</t>
  </si>
  <si>
    <t>光度模式</t>
  </si>
  <si>
    <t>起始波长</t>
  </si>
  <si>
    <t>终止波长</t>
  </si>
  <si>
    <t>扫描间隔</t>
  </si>
  <si>
    <t>光谱带宽</t>
  </si>
  <si>
    <t>时间间隔</t>
  </si>
  <si>
    <t>扫描个数</t>
  </si>
  <si>
    <t>暗电流物质</t>
  </si>
  <si>
    <t>校零物质</t>
  </si>
  <si>
    <t>测量物质</t>
  </si>
  <si>
    <t>807.4</t>
  </si>
  <si>
    <t>寻峰</t>
  </si>
  <si>
    <t>黑挡块</t>
  </si>
  <si>
    <t>空气</t>
  </si>
  <si>
    <t>640.7,536.8,416.5,361.0</t>
  </si>
  <si>
    <t>求最大偏移量</t>
  </si>
  <si>
    <t>最大最小值差</t>
  </si>
  <si>
    <t>360nm杂散光</t>
  </si>
  <si>
    <t>360</t>
  </si>
  <si>
    <t>多次测量</t>
  </si>
  <si>
    <t>亚硝酸钠空白溶液</t>
  </si>
  <si>
    <t>635,546,440</t>
  </si>
  <si>
    <t>求平均</t>
  </si>
  <si>
    <t>7.57,10.1,10.07</t>
  </si>
  <si>
    <t>18.89,20.09,20.91</t>
  </si>
  <si>
    <t>29.96,30.43,28.88</t>
  </si>
  <si>
    <t>仪器预热1小时之后进行检验</t>
  </si>
  <si>
    <t>仪器id</t>
  </si>
  <si>
    <t>项目</t>
  </si>
  <si>
    <t>能量</t>
  </si>
  <si>
    <t>id</t>
  </si>
  <si>
    <t>父id</t>
  </si>
  <si>
    <t>关灯，增益1下的RSD值</t>
  </si>
  <si>
    <t>关灯，增益2下的RSD值</t>
  </si>
  <si>
    <t>关灯，增益3下的RSD值</t>
  </si>
  <si>
    <t>关灯，增益4下的RSD值</t>
  </si>
  <si>
    <t>开灯，增益1下的RSD值</t>
  </si>
  <si>
    <t>开灯，增益2下的RSD值</t>
  </si>
  <si>
    <t>开灯，增益3下的RSD值</t>
  </si>
  <si>
    <t>开灯，增益4下的RSD值</t>
  </si>
  <si>
    <t>亚硝酸钠标准溶液-360nm能量</t>
  </si>
  <si>
    <t>基线平直度-全波长能量</t>
  </si>
  <si>
    <t>测试项</t>
  </si>
  <si>
    <t>标准值（%）</t>
  </si>
  <si>
    <t>640.7</t>
  </si>
  <si>
    <t>536.8</t>
  </si>
  <si>
    <t>416.5</t>
  </si>
  <si>
    <t>361.0</t>
  </si>
  <si>
    <t>修改标准值时，该仪器对应的模板文件必须未打开，同时修改后光标要在未修改的单元格内！方可保存成功！</t>
  </si>
  <si>
    <t>仪器方法标记</t>
  </si>
  <si>
    <t>仪器方法字段</t>
  </si>
  <si>
    <t>算法标记</t>
  </si>
  <si>
    <t>算法字段</t>
  </si>
  <si>
    <t>StartWl</t>
  </si>
  <si>
    <t>WlRange</t>
  </si>
  <si>
    <t>Validation.ViewModel.DataStructure.FindPeakAndAverageUVTestTool</t>
  </si>
  <si>
    <t>EndWl</t>
  </si>
  <si>
    <t>Validation.ViewModel.DataStructure.WlPointsAndAverageUVTestTool</t>
  </si>
  <si>
    <t>RepeatTimes</t>
  </si>
  <si>
    <t>Validation.ViewModel.DataStructure.WlPointsUVTestTool</t>
  </si>
  <si>
    <t>RepeatInterval</t>
  </si>
  <si>
    <t>Validation.ViewModel.DataStructure.FindMaxOffsetUVTestTool</t>
  </si>
  <si>
    <t>MethodStr</t>
  </si>
  <si>
    <t>求半峰宽</t>
  </si>
  <si>
    <t>Validation.ViewModel.DataStructure.FindHalfPeakUVTestTool</t>
  </si>
  <si>
    <t>MeasurePara</t>
  </si>
  <si>
    <t>Validation.ViewModel.DataStructure.GetMaxDIstanceUVTestTool</t>
  </si>
  <si>
    <t>使用物质</t>
  </si>
  <si>
    <t>ToolStr</t>
  </si>
  <si>
    <t>求漂移</t>
  </si>
  <si>
    <t>Validation.ViewModel.DataStructure.GetDriftUVTestTool</t>
  </si>
  <si>
    <t>Name</t>
  </si>
  <si>
    <t>PhotoMode</t>
  </si>
  <si>
    <t>ScanSpeed</t>
  </si>
  <si>
    <t>ScanWlInterval</t>
  </si>
  <si>
    <t>Gain</t>
  </si>
  <si>
    <t>Slit1</t>
  </si>
  <si>
    <t>Wl</t>
  </si>
  <si>
    <t>暗电流</t>
  </si>
  <si>
    <t>Dark</t>
  </si>
  <si>
    <t>校零</t>
  </si>
  <si>
    <t>Zero</t>
  </si>
  <si>
    <t>BaseLine</t>
  </si>
  <si>
    <t>测量</t>
  </si>
  <si>
    <t>Measure</t>
  </si>
  <si>
    <t>Scan</t>
  </si>
  <si>
    <t>timeinterval</t>
  </si>
  <si>
    <t>totalcount</t>
  </si>
  <si>
    <t>LampPos</t>
  </si>
  <si>
    <t>ResponseTime</t>
  </si>
  <si>
    <t>特征值（nm）</t>
  </si>
  <si>
    <t>平均值（nm）</t>
  </si>
  <si>
    <t>误差值（nm）</t>
  </si>
  <si>
    <t>重复性（nm）</t>
  </si>
  <si>
    <t>波长示值误差(nm)</t>
  </si>
  <si>
    <t>特征值(nm)</t>
  </si>
  <si>
    <t>平均值（%）</t>
  </si>
  <si>
    <t>误差值（%）</t>
  </si>
  <si>
    <t>重复性（%）</t>
  </si>
  <si>
    <t>透射比示值误差</t>
  </si>
  <si>
    <t>透射比重复性</t>
  </si>
  <si>
    <t>波长点</t>
  </si>
  <si>
    <t>指标要求</t>
  </si>
  <si>
    <t>垂直距离范围</t>
  </si>
  <si>
    <t>测量波长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</si>
</sst>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.0_);[Red]\(0.0\)"/>
    <numFmt numFmtId="179" formatCode="0.0"/>
    <numFmt numFmtId="180" formatCode="0.000_);[Red]\(0.000\)"/>
    <numFmt numFmtId="181" formatCode="0.000_ "/>
    <numFmt numFmtId="182" formatCode="0.0000_ "/>
    <numFmt numFmtId="183" formatCode="0.00_ ;[Red]\-0.00\ "/>
    <numFmt numFmtId="184" formatCode="0.0_ "/>
    <numFmt numFmtId="185" formatCode="0.0000000_ ;[Red]\-0.0000000\ "/>
    <numFmt numFmtId="186" formatCode="[$-F800]dddd\,\ mmmm\ dd\,\ yyyy"/>
    <numFmt numFmtId="187" formatCode="0.00000_ "/>
  </numFmts>
  <fonts count="41">
    <font>
      <sz val="11"/>
      <color theme="1"/>
      <name val="宋体"/>
      <charset val="134"/>
      <scheme val="minor"/>
    </font>
    <font>
      <b/>
      <sz val="10.5"/>
      <color theme="1"/>
      <name val="宋体"/>
      <charset val="134"/>
    </font>
    <font>
      <b/>
      <sz val="10.5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.5"/>
      <color rgb="FF000000"/>
      <name val="Times New Roman"/>
      <charset val="134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0.5"/>
      <color theme="1"/>
      <name val="Times New Roman"/>
      <charset val="134"/>
    </font>
    <font>
      <sz val="10.5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theme="1"/>
      <name val="Times New Roman"/>
      <charset val="134"/>
    </font>
    <font>
      <sz val="10.5"/>
      <color rgb="FF000000"/>
      <name val="Times New Roman"/>
      <charset val="134"/>
    </font>
    <font>
      <b/>
      <sz val="12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8"/>
      <color theme="1"/>
      <name val="黑体"/>
      <charset val="134"/>
    </font>
    <font>
      <sz val="16"/>
      <color theme="1"/>
      <name val="黑体"/>
      <charset val="134"/>
    </font>
    <font>
      <sz val="11"/>
      <color rgb="FF000000"/>
      <name val="宋体"/>
      <charset val="134"/>
      <scheme val="minor"/>
    </font>
    <font>
      <sz val="12"/>
      <color theme="1"/>
      <name val="黑体"/>
      <charset val="134"/>
    </font>
    <font>
      <sz val="10.5"/>
      <color theme="1"/>
      <name val="黑体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79949339274269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493392742698"/>
        <bgColor indexed="64"/>
      </patternFill>
    </fill>
    <fill>
      <patternFill patternType="solid">
        <fgColor theme="4" tint="0.7995239112521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9" borderId="20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0" borderId="23" applyNumberFormat="0" applyAlignment="0" applyProtection="0">
      <alignment vertical="center"/>
    </xf>
    <xf numFmtId="0" fontId="31" fillId="11" borderId="24" applyNumberFormat="0" applyAlignment="0" applyProtection="0">
      <alignment vertical="center"/>
    </xf>
    <xf numFmtId="0" fontId="32" fillId="11" borderId="23" applyNumberFormat="0" applyAlignment="0" applyProtection="0">
      <alignment vertical="center"/>
    </xf>
    <xf numFmtId="0" fontId="33" fillId="12" borderId="25" applyNumberFormat="0" applyAlignment="0" applyProtection="0">
      <alignment vertical="center"/>
    </xf>
    <xf numFmtId="0" fontId="34" fillId="0" borderId="26" applyNumberFormat="0" applyFill="0" applyAlignment="0" applyProtection="0">
      <alignment vertical="center"/>
    </xf>
    <xf numFmtId="0" fontId="35" fillId="0" borderId="27" applyNumberFormat="0" applyFill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237">
    <xf numFmtId="0" fontId="0" fillId="0" borderId="0" xfId="0"/>
    <xf numFmtId="176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176" fontId="1" fillId="2" borderId="1" xfId="0" applyNumberFormat="1" applyFont="1" applyFill="1" applyBorder="1" applyAlignment="1">
      <alignment vertical="center" wrapText="1"/>
    </xf>
    <xf numFmtId="176" fontId="1" fillId="3" borderId="1" xfId="0" applyNumberFormat="1" applyFont="1" applyFill="1" applyBorder="1" applyAlignment="1">
      <alignment vertical="center" wrapText="1"/>
    </xf>
    <xf numFmtId="0" fontId="3" fillId="0" borderId="1" xfId="0" applyFont="1" applyBorder="1"/>
    <xf numFmtId="179" fontId="4" fillId="0" borderId="1" xfId="0" applyNumberFormat="1" applyFont="1" applyBorder="1" applyAlignment="1">
      <alignment horizontal="center" vertical="center" wrapText="1"/>
    </xf>
    <xf numFmtId="177" fontId="0" fillId="0" borderId="1" xfId="0" applyNumberFormat="1" applyBorder="1"/>
    <xf numFmtId="178" fontId="1" fillId="0" borderId="1" xfId="0" applyNumberFormat="1" applyFont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180" fontId="0" fillId="0" borderId="0" xfId="0" applyNumberFormat="1"/>
    <xf numFmtId="180" fontId="1" fillId="2" borderId="1" xfId="0" applyNumberFormat="1" applyFont="1" applyFill="1" applyBorder="1" applyAlignment="1">
      <alignment vertical="center" wrapText="1"/>
    </xf>
    <xf numFmtId="180" fontId="1" fillId="3" borderId="1" xfId="0" applyNumberFormat="1" applyFont="1" applyFill="1" applyBorder="1" applyAlignment="1">
      <alignment vertical="center" wrapText="1"/>
    </xf>
    <xf numFmtId="181" fontId="0" fillId="0" borderId="1" xfId="0" applyNumberFormat="1" applyBorder="1"/>
    <xf numFmtId="176" fontId="1" fillId="0" borderId="1" xfId="0" applyNumberFormat="1" applyFont="1" applyBorder="1" applyAlignment="1">
      <alignment horizontal="center" vertical="center" wrapText="1"/>
    </xf>
    <xf numFmtId="177" fontId="0" fillId="0" borderId="0" xfId="0" applyNumberFormat="1"/>
    <xf numFmtId="178" fontId="0" fillId="0" borderId="0" xfId="0" applyNumberFormat="1"/>
    <xf numFmtId="177" fontId="1" fillId="2" borderId="1" xfId="0" applyNumberFormat="1" applyFont="1" applyFill="1" applyBorder="1" applyAlignment="1">
      <alignment horizontal="center" vertical="center" wrapText="1"/>
    </xf>
    <xf numFmtId="178" fontId="1" fillId="3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Border="1"/>
    <xf numFmtId="178" fontId="3" fillId="0" borderId="1" xfId="0" applyNumberFormat="1" applyFont="1" applyBorder="1"/>
    <xf numFmtId="177" fontId="5" fillId="0" borderId="0" xfId="0" applyNumberFormat="1" applyFont="1"/>
    <xf numFmtId="182" fontId="0" fillId="0" borderId="0" xfId="0" applyNumberFormat="1"/>
    <xf numFmtId="182" fontId="1" fillId="2" borderId="1" xfId="0" applyNumberFormat="1" applyFont="1" applyFill="1" applyBorder="1" applyAlignment="1">
      <alignment horizontal="center" vertical="center" wrapText="1"/>
    </xf>
    <xf numFmtId="182" fontId="3" fillId="0" borderId="1" xfId="0" applyNumberFormat="1" applyFont="1" applyBorder="1"/>
    <xf numFmtId="180" fontId="3" fillId="0" borderId="1" xfId="0" applyNumberFormat="1" applyFont="1" applyBorder="1"/>
    <xf numFmtId="182" fontId="5" fillId="0" borderId="0" xfId="0" applyNumberFormat="1" applyFont="1"/>
    <xf numFmtId="0" fontId="3" fillId="0" borderId="0" xfId="0" applyFont="1"/>
    <xf numFmtId="180" fontId="3" fillId="0" borderId="0" xfId="0" applyNumberFormat="1" applyFont="1"/>
    <xf numFmtId="176" fontId="3" fillId="0" borderId="0" xfId="0" applyNumberFormat="1" applyFont="1"/>
    <xf numFmtId="180" fontId="1" fillId="2" borderId="2" xfId="0" applyNumberFormat="1" applyFont="1" applyFill="1" applyBorder="1" applyAlignment="1">
      <alignment horizontal="center" vertical="center" wrapText="1"/>
    </xf>
    <xf numFmtId="180" fontId="1" fillId="2" borderId="1" xfId="0" applyNumberFormat="1" applyFont="1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81" fontId="3" fillId="0" borderId="1" xfId="0" applyNumberFormat="1" applyFont="1" applyBorder="1"/>
    <xf numFmtId="176" fontId="4" fillId="0" borderId="1" xfId="0" applyNumberFormat="1" applyFont="1" applyBorder="1" applyAlignment="1">
      <alignment vertical="center" wrapText="1"/>
    </xf>
    <xf numFmtId="0" fontId="6" fillId="0" borderId="0" xfId="0" applyFont="1"/>
    <xf numFmtId="0" fontId="3" fillId="0" borderId="0" xfId="0" applyFont="1" applyAlignment="1">
      <alignment horizontal="center"/>
    </xf>
    <xf numFmtId="181" fontId="3" fillId="0" borderId="0" xfId="0" applyNumberFormat="1" applyFont="1"/>
    <xf numFmtId="176" fontId="3" fillId="0" borderId="0" xfId="0" applyNumberFormat="1" applyFont="1" applyAlignment="1">
      <alignment horizontal="center" vertical="center"/>
    </xf>
    <xf numFmtId="183" fontId="3" fillId="0" borderId="0" xfId="0" applyNumberFormat="1" applyFont="1" applyAlignment="1">
      <alignment horizontal="center" vertical="center"/>
    </xf>
    <xf numFmtId="181" fontId="1" fillId="2" borderId="2" xfId="0" applyNumberFormat="1" applyFont="1" applyFill="1" applyBorder="1" applyAlignment="1">
      <alignment horizontal="center" vertical="center" wrapText="1"/>
    </xf>
    <xf numFmtId="181" fontId="1" fillId="2" borderId="3" xfId="0" applyNumberFormat="1" applyFont="1" applyFill="1" applyBorder="1" applyAlignment="1">
      <alignment horizontal="center" vertical="center" wrapText="1"/>
    </xf>
    <xf numFmtId="181" fontId="1" fillId="2" borderId="4" xfId="0" applyNumberFormat="1" applyFont="1" applyFill="1" applyBorder="1" applyAlignment="1">
      <alignment horizontal="center" vertical="center" wrapText="1"/>
    </xf>
    <xf numFmtId="183" fontId="1" fillId="2" borderId="1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/>
    <xf numFmtId="183" fontId="3" fillId="0" borderId="0" xfId="0" applyNumberFormat="1" applyFont="1"/>
    <xf numFmtId="178" fontId="3" fillId="0" borderId="0" xfId="0" applyNumberFormat="1" applyFont="1"/>
    <xf numFmtId="176" fontId="1" fillId="2" borderId="2" xfId="0" applyNumberFormat="1" applyFont="1" applyFill="1" applyBorder="1" applyAlignment="1">
      <alignment horizontal="center" vertical="center" wrapText="1"/>
    </xf>
    <xf numFmtId="176" fontId="1" fillId="2" borderId="3" xfId="0" applyNumberFormat="1" applyFont="1" applyFill="1" applyBorder="1" applyAlignment="1">
      <alignment horizontal="center" vertical="center" wrapText="1"/>
    </xf>
    <xf numFmtId="176" fontId="1" fillId="2" borderId="4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/>
    </xf>
    <xf numFmtId="184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176" fontId="7" fillId="0" borderId="0" xfId="0" applyNumberFormat="1" applyFont="1" applyAlignment="1">
      <alignment horizontal="center" vertical="center" wrapText="1"/>
    </xf>
    <xf numFmtId="176" fontId="3" fillId="0" borderId="0" xfId="0" applyNumberFormat="1" applyFont="1" applyAlignment="1">
      <alignment horizontal="center"/>
    </xf>
    <xf numFmtId="183" fontId="3" fillId="0" borderId="0" xfId="0" applyNumberFormat="1" applyFont="1" applyAlignment="1">
      <alignment horizontal="center"/>
    </xf>
    <xf numFmtId="0" fontId="1" fillId="3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49" fontId="3" fillId="0" borderId="0" xfId="0" applyNumberFormat="1" applyFont="1"/>
    <xf numFmtId="11" fontId="3" fillId="0" borderId="0" xfId="0" applyNumberFormat="1" applyFont="1"/>
    <xf numFmtId="185" fontId="3" fillId="0" borderId="0" xfId="0" applyNumberFormat="1" applyFont="1"/>
    <xf numFmtId="49" fontId="3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4" borderId="1" xfId="0" applyFont="1" applyFill="1" applyBorder="1"/>
    <xf numFmtId="0" fontId="0" fillId="0" borderId="1" xfId="0" applyBorder="1"/>
    <xf numFmtId="0" fontId="0" fillId="5" borderId="1" xfId="0" applyFont="1" applyFill="1" applyBorder="1"/>
    <xf numFmtId="0" fontId="0" fillId="0" borderId="1" xfId="0" applyFont="1" applyBorder="1"/>
    <xf numFmtId="0" fontId="0" fillId="5" borderId="1" xfId="0" applyFill="1" applyBorder="1"/>
    <xf numFmtId="0" fontId="8" fillId="5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wrapText="1"/>
    </xf>
    <xf numFmtId="49" fontId="0" fillId="0" borderId="1" xfId="0" applyNumberFormat="1" applyFont="1" applyBorder="1" applyAlignment="1">
      <alignment wrapText="1"/>
    </xf>
    <xf numFmtId="49" fontId="0" fillId="0" borderId="0" xfId="0" applyNumberForma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/>
    </xf>
    <xf numFmtId="0" fontId="0" fillId="7" borderId="1" xfId="49" applyFont="1" applyFill="1" applyBorder="1" applyAlignment="1">
      <alignment horizontal="center"/>
    </xf>
    <xf numFmtId="0" fontId="0" fillId="7" borderId="1" xfId="49" applyFont="1" applyFill="1" applyBorder="1" applyAlignment="1">
      <alignment horizontal="center" vertical="center"/>
    </xf>
    <xf numFmtId="0" fontId="0" fillId="0" borderId="0" xfId="49"/>
    <xf numFmtId="186" fontId="0" fillId="0" borderId="0" xfId="49" applyNumberFormat="1"/>
    <xf numFmtId="0" fontId="0" fillId="0" borderId="0" xfId="49" applyAlignment="1">
      <alignment horizontal="center"/>
    </xf>
    <xf numFmtId="0" fontId="3" fillId="7" borderId="2" xfId="49" applyFont="1" applyFill="1" applyBorder="1" applyAlignment="1">
      <alignment horizontal="center" vertical="center"/>
    </xf>
    <xf numFmtId="0" fontId="3" fillId="7" borderId="3" xfId="49" applyFont="1" applyFill="1" applyBorder="1" applyAlignment="1">
      <alignment horizontal="center" vertical="center"/>
    </xf>
    <xf numFmtId="0" fontId="3" fillId="7" borderId="4" xfId="49" applyFont="1" applyFill="1" applyBorder="1" applyAlignment="1">
      <alignment horizontal="center" vertical="center"/>
    </xf>
    <xf numFmtId="0" fontId="3" fillId="7" borderId="1" xfId="49" applyFont="1" applyFill="1" applyBorder="1" applyAlignment="1">
      <alignment horizontal="center"/>
    </xf>
    <xf numFmtId="0" fontId="3" fillId="7" borderId="1" xfId="50" applyFont="1" applyFill="1" applyBorder="1" applyAlignment="1">
      <alignment horizontal="center"/>
    </xf>
    <xf numFmtId="0" fontId="11" fillId="7" borderId="1" xfId="50" applyFont="1" applyFill="1" applyBorder="1" applyAlignment="1">
      <alignment horizontal="center" vertical="center" wrapText="1"/>
    </xf>
    <xf numFmtId="0" fontId="12" fillId="7" borderId="1" xfId="50" applyFont="1" applyFill="1" applyBorder="1" applyAlignment="1">
      <alignment horizontal="center" vertical="center" wrapText="1"/>
    </xf>
    <xf numFmtId="176" fontId="0" fillId="7" borderId="1" xfId="50" applyNumberFormat="1" applyFont="1" applyFill="1" applyBorder="1" applyAlignment="1">
      <alignment horizontal="center"/>
    </xf>
    <xf numFmtId="0" fontId="0" fillId="7" borderId="1" xfId="50" applyFont="1" applyFill="1" applyBorder="1" applyAlignment="1">
      <alignment horizontal="center"/>
    </xf>
    <xf numFmtId="0" fontId="8" fillId="7" borderId="1" xfId="50" applyFont="1" applyFill="1" applyBorder="1" applyAlignment="1">
      <alignment horizontal="center" vertical="center" wrapText="1"/>
    </xf>
    <xf numFmtId="0" fontId="13" fillId="7" borderId="1" xfId="50" applyFont="1" applyFill="1" applyBorder="1" applyAlignment="1">
      <alignment horizontal="center" vertical="center" wrapText="1"/>
    </xf>
    <xf numFmtId="176" fontId="13" fillId="7" borderId="1" xfId="50" applyNumberFormat="1" applyFont="1" applyFill="1" applyBorder="1" applyAlignment="1">
      <alignment horizontal="center" vertical="center" wrapText="1"/>
    </xf>
    <xf numFmtId="178" fontId="0" fillId="7" borderId="1" xfId="50" applyNumberFormat="1" applyFont="1" applyFill="1" applyBorder="1" applyAlignment="1">
      <alignment horizontal="center"/>
    </xf>
    <xf numFmtId="179" fontId="13" fillId="7" borderId="1" xfId="50" applyNumberFormat="1" applyFont="1" applyFill="1" applyBorder="1" applyAlignment="1">
      <alignment horizontal="center" vertical="center" wrapText="1"/>
    </xf>
    <xf numFmtId="176" fontId="11" fillId="7" borderId="1" xfId="50" applyNumberFormat="1" applyFont="1" applyFill="1" applyBorder="1" applyAlignment="1">
      <alignment horizontal="center" vertical="center" wrapText="1"/>
    </xf>
    <xf numFmtId="180" fontId="11" fillId="7" borderId="1" xfId="50" applyNumberFormat="1" applyFont="1" applyFill="1" applyBorder="1" applyAlignment="1">
      <alignment horizontal="center" vertical="center" wrapText="1"/>
    </xf>
    <xf numFmtId="178" fontId="11" fillId="7" borderId="1" xfId="50" applyNumberFormat="1" applyFont="1" applyFill="1" applyBorder="1" applyAlignment="1">
      <alignment horizontal="center" vertical="center" wrapText="1"/>
    </xf>
    <xf numFmtId="0" fontId="0" fillId="7" borderId="1" xfId="50" applyFont="1" applyFill="1" applyBorder="1" applyAlignment="1">
      <alignment horizontal="center" vertical="center"/>
    </xf>
    <xf numFmtId="178" fontId="0" fillId="7" borderId="1" xfId="50" applyNumberFormat="1" applyFont="1" applyFill="1" applyBorder="1" applyAlignment="1">
      <alignment horizontal="center" vertical="center"/>
    </xf>
    <xf numFmtId="0" fontId="0" fillId="0" borderId="0" xfId="49" applyFont="1" applyAlignment="1">
      <alignment horizontal="left"/>
    </xf>
    <xf numFmtId="0" fontId="0" fillId="5" borderId="0" xfId="49" applyFont="1" applyFill="1" applyAlignment="1">
      <alignment horizontal="left"/>
    </xf>
    <xf numFmtId="0" fontId="0" fillId="5" borderId="0" xfId="49" applyFont="1" applyFill="1" applyAlignment="1">
      <alignment horizontal="left" vertical="center"/>
    </xf>
    <xf numFmtId="186" fontId="0" fillId="0" borderId="0" xfId="49" applyNumberFormat="1" applyFont="1" applyAlignment="1">
      <alignment horizontal="left"/>
    </xf>
    <xf numFmtId="0" fontId="0" fillId="0" borderId="0" xfId="0" applyAlignment="1">
      <alignment horizontal="left"/>
    </xf>
    <xf numFmtId="0" fontId="3" fillId="8" borderId="1" xfId="49" applyFont="1" applyFill="1" applyBorder="1" applyAlignment="1">
      <alignment horizontal="center" vertical="center"/>
    </xf>
    <xf numFmtId="0" fontId="3" fillId="8" borderId="1" xfId="49" applyFont="1" applyFill="1" applyBorder="1" applyAlignment="1">
      <alignment horizontal="left" vertical="center"/>
    </xf>
    <xf numFmtId="0" fontId="3" fillId="8" borderId="1" xfId="49" applyFont="1" applyFill="1" applyBorder="1" applyAlignment="1">
      <alignment horizontal="left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Font="1" applyBorder="1" applyAlignment="1">
      <alignment horizontal="left"/>
    </xf>
    <xf numFmtId="186" fontId="3" fillId="8" borderId="1" xfId="49" applyNumberFormat="1" applyFont="1" applyFill="1" applyBorder="1" applyAlignment="1">
      <alignment horizontal="left"/>
    </xf>
    <xf numFmtId="22" fontId="0" fillId="0" borderId="1" xfId="0" applyNumberFormat="1" applyBorder="1" applyAlignment="1">
      <alignment horizontal="left"/>
    </xf>
    <xf numFmtId="0" fontId="0" fillId="0" borderId="0" xfId="0" applyFont="1"/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5" borderId="0" xfId="49" applyFill="1"/>
    <xf numFmtId="0" fontId="12" fillId="0" borderId="2" xfId="49" applyFont="1" applyBorder="1" applyAlignment="1">
      <alignment vertical="center" wrapText="1"/>
    </xf>
    <xf numFmtId="0" fontId="12" fillId="0" borderId="1" xfId="49" applyFont="1" applyBorder="1" applyAlignment="1">
      <alignment vertical="center" wrapText="1"/>
    </xf>
    <xf numFmtId="0" fontId="16" fillId="0" borderId="2" xfId="49" applyFont="1" applyBorder="1" applyAlignment="1">
      <alignment horizontal="center" vertical="center" wrapText="1"/>
    </xf>
    <xf numFmtId="0" fontId="16" fillId="0" borderId="1" xfId="49" applyFont="1" applyBorder="1" applyAlignment="1">
      <alignment horizontal="center" vertical="center" wrapText="1"/>
    </xf>
    <xf numFmtId="0" fontId="17" fillId="0" borderId="2" xfId="49" applyFont="1" applyBorder="1" applyAlignment="1">
      <alignment horizontal="center" vertical="center" wrapText="1"/>
    </xf>
    <xf numFmtId="0" fontId="17" fillId="0" borderId="1" xfId="49" applyFont="1" applyBorder="1" applyAlignment="1">
      <alignment horizontal="center" vertical="center" wrapText="1"/>
    </xf>
    <xf numFmtId="0" fontId="0" fillId="0" borderId="2" xfId="49" applyBorder="1" applyAlignment="1">
      <alignment horizontal="center" vertical="center" wrapText="1"/>
    </xf>
    <xf numFmtId="0" fontId="0" fillId="0" borderId="1" xfId="49" applyBorder="1" applyAlignment="1">
      <alignment horizontal="center" vertical="center" wrapText="1"/>
    </xf>
    <xf numFmtId="0" fontId="0" fillId="0" borderId="9" xfId="49" applyBorder="1" applyAlignment="1">
      <alignment horizontal="center" vertical="center" wrapText="1"/>
    </xf>
    <xf numFmtId="0" fontId="0" fillId="0" borderId="10" xfId="49" applyBorder="1" applyAlignment="1">
      <alignment horizontal="center" vertical="center" wrapText="1"/>
    </xf>
    <xf numFmtId="0" fontId="0" fillId="0" borderId="11" xfId="49" applyBorder="1" applyAlignment="1">
      <alignment horizontal="center" vertical="center" wrapText="1"/>
    </xf>
    <xf numFmtId="0" fontId="0" fillId="0" borderId="12" xfId="49" applyBorder="1" applyAlignment="1">
      <alignment horizontal="center" vertical="center" wrapText="1"/>
    </xf>
    <xf numFmtId="0" fontId="0" fillId="0" borderId="2" xfId="49" applyBorder="1" applyAlignment="1">
      <alignment horizontal="center"/>
    </xf>
    <xf numFmtId="176" fontId="0" fillId="0" borderId="1" xfId="49" applyNumberFormat="1" applyBorder="1" applyAlignment="1">
      <alignment horizontal="center" vertical="center" wrapText="1"/>
    </xf>
    <xf numFmtId="177" fontId="0" fillId="0" borderId="1" xfId="49" applyNumberFormat="1" applyBorder="1" applyAlignment="1">
      <alignment horizontal="center" vertical="center" wrapText="1"/>
    </xf>
    <xf numFmtId="183" fontId="0" fillId="0" borderId="1" xfId="49" applyNumberFormat="1" applyBorder="1" applyAlignment="1">
      <alignment horizontal="center" vertical="center" wrapText="1"/>
    </xf>
    <xf numFmtId="0" fontId="18" fillId="0" borderId="2" xfId="49" applyFont="1" applyBorder="1" applyAlignment="1">
      <alignment horizontal="center" vertical="center" wrapText="1"/>
    </xf>
    <xf numFmtId="0" fontId="18" fillId="0" borderId="1" xfId="49" applyFont="1" applyBorder="1" applyAlignment="1">
      <alignment horizontal="center" vertical="center" wrapText="1"/>
    </xf>
    <xf numFmtId="0" fontId="18" fillId="0" borderId="2" xfId="49" applyFont="1" applyBorder="1" applyAlignment="1">
      <alignment horizontal="center" vertical="center"/>
    </xf>
    <xf numFmtId="0" fontId="18" fillId="0" borderId="1" xfId="49" applyFont="1" applyBorder="1" applyAlignment="1">
      <alignment horizontal="center" vertical="center"/>
    </xf>
    <xf numFmtId="0" fontId="0" fillId="0" borderId="1" xfId="49" applyBorder="1" applyAlignment="1">
      <alignment vertical="center" wrapText="1"/>
    </xf>
    <xf numFmtId="9" fontId="0" fillId="0" borderId="2" xfId="49" applyNumberFormat="1" applyBorder="1" applyAlignment="1">
      <alignment horizontal="center" vertical="center" wrapText="1"/>
    </xf>
    <xf numFmtId="181" fontId="0" fillId="0" borderId="2" xfId="49" applyNumberFormat="1" applyBorder="1" applyAlignment="1">
      <alignment horizontal="center" vertical="center" wrapText="1"/>
    </xf>
    <xf numFmtId="9" fontId="0" fillId="0" borderId="1" xfId="49" applyNumberFormat="1" applyBorder="1" applyAlignment="1">
      <alignment horizontal="center" vertical="center" wrapText="1"/>
    </xf>
    <xf numFmtId="181" fontId="0" fillId="0" borderId="1" xfId="49" applyNumberFormat="1" applyBorder="1" applyAlignment="1">
      <alignment horizontal="center" vertical="center" wrapText="1"/>
    </xf>
    <xf numFmtId="177" fontId="0" fillId="0" borderId="2" xfId="49" applyNumberFormat="1" applyBorder="1" applyAlignment="1">
      <alignment horizontal="center" vertical="center" wrapText="1"/>
    </xf>
    <xf numFmtId="0" fontId="19" fillId="0" borderId="2" xfId="49" applyFont="1" applyBorder="1" applyAlignment="1">
      <alignment horizontal="center" vertical="center" wrapText="1"/>
    </xf>
    <xf numFmtId="0" fontId="19" fillId="0" borderId="1" xfId="49" applyFont="1" applyBorder="1" applyAlignment="1">
      <alignment horizontal="center" vertical="center" wrapText="1"/>
    </xf>
    <xf numFmtId="0" fontId="20" fillId="0" borderId="2" xfId="49" applyFont="1" applyBorder="1" applyAlignment="1">
      <alignment horizontal="center" vertical="center" wrapText="1"/>
    </xf>
    <xf numFmtId="0" fontId="20" fillId="0" borderId="1" xfId="49" applyFont="1" applyBorder="1" applyAlignment="1">
      <alignment horizontal="center" vertical="center" wrapText="1"/>
    </xf>
    <xf numFmtId="0" fontId="19" fillId="0" borderId="2" xfId="49" applyFont="1" applyBorder="1" applyAlignment="1">
      <alignment horizontal="center" vertical="center"/>
    </xf>
    <xf numFmtId="0" fontId="19" fillId="0" borderId="1" xfId="49" applyFont="1" applyBorder="1" applyAlignment="1">
      <alignment horizontal="center" vertical="center"/>
    </xf>
    <xf numFmtId="14" fontId="11" fillId="0" borderId="2" xfId="49" applyNumberFormat="1" applyFont="1" applyBorder="1" applyAlignment="1">
      <alignment horizontal="center" vertical="center" wrapText="1"/>
    </xf>
    <xf numFmtId="0" fontId="11" fillId="0" borderId="1" xfId="49" applyFont="1" applyBorder="1" applyAlignment="1">
      <alignment horizontal="center" vertical="center" wrapText="1"/>
    </xf>
    <xf numFmtId="0" fontId="0" fillId="0" borderId="3" xfId="49" applyBorder="1" applyAlignment="1">
      <alignment horizontal="center" vertical="center" wrapText="1"/>
    </xf>
    <xf numFmtId="0" fontId="0" fillId="0" borderId="13" xfId="49" applyBorder="1" applyAlignment="1">
      <alignment horizontal="center" vertical="center" wrapText="1"/>
    </xf>
    <xf numFmtId="0" fontId="0" fillId="0" borderId="14" xfId="49" applyBorder="1" applyAlignment="1">
      <alignment horizontal="center" vertical="center" wrapText="1"/>
    </xf>
    <xf numFmtId="0" fontId="0" fillId="0" borderId="15" xfId="49" applyBorder="1" applyAlignment="1">
      <alignment horizontal="center" vertical="center" wrapText="1"/>
    </xf>
    <xf numFmtId="0" fontId="0" fillId="0" borderId="1" xfId="49" applyBorder="1" applyAlignment="1">
      <alignment horizontal="center"/>
    </xf>
    <xf numFmtId="0" fontId="0" fillId="0" borderId="16" xfId="49" applyBorder="1" applyAlignment="1">
      <alignment horizontal="center" vertical="center" wrapText="1"/>
    </xf>
    <xf numFmtId="0" fontId="0" fillId="0" borderId="4" xfId="49" applyBorder="1" applyAlignment="1">
      <alignment horizontal="center" vertical="center" wrapText="1"/>
    </xf>
    <xf numFmtId="176" fontId="0" fillId="0" borderId="17" xfId="49" applyNumberFormat="1" applyBorder="1" applyAlignment="1">
      <alignment horizontal="center" vertical="center" wrapText="1"/>
    </xf>
    <xf numFmtId="176" fontId="0" fillId="0" borderId="11" xfId="49" applyNumberFormat="1" applyBorder="1" applyAlignment="1">
      <alignment horizontal="center" vertical="center" wrapText="1"/>
    </xf>
    <xf numFmtId="176" fontId="0" fillId="0" borderId="12" xfId="49" applyNumberFormat="1" applyBorder="1" applyAlignment="1">
      <alignment horizontal="center" vertical="center" wrapText="1"/>
    </xf>
    <xf numFmtId="176" fontId="0" fillId="0" borderId="18" xfId="49" applyNumberFormat="1" applyBorder="1" applyAlignment="1">
      <alignment horizontal="center" vertical="center" wrapText="1"/>
    </xf>
    <xf numFmtId="176" fontId="0" fillId="0" borderId="4" xfId="49" applyNumberFormat="1" applyBorder="1" applyAlignment="1">
      <alignment horizontal="center" vertical="center" wrapText="1"/>
    </xf>
    <xf numFmtId="177" fontId="0" fillId="0" borderId="19" xfId="49" applyNumberFormat="1" applyBorder="1" applyAlignment="1">
      <alignment horizontal="center" vertical="center" wrapText="1"/>
    </xf>
    <xf numFmtId="177" fontId="0" fillId="0" borderId="18" xfId="49" applyNumberFormat="1" applyBorder="1" applyAlignment="1">
      <alignment horizontal="center" vertical="center" wrapText="1"/>
    </xf>
    <xf numFmtId="177" fontId="0" fillId="0" borderId="4" xfId="49" applyNumberFormat="1" applyBorder="1" applyAlignment="1">
      <alignment horizontal="center" vertical="center" wrapText="1"/>
    </xf>
    <xf numFmtId="183" fontId="0" fillId="0" borderId="2" xfId="49" applyNumberFormat="1" applyBorder="1" applyAlignment="1">
      <alignment horizontal="center" vertical="center" wrapText="1"/>
    </xf>
    <xf numFmtId="183" fontId="0" fillId="0" borderId="18" xfId="49" applyNumberFormat="1" applyBorder="1" applyAlignment="1">
      <alignment horizontal="center" vertical="center" wrapText="1"/>
    </xf>
    <xf numFmtId="183" fontId="0" fillId="0" borderId="4" xfId="49" applyNumberFormat="1" applyBorder="1" applyAlignment="1">
      <alignment horizontal="center" vertical="center" wrapText="1"/>
    </xf>
    <xf numFmtId="176" fontId="0" fillId="0" borderId="2" xfId="49" applyNumberFormat="1" applyBorder="1" applyAlignment="1">
      <alignment horizontal="center" vertical="center" wrapText="1"/>
    </xf>
    <xf numFmtId="0" fontId="0" fillId="5" borderId="2" xfId="49" applyFill="1" applyBorder="1" applyAlignment="1">
      <alignment horizontal="center" vertical="center" wrapText="1"/>
    </xf>
    <xf numFmtId="0" fontId="0" fillId="5" borderId="1" xfId="49" applyFill="1" applyBorder="1" applyAlignment="1">
      <alignment horizontal="center" vertical="center" wrapText="1"/>
    </xf>
    <xf numFmtId="181" fontId="15" fillId="0" borderId="2" xfId="49" applyNumberFormat="1" applyFont="1" applyBorder="1" applyAlignment="1">
      <alignment horizontal="center" vertical="center" wrapText="1"/>
    </xf>
    <xf numFmtId="181" fontId="15" fillId="0" borderId="1" xfId="49" applyNumberFormat="1" applyFont="1" applyBorder="1" applyAlignment="1">
      <alignment horizontal="center" vertical="center" wrapText="1"/>
    </xf>
    <xf numFmtId="187" fontId="18" fillId="0" borderId="2" xfId="49" applyNumberFormat="1" applyFont="1" applyBorder="1" applyAlignment="1">
      <alignment horizontal="center" vertical="center" wrapText="1"/>
    </xf>
    <xf numFmtId="187" fontId="18" fillId="0" borderId="1" xfId="49" applyNumberFormat="1" applyFont="1" applyBorder="1" applyAlignment="1">
      <alignment horizontal="center" vertical="center" wrapText="1"/>
    </xf>
    <xf numFmtId="177" fontId="18" fillId="0" borderId="2" xfId="49" applyNumberFormat="1" applyFont="1" applyBorder="1" applyAlignment="1">
      <alignment horizontal="center" vertical="center" wrapText="1"/>
    </xf>
    <xf numFmtId="177" fontId="18" fillId="0" borderId="1" xfId="49" applyNumberFormat="1" applyFont="1" applyBorder="1" applyAlignment="1">
      <alignment horizontal="center" vertical="center" wrapText="1"/>
    </xf>
    <xf numFmtId="9" fontId="18" fillId="0" borderId="2" xfId="49" applyNumberFormat="1" applyFont="1" applyBorder="1" applyAlignment="1">
      <alignment horizontal="center" vertical="center" wrapText="1"/>
    </xf>
    <xf numFmtId="181" fontId="0" fillId="5" borderId="2" xfId="49" applyNumberFormat="1" applyFill="1" applyBorder="1" applyAlignment="1">
      <alignment horizontal="center" vertical="center" wrapText="1"/>
    </xf>
    <xf numFmtId="181" fontId="0" fillId="5" borderId="1" xfId="49" applyNumberFormat="1" applyFill="1" applyBorder="1" applyAlignment="1">
      <alignment horizontal="center" vertical="center" wrapText="1"/>
    </xf>
    <xf numFmtId="9" fontId="18" fillId="0" borderId="1" xfId="49" applyNumberFormat="1" applyFont="1" applyBorder="1" applyAlignment="1">
      <alignment horizontal="center" vertical="center" wrapText="1"/>
    </xf>
    <xf numFmtId="177" fontId="0" fillId="5" borderId="2" xfId="49" applyNumberFormat="1" applyFill="1" applyBorder="1" applyAlignment="1">
      <alignment horizontal="center" vertical="center" wrapText="1"/>
    </xf>
    <xf numFmtId="177" fontId="0" fillId="5" borderId="1" xfId="49" applyNumberFormat="1" applyFill="1" applyBorder="1" applyAlignment="1">
      <alignment horizontal="center" vertical="center" wrapText="1"/>
    </xf>
    <xf numFmtId="0" fontId="18" fillId="0" borderId="9" xfId="49" applyFont="1" applyBorder="1" applyAlignment="1">
      <alignment horizontal="center" vertical="center" wrapText="1"/>
    </xf>
    <xf numFmtId="0" fontId="18" fillId="0" borderId="4" xfId="49" applyFont="1" applyBorder="1" applyAlignment="1">
      <alignment horizontal="center" vertical="center" wrapText="1"/>
    </xf>
    <xf numFmtId="0" fontId="18" fillId="0" borderId="3" xfId="49" applyFont="1" applyBorder="1" applyAlignment="1">
      <alignment horizontal="center" vertical="center" wrapText="1"/>
    </xf>
    <xf numFmtId="0" fontId="18" fillId="0" borderId="12" xfId="49" applyFont="1" applyBorder="1" applyAlignment="1">
      <alignment horizontal="center" vertical="center" wrapText="1"/>
    </xf>
    <xf numFmtId="0" fontId="18" fillId="0" borderId="11" xfId="49" applyFont="1" applyBorder="1" applyAlignment="1">
      <alignment horizontal="center" vertical="center" wrapText="1"/>
    </xf>
    <xf numFmtId="0" fontId="21" fillId="0" borderId="2" xfId="49" applyFont="1" applyBorder="1" applyAlignment="1">
      <alignment horizontal="left" vertical="center" wrapText="1"/>
    </xf>
    <xf numFmtId="0" fontId="8" fillId="0" borderId="1" xfId="49" applyFont="1" applyBorder="1" applyAlignment="1">
      <alignment horizontal="left" vertical="center" wrapText="1"/>
    </xf>
    <xf numFmtId="0" fontId="18" fillId="0" borderId="12" xfId="49" applyFont="1" applyBorder="1" applyAlignment="1">
      <alignment horizontal="left" vertical="center" wrapText="1"/>
    </xf>
    <xf numFmtId="0" fontId="18" fillId="0" borderId="11" xfId="49" applyFont="1" applyBorder="1" applyAlignment="1">
      <alignment horizontal="left" vertical="center" wrapText="1"/>
    </xf>
    <xf numFmtId="0" fontId="18" fillId="0" borderId="1" xfId="49" applyFont="1" applyBorder="1" applyAlignment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">
    <dxf>
      <fill>
        <patternFill patternType="solid"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0</xdr:row>
      <xdr:rowOff>57150</xdr:rowOff>
    </xdr:from>
    <xdr:to>
      <xdr:col>1</xdr:col>
      <xdr:colOff>571500</xdr:colOff>
      <xdr:row>2</xdr:row>
      <xdr:rowOff>180975</xdr:rowOff>
    </xdr:to>
    <xdr:sp>
      <xdr:nvSpPr>
        <xdr:cNvPr id="2" name="图片 1"/>
        <xdr:cNvSpPr/>
      </xdr:nvSpPr>
      <xdr:spPr>
        <a:xfrm>
          <a:off x="38100" y="57150"/>
          <a:ext cx="939800" cy="638175"/>
        </a:xfrm>
        <a:prstGeom prst="rect">
          <a:avLst/>
        </a:prstGeom>
        <a:blipFill>
          <a:blip r:embed="rId1"/>
          <a:stretch>
            <a:fillRect/>
          </a:stretch>
        </a:blipFill>
      </xdr:spPr>
      <xdr:txBody>
        <a:bodyPr vertOverflow="clip" horzOverflow="clip" vert="horz" wrap="square" rtlCol="0" anchor="ctr" upright="1"/>
        <a:lstStyle/>
        <a:p>
          <a:pPr algn="ctr"/>
          <a:endParaRPr lang="en-US" sz="825">
            <a:solidFill>
              <a:srgbClr val="000000"/>
            </a:solidFill>
            <a:latin typeface="Microsoft Sans Serif" panose="020B0604020202020204"/>
          </a:endParaRP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2"/>
  <sheetViews>
    <sheetView showGridLines="0" zoomScale="70" zoomScaleNormal="70" zoomScalePageLayoutView="80" workbookViewId="0">
      <selection activeCell="C2" sqref="C2:K3"/>
    </sheetView>
  </sheetViews>
  <sheetFormatPr defaultColWidth="9" defaultRowHeight="13.5"/>
  <cols>
    <col min="1" max="1" width="5.33333333333333" style="118" customWidth="1"/>
    <col min="2" max="2" width="8.775" style="118" customWidth="1"/>
    <col min="3" max="3" width="8.10833333333333" style="118" customWidth="1"/>
    <col min="4" max="5" width="8.44166666666667" style="118" customWidth="1"/>
    <col min="6" max="6" width="3.33333333333333" style="118" customWidth="1"/>
    <col min="7" max="7" width="3.44166666666667" style="118" customWidth="1"/>
    <col min="8" max="8" width="7.10833333333333" style="118" customWidth="1"/>
    <col min="9" max="9" width="1.775" style="118" customWidth="1"/>
    <col min="10" max="10" width="6.775" style="118" customWidth="1"/>
    <col min="11" max="11" width="7.44166666666667" style="118" customWidth="1"/>
    <col min="12" max="12" width="7.88333333333333" style="118" customWidth="1"/>
    <col min="13" max="13" width="8.44166666666667" style="118" customWidth="1"/>
    <col min="14" max="14" width="4.775" style="118" customWidth="1"/>
    <col min="15" max="15" width="5.66666666666667" style="159" customWidth="1"/>
    <col min="16" max="16384" width="9" style="118"/>
  </cols>
  <sheetData>
    <row r="1" ht="20.25" customHeight="1" spans="1:15">
      <c r="A1" s="160"/>
      <c r="B1" s="161"/>
      <c r="C1" s="162" t="s">
        <v>0</v>
      </c>
      <c r="D1" s="163"/>
      <c r="E1" s="163"/>
      <c r="F1" s="163"/>
      <c r="G1" s="163"/>
      <c r="H1" s="163"/>
      <c r="I1" s="163"/>
      <c r="J1" s="163"/>
      <c r="K1" s="163"/>
      <c r="L1" s="186" t="s">
        <v>1</v>
      </c>
      <c r="M1" s="187"/>
      <c r="N1" s="188" t="s">
        <v>2</v>
      </c>
      <c r="O1" s="189"/>
    </row>
    <row r="2" ht="20.25" customHeight="1" spans="1:15">
      <c r="A2" s="161"/>
      <c r="B2" s="161"/>
      <c r="C2" s="164" t="s">
        <v>3</v>
      </c>
      <c r="D2" s="165"/>
      <c r="E2" s="165"/>
      <c r="F2" s="165"/>
      <c r="G2" s="165"/>
      <c r="H2" s="165"/>
      <c r="I2" s="165"/>
      <c r="J2" s="165"/>
      <c r="K2" s="165"/>
      <c r="L2" s="186" t="s">
        <v>4</v>
      </c>
      <c r="M2" s="187"/>
      <c r="N2" s="188" t="s">
        <v>5</v>
      </c>
      <c r="O2" s="189"/>
    </row>
    <row r="3" ht="20.25" customHeight="1" spans="1:15">
      <c r="A3" s="161"/>
      <c r="B3" s="161"/>
      <c r="C3" s="165"/>
      <c r="D3" s="165"/>
      <c r="E3" s="165"/>
      <c r="F3" s="165"/>
      <c r="G3" s="165"/>
      <c r="H3" s="165"/>
      <c r="I3" s="165"/>
      <c r="J3" s="165"/>
      <c r="K3" s="165"/>
      <c r="L3" s="190" t="s">
        <v>6</v>
      </c>
      <c r="M3" s="191"/>
      <c r="N3" s="192">
        <v>41010</v>
      </c>
      <c r="O3" s="193"/>
    </row>
    <row r="4" ht="18" customHeight="1" spans="1:15">
      <c r="A4" s="166" t="s">
        <v>7</v>
      </c>
      <c r="B4" s="167"/>
      <c r="C4" s="167"/>
      <c r="D4" s="167" t="s">
        <v>8</v>
      </c>
      <c r="E4" s="167"/>
      <c r="F4" s="167"/>
      <c r="G4" s="167"/>
      <c r="H4" s="168" t="s">
        <v>9</v>
      </c>
      <c r="I4" s="194"/>
      <c r="J4" s="194"/>
      <c r="K4" s="195"/>
      <c r="L4" s="166" t="s">
        <v>10</v>
      </c>
      <c r="M4" s="167"/>
      <c r="N4" s="166" t="s">
        <v>11</v>
      </c>
      <c r="O4" s="167"/>
    </row>
    <row r="5" ht="18" customHeight="1" spans="1:15">
      <c r="A5" s="166" t="str">
        <f>IFERROR(VLOOKUP(MID(D5,5,4),对应信息!A:B,2,0),"")</f>
        <v/>
      </c>
      <c r="B5" s="167"/>
      <c r="C5" s="167"/>
      <c r="D5" s="167"/>
      <c r="E5" s="167"/>
      <c r="F5" s="167"/>
      <c r="G5" s="167"/>
      <c r="H5" s="169"/>
      <c r="I5" s="196"/>
      <c r="J5" s="196"/>
      <c r="K5" s="197"/>
      <c r="L5" s="166"/>
      <c r="M5" s="167"/>
      <c r="N5" s="166"/>
      <c r="O5" s="167"/>
    </row>
    <row r="6" ht="18" customHeight="1" spans="1:15">
      <c r="A6" s="166" t="s">
        <v>12</v>
      </c>
      <c r="B6" s="167"/>
      <c r="C6" s="166"/>
      <c r="D6" s="170"/>
      <c r="E6" s="171" t="s">
        <v>13</v>
      </c>
      <c r="F6" s="170"/>
      <c r="G6" s="170"/>
      <c r="H6" s="172"/>
      <c r="I6" s="198"/>
      <c r="J6" s="198"/>
      <c r="K6" s="198"/>
      <c r="L6" s="166" t="s">
        <v>14</v>
      </c>
      <c r="M6" s="167"/>
      <c r="N6" s="166"/>
      <c r="O6" s="167"/>
    </row>
    <row r="7" ht="19.5" customHeight="1" spans="1:15">
      <c r="A7" s="167" t="s">
        <v>15</v>
      </c>
      <c r="B7" s="166" t="s">
        <v>16</v>
      </c>
      <c r="C7" s="167"/>
      <c r="D7" s="167"/>
      <c r="E7" s="166" t="s">
        <v>17</v>
      </c>
      <c r="F7" s="167"/>
      <c r="G7" s="167"/>
      <c r="H7" s="167"/>
      <c r="I7" s="167"/>
      <c r="J7" s="167"/>
      <c r="K7" s="167"/>
      <c r="L7" s="167"/>
      <c r="M7" s="167"/>
      <c r="N7" s="167"/>
      <c r="O7" s="167"/>
    </row>
    <row r="8" ht="19.5" customHeight="1" spans="1:15">
      <c r="A8" s="166">
        <v>1</v>
      </c>
      <c r="B8" s="166" t="s">
        <v>18</v>
      </c>
      <c r="C8" s="166" t="s">
        <v>19</v>
      </c>
      <c r="D8" s="167"/>
      <c r="E8" s="166" t="s">
        <v>20</v>
      </c>
      <c r="F8" s="167"/>
      <c r="G8" s="167"/>
      <c r="H8" s="169" t="s">
        <v>21</v>
      </c>
      <c r="I8" s="196"/>
      <c r="J8" s="196"/>
      <c r="K8" s="196"/>
      <c r="L8" s="196"/>
      <c r="M8" s="196"/>
      <c r="N8" s="196"/>
      <c r="O8" s="199"/>
    </row>
    <row r="9" ht="19.2" customHeight="1" spans="1:15">
      <c r="A9" s="167"/>
      <c r="B9" s="167"/>
      <c r="C9" s="167"/>
      <c r="D9" s="167"/>
      <c r="E9" s="166" t="s">
        <v>22</v>
      </c>
      <c r="F9" s="167"/>
      <c r="G9" s="167"/>
      <c r="H9" s="168" t="s">
        <v>23</v>
      </c>
      <c r="I9" s="194"/>
      <c r="J9" s="200"/>
      <c r="K9" s="173" t="s">
        <v>24</v>
      </c>
      <c r="L9" s="173"/>
      <c r="M9" s="173"/>
      <c r="N9" s="173"/>
      <c r="O9" s="173"/>
    </row>
    <row r="10" ht="19.5" customHeight="1" spans="1:15">
      <c r="A10" s="167"/>
      <c r="B10" s="167"/>
      <c r="C10" s="167"/>
      <c r="D10" s="167"/>
      <c r="E10" s="166" t="s">
        <v>25</v>
      </c>
      <c r="F10" s="167"/>
      <c r="G10" s="167"/>
      <c r="H10" s="173" t="str">
        <f>波长示值误差与重复性校验!B2</f>
        <v>807.4</v>
      </c>
      <c r="I10" s="173"/>
      <c r="J10" s="173"/>
      <c r="K10" s="201" t="str">
        <f>波长示值误差与重复性校验!B3</f>
        <v>640.7</v>
      </c>
      <c r="L10" s="202" t="str">
        <f>波长示值误差与重复性校验!B4</f>
        <v>536.8</v>
      </c>
      <c r="M10" s="203" t="str">
        <f>波长示值误差与重复性校验!B5</f>
        <v>416.5</v>
      </c>
      <c r="N10" s="204" t="str">
        <f>波长示值误差与重复性校验!B6</f>
        <v>361.0</v>
      </c>
      <c r="O10" s="205"/>
    </row>
    <row r="11" ht="19.5" customHeight="1" spans="1:15">
      <c r="A11" s="167"/>
      <c r="B11" s="167"/>
      <c r="C11" s="167"/>
      <c r="D11" s="167"/>
      <c r="E11" s="166" t="s">
        <v>26</v>
      </c>
      <c r="F11" s="167"/>
      <c r="G11" s="167"/>
      <c r="H11" s="174">
        <f>波长示值误差与重复性校验!C2</f>
        <v>0</v>
      </c>
      <c r="I11" s="174"/>
      <c r="J11" s="174"/>
      <c r="K11" s="206">
        <f>波长示值误差与重复性校验!C3</f>
        <v>0</v>
      </c>
      <c r="L11" s="174">
        <f>波长示值误差与重复性校验!C4</f>
        <v>0</v>
      </c>
      <c r="M11" s="185">
        <f>波长示值误差与重复性校验!C5</f>
        <v>0</v>
      </c>
      <c r="N11" s="207">
        <f>波长示值误差与重复性校验!C6</f>
        <v>0</v>
      </c>
      <c r="O11" s="208"/>
    </row>
    <row r="12" ht="19.5" customHeight="1" spans="1:15">
      <c r="A12" s="167"/>
      <c r="B12" s="167"/>
      <c r="C12" s="167"/>
      <c r="D12" s="167"/>
      <c r="E12" s="167"/>
      <c r="F12" s="167"/>
      <c r="G12" s="167"/>
      <c r="H12" s="174">
        <f>波长示值误差与重复性校验!D2</f>
        <v>0</v>
      </c>
      <c r="I12" s="174"/>
      <c r="J12" s="174"/>
      <c r="K12" s="206">
        <f>波长示值误差与重复性校验!D3</f>
        <v>0</v>
      </c>
      <c r="L12" s="174">
        <f>波长示值误差与重复性校验!D4</f>
        <v>0</v>
      </c>
      <c r="M12" s="185">
        <f>波长示值误差与重复性校验!D5</f>
        <v>0</v>
      </c>
      <c r="N12" s="207">
        <f>波长示值误差与重复性校验!D6</f>
        <v>0</v>
      </c>
      <c r="O12" s="208"/>
    </row>
    <row r="13" ht="19.5" customHeight="1" spans="1:15">
      <c r="A13" s="167"/>
      <c r="B13" s="167"/>
      <c r="C13" s="167"/>
      <c r="D13" s="167"/>
      <c r="E13" s="167"/>
      <c r="F13" s="167"/>
      <c r="G13" s="167"/>
      <c r="H13" s="174">
        <f>波长示值误差与重复性校验!E2</f>
        <v>0</v>
      </c>
      <c r="I13" s="174"/>
      <c r="J13" s="174"/>
      <c r="K13" s="206">
        <f>波长示值误差与重复性校验!E3</f>
        <v>0</v>
      </c>
      <c r="L13" s="174">
        <f>波长示值误差与重复性校验!E4</f>
        <v>0</v>
      </c>
      <c r="M13" s="185">
        <f>波长示值误差与重复性校验!E5</f>
        <v>0</v>
      </c>
      <c r="N13" s="207">
        <f>波长示值误差与重复性校验!E6</f>
        <v>0</v>
      </c>
      <c r="O13" s="208"/>
    </row>
    <row r="14" ht="19.5" customHeight="1" spans="1:15">
      <c r="A14" s="167"/>
      <c r="B14" s="167"/>
      <c r="C14" s="167"/>
      <c r="D14" s="167"/>
      <c r="E14" s="166" t="s">
        <v>27</v>
      </c>
      <c r="F14" s="167"/>
      <c r="G14" s="167"/>
      <c r="H14" s="174" t="str">
        <f>波长示值误差与重复性校验!F2</f>
        <v/>
      </c>
      <c r="I14" s="174"/>
      <c r="J14" s="174"/>
      <c r="K14" s="206" t="str">
        <f>波长示值误差与重复性校验!F3</f>
        <v/>
      </c>
      <c r="L14" s="174" t="str">
        <f>波长示值误差与重复性校验!F4</f>
        <v/>
      </c>
      <c r="M14" s="185" t="str">
        <f>波长示值误差与重复性校验!F5</f>
        <v/>
      </c>
      <c r="N14" s="207" t="str">
        <f>波长示值误差与重复性校验!F6</f>
        <v/>
      </c>
      <c r="O14" s="208"/>
    </row>
    <row r="15" ht="19.5" customHeight="1" spans="1:15">
      <c r="A15" s="167"/>
      <c r="B15" s="167"/>
      <c r="C15" s="167"/>
      <c r="D15" s="167"/>
      <c r="E15" s="166" t="s">
        <v>28</v>
      </c>
      <c r="F15" s="167"/>
      <c r="G15" s="167"/>
      <c r="H15" s="174" t="str">
        <f>波长示值误差与重复性校验!G2</f>
        <v/>
      </c>
      <c r="I15" s="174"/>
      <c r="J15" s="174"/>
      <c r="K15" s="206" t="str">
        <f>波长示值误差与重复性校验!G3</f>
        <v/>
      </c>
      <c r="L15" s="174" t="str">
        <f>波长示值误差与重复性校验!G4</f>
        <v/>
      </c>
      <c r="M15" s="185" t="str">
        <f>波长示值误差与重复性校验!G5</f>
        <v/>
      </c>
      <c r="N15" s="207" t="str">
        <f>波长示值误差与重复性校验!G6</f>
        <v/>
      </c>
      <c r="O15" s="208"/>
    </row>
    <row r="16" ht="19.5" customHeight="1" spans="1:15">
      <c r="A16" s="167"/>
      <c r="B16" s="167"/>
      <c r="C16" s="167"/>
      <c r="D16" s="167"/>
      <c r="E16" s="166" t="s">
        <v>29</v>
      </c>
      <c r="F16" s="167"/>
      <c r="G16" s="167"/>
      <c r="H16" s="175">
        <f>波长示值误差与重复性校验!H2</f>
        <v>0</v>
      </c>
      <c r="I16" s="175"/>
      <c r="J16" s="175"/>
      <c r="K16" s="206">
        <f>波长示值误差与重复性校验!H3</f>
        <v>0</v>
      </c>
      <c r="L16" s="174">
        <f>波长示值误差与重复性校验!H4</f>
        <v>0</v>
      </c>
      <c r="M16" s="209">
        <f>波长示值误差与重复性校验!H5</f>
        <v>0</v>
      </c>
      <c r="N16" s="210">
        <f>波长示值误差与重复性校验!H6</f>
        <v>0</v>
      </c>
      <c r="O16" s="211"/>
    </row>
    <row r="17" ht="19.5" hidden="1" customHeight="1" spans="1:15">
      <c r="A17" s="167"/>
      <c r="B17" s="167"/>
      <c r="C17" s="167"/>
      <c r="D17" s="167"/>
      <c r="E17" s="167"/>
      <c r="F17" s="167"/>
      <c r="G17" s="167"/>
      <c r="H17" s="175"/>
      <c r="I17" s="175"/>
      <c r="J17" s="175"/>
      <c r="K17" s="175"/>
      <c r="L17" s="175"/>
      <c r="M17" s="175"/>
      <c r="N17" s="175"/>
      <c r="O17" s="175"/>
    </row>
    <row r="18" ht="19.5" customHeight="1" spans="1:15">
      <c r="A18" s="166">
        <v>2</v>
      </c>
      <c r="B18" s="166" t="s">
        <v>30</v>
      </c>
      <c r="C18" s="166" t="s">
        <v>31</v>
      </c>
      <c r="D18" s="167"/>
      <c r="E18" s="166" t="s">
        <v>22</v>
      </c>
      <c r="F18" s="167"/>
      <c r="G18" s="167"/>
      <c r="H18" s="166" t="s">
        <v>32</v>
      </c>
      <c r="I18" s="167"/>
      <c r="J18" s="167"/>
      <c r="K18" s="167"/>
      <c r="L18" s="167"/>
      <c r="M18" s="167"/>
      <c r="N18" s="167"/>
      <c r="O18" s="167"/>
    </row>
    <row r="19" ht="19.5" customHeight="1" spans="1:15">
      <c r="A19" s="167"/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</row>
    <row r="20" ht="19.5" customHeight="1" spans="1:15">
      <c r="A20" s="167"/>
      <c r="B20" s="167"/>
      <c r="C20" s="167"/>
      <c r="D20" s="167"/>
      <c r="E20" s="166" t="s">
        <v>33</v>
      </c>
      <c r="F20" s="167"/>
      <c r="G20" s="166" t="s">
        <v>34</v>
      </c>
      <c r="H20" s="167"/>
      <c r="I20" s="166">
        <f>透射比示值误差与重复性校验!B2</f>
        <v>635</v>
      </c>
      <c r="J20" s="167"/>
      <c r="K20" s="167"/>
      <c r="L20" s="166">
        <f>透射比示值误差与重复性校验!B3</f>
        <v>546</v>
      </c>
      <c r="M20" s="167"/>
      <c r="N20" s="166">
        <f>透射比示值误差与重复性校验!B4</f>
        <v>440</v>
      </c>
      <c r="O20" s="167"/>
    </row>
    <row r="21" ht="19.5" customHeight="1" spans="1:15">
      <c r="A21" s="167"/>
      <c r="B21" s="167"/>
      <c r="C21" s="167"/>
      <c r="D21" s="167"/>
      <c r="E21" s="166" t="s">
        <v>35</v>
      </c>
      <c r="F21" s="167"/>
      <c r="G21" s="166" t="s">
        <v>36</v>
      </c>
      <c r="H21" s="167"/>
      <c r="I21" s="212">
        <f>透射比示值误差与重复性校验!C2</f>
        <v>7.57</v>
      </c>
      <c r="J21" s="173"/>
      <c r="K21" s="173"/>
      <c r="L21" s="212">
        <f>透射比示值误差与重复性校验!C3</f>
        <v>10.1</v>
      </c>
      <c r="M21" s="173"/>
      <c r="N21" s="212">
        <f>透射比示值误差与重复性校验!C4</f>
        <v>10.07</v>
      </c>
      <c r="O21" s="173"/>
    </row>
    <row r="22" ht="19.5" customHeight="1" spans="1:15">
      <c r="A22" s="167"/>
      <c r="B22" s="167"/>
      <c r="C22" s="167"/>
      <c r="D22" s="167"/>
      <c r="E22" s="167"/>
      <c r="F22" s="167"/>
      <c r="G22" s="166" t="s">
        <v>37</v>
      </c>
      <c r="H22" s="167"/>
      <c r="I22" s="185">
        <f>透射比示值误差与重复性校验!D2</f>
        <v>0</v>
      </c>
      <c r="J22" s="174"/>
      <c r="K22" s="174"/>
      <c r="L22" s="185">
        <f>透射比示值误差与重复性校验!D3</f>
        <v>0</v>
      </c>
      <c r="M22" s="174"/>
      <c r="N22" s="185">
        <f>透射比示值误差与重复性校验!D4</f>
        <v>0</v>
      </c>
      <c r="O22" s="174"/>
    </row>
    <row r="23" ht="19.5" customHeight="1" spans="1:15">
      <c r="A23" s="167"/>
      <c r="B23" s="167"/>
      <c r="C23" s="167"/>
      <c r="D23" s="167"/>
      <c r="E23" s="167"/>
      <c r="F23" s="167"/>
      <c r="G23" s="167"/>
      <c r="H23" s="167"/>
      <c r="I23" s="185">
        <f>透射比示值误差与重复性校验!E2</f>
        <v>0</v>
      </c>
      <c r="J23" s="174"/>
      <c r="K23" s="174"/>
      <c r="L23" s="185">
        <f>透射比示值误差与重复性校验!E3</f>
        <v>0</v>
      </c>
      <c r="M23" s="174"/>
      <c r="N23" s="185">
        <f>透射比示值误差与重复性校验!E4</f>
        <v>0</v>
      </c>
      <c r="O23" s="174"/>
    </row>
    <row r="24" ht="19.5" customHeight="1" spans="1:15">
      <c r="A24" s="167"/>
      <c r="B24" s="167"/>
      <c r="C24" s="167"/>
      <c r="D24" s="167"/>
      <c r="E24" s="167"/>
      <c r="F24" s="167"/>
      <c r="G24" s="167"/>
      <c r="H24" s="167"/>
      <c r="I24" s="185">
        <f>透射比示值误差与重复性校验!F2</f>
        <v>0</v>
      </c>
      <c r="J24" s="174"/>
      <c r="K24" s="174"/>
      <c r="L24" s="185">
        <f>透射比示值误差与重复性校验!F3</f>
        <v>0</v>
      </c>
      <c r="M24" s="174"/>
      <c r="N24" s="185">
        <f>透射比示值误差与重复性校验!F4</f>
        <v>0</v>
      </c>
      <c r="O24" s="174"/>
    </row>
    <row r="25" ht="19.5" customHeight="1" spans="1:15">
      <c r="A25" s="167"/>
      <c r="B25" s="167"/>
      <c r="C25" s="167"/>
      <c r="D25" s="167"/>
      <c r="E25" s="167"/>
      <c r="F25" s="167"/>
      <c r="G25" s="166" t="s">
        <v>38</v>
      </c>
      <c r="H25" s="167"/>
      <c r="I25" s="185" t="str">
        <f>透射比示值误差与重复性校验!G2</f>
        <v/>
      </c>
      <c r="J25" s="174"/>
      <c r="K25" s="174"/>
      <c r="L25" s="185" t="str">
        <f>透射比示值误差与重复性校验!G3</f>
        <v/>
      </c>
      <c r="M25" s="174"/>
      <c r="N25" s="185" t="str">
        <f>透射比示值误差与重复性校验!G4</f>
        <v/>
      </c>
      <c r="O25" s="174"/>
    </row>
    <row r="26" ht="19.5" customHeight="1" spans="1:15">
      <c r="A26" s="167"/>
      <c r="B26" s="167"/>
      <c r="C26" s="167"/>
      <c r="D26" s="167"/>
      <c r="E26" s="167"/>
      <c r="F26" s="167"/>
      <c r="G26" s="166" t="s">
        <v>39</v>
      </c>
      <c r="H26" s="167"/>
      <c r="I26" s="185" t="str">
        <f>透射比示值误差与重复性校验!H2</f>
        <v/>
      </c>
      <c r="J26" s="174"/>
      <c r="K26" s="174"/>
      <c r="L26" s="185" t="str">
        <f>透射比示值误差与重复性校验!H3</f>
        <v/>
      </c>
      <c r="M26" s="174"/>
      <c r="N26" s="185" t="str">
        <f>透射比示值误差与重复性校验!H4</f>
        <v/>
      </c>
      <c r="O26" s="174"/>
    </row>
    <row r="27" ht="19.5" customHeight="1" spans="1:15">
      <c r="A27" s="167"/>
      <c r="B27" s="167"/>
      <c r="C27" s="167"/>
      <c r="D27" s="167"/>
      <c r="E27" s="167"/>
      <c r="F27" s="167"/>
      <c r="G27" s="166" t="s">
        <v>40</v>
      </c>
      <c r="H27" s="167"/>
      <c r="I27" s="185">
        <f>透射比示值误差与重复性校验!I2</f>
        <v>0</v>
      </c>
      <c r="J27" s="174"/>
      <c r="K27" s="174"/>
      <c r="L27" s="185">
        <f>透射比示值误差与重复性校验!I3</f>
        <v>0</v>
      </c>
      <c r="M27" s="174"/>
      <c r="N27" s="185">
        <f>透射比示值误差与重复性校验!I4</f>
        <v>0</v>
      </c>
      <c r="O27" s="174"/>
    </row>
    <row r="28" ht="19.5" customHeight="1" spans="1:15">
      <c r="A28" s="167"/>
      <c r="B28" s="167"/>
      <c r="C28" s="167"/>
      <c r="D28" s="167"/>
      <c r="E28" s="166" t="s">
        <v>41</v>
      </c>
      <c r="F28" s="167"/>
      <c r="G28" s="166" t="s">
        <v>36</v>
      </c>
      <c r="H28" s="167"/>
      <c r="I28" s="212">
        <f>透射比示值误差与重复性校验!C5</f>
        <v>18.98</v>
      </c>
      <c r="J28" s="173"/>
      <c r="K28" s="173"/>
      <c r="L28" s="212">
        <f>透射比示值误差与重复性校验!C6</f>
        <v>20.09</v>
      </c>
      <c r="M28" s="173"/>
      <c r="N28" s="212">
        <f>透射比示值误差与重复性校验!C7</f>
        <v>20.91</v>
      </c>
      <c r="O28" s="173"/>
    </row>
    <row r="29" ht="19.5" customHeight="1" spans="1:15">
      <c r="A29" s="167"/>
      <c r="B29" s="167"/>
      <c r="C29" s="167"/>
      <c r="D29" s="167"/>
      <c r="E29" s="167"/>
      <c r="F29" s="167"/>
      <c r="G29" s="166" t="s">
        <v>37</v>
      </c>
      <c r="H29" s="167"/>
      <c r="I29" s="185">
        <f>透射比示值误差与重复性校验!D5</f>
        <v>0</v>
      </c>
      <c r="J29" s="174"/>
      <c r="K29" s="174"/>
      <c r="L29" s="185">
        <f>透射比示值误差与重复性校验!D6</f>
        <v>0</v>
      </c>
      <c r="M29" s="174"/>
      <c r="N29" s="185">
        <f>透射比示值误差与重复性校验!D7</f>
        <v>0</v>
      </c>
      <c r="O29" s="174"/>
    </row>
    <row r="30" ht="19.5" customHeight="1" spans="1:15">
      <c r="A30" s="167"/>
      <c r="B30" s="167"/>
      <c r="C30" s="167"/>
      <c r="D30" s="167"/>
      <c r="E30" s="167"/>
      <c r="F30" s="167"/>
      <c r="G30" s="167"/>
      <c r="H30" s="167"/>
      <c r="I30" s="185">
        <f>透射比示值误差与重复性校验!E5</f>
        <v>0</v>
      </c>
      <c r="J30" s="174"/>
      <c r="K30" s="174"/>
      <c r="L30" s="185">
        <f>透射比示值误差与重复性校验!E6</f>
        <v>0</v>
      </c>
      <c r="M30" s="174"/>
      <c r="N30" s="185">
        <f>透射比示值误差与重复性校验!E7</f>
        <v>0</v>
      </c>
      <c r="O30" s="174"/>
    </row>
    <row r="31" ht="19.5" customHeight="1" spans="1:15">
      <c r="A31" s="167"/>
      <c r="B31" s="167"/>
      <c r="C31" s="167"/>
      <c r="D31" s="167"/>
      <c r="E31" s="167"/>
      <c r="F31" s="167"/>
      <c r="G31" s="167"/>
      <c r="H31" s="167"/>
      <c r="I31" s="185">
        <f>透射比示值误差与重复性校验!F5</f>
        <v>0</v>
      </c>
      <c r="J31" s="174"/>
      <c r="K31" s="174"/>
      <c r="L31" s="185">
        <f>透射比示值误差与重复性校验!F6</f>
        <v>0</v>
      </c>
      <c r="M31" s="174"/>
      <c r="N31" s="185">
        <f>透射比示值误差与重复性校验!F7</f>
        <v>0</v>
      </c>
      <c r="O31" s="174"/>
    </row>
    <row r="32" ht="19.5" customHeight="1" spans="1:15">
      <c r="A32" s="167"/>
      <c r="B32" s="167"/>
      <c r="C32" s="167"/>
      <c r="D32" s="167"/>
      <c r="E32" s="167"/>
      <c r="F32" s="167"/>
      <c r="G32" s="166" t="s">
        <v>38</v>
      </c>
      <c r="H32" s="167"/>
      <c r="I32" s="185" t="str">
        <f>透射比示值误差与重复性校验!G5</f>
        <v/>
      </c>
      <c r="J32" s="174"/>
      <c r="K32" s="174"/>
      <c r="L32" s="185" t="str">
        <f>透射比示值误差与重复性校验!G6</f>
        <v/>
      </c>
      <c r="M32" s="174"/>
      <c r="N32" s="185" t="str">
        <f>透射比示值误差与重复性校验!G7</f>
        <v/>
      </c>
      <c r="O32" s="174"/>
    </row>
    <row r="33" ht="19.5" customHeight="1" spans="1:15">
      <c r="A33" s="167"/>
      <c r="B33" s="167"/>
      <c r="C33" s="167"/>
      <c r="D33" s="167"/>
      <c r="E33" s="167"/>
      <c r="F33" s="167"/>
      <c r="G33" s="166" t="s">
        <v>39</v>
      </c>
      <c r="H33" s="167"/>
      <c r="I33" s="185" t="str">
        <f>透射比示值误差与重复性校验!H5</f>
        <v/>
      </c>
      <c r="J33" s="174"/>
      <c r="K33" s="174"/>
      <c r="L33" s="185" t="str">
        <f>透射比示值误差与重复性校验!H6</f>
        <v/>
      </c>
      <c r="M33" s="174"/>
      <c r="N33" s="185" t="str">
        <f>透射比示值误差与重复性校验!H7</f>
        <v/>
      </c>
      <c r="O33" s="174"/>
    </row>
    <row r="34" ht="19.5" customHeight="1" spans="1:15">
      <c r="A34" s="167"/>
      <c r="B34" s="167"/>
      <c r="C34" s="167"/>
      <c r="D34" s="167"/>
      <c r="E34" s="167"/>
      <c r="F34" s="167"/>
      <c r="G34" s="166" t="s">
        <v>40</v>
      </c>
      <c r="H34" s="167"/>
      <c r="I34" s="212">
        <f>透射比示值误差与重复性校验!I5</f>
        <v>0</v>
      </c>
      <c r="J34" s="173"/>
      <c r="K34" s="173"/>
      <c r="L34" s="185">
        <f>透射比示值误差与重复性校验!I6</f>
        <v>0</v>
      </c>
      <c r="M34" s="174"/>
      <c r="N34" s="212">
        <f>透射比示值误差与重复性校验!I7</f>
        <v>0</v>
      </c>
      <c r="O34" s="173"/>
    </row>
    <row r="35" ht="19.5" customHeight="1" spans="1:15">
      <c r="A35" s="166">
        <v>2</v>
      </c>
      <c r="B35" s="166" t="s">
        <v>30</v>
      </c>
      <c r="C35" s="166" t="s">
        <v>42</v>
      </c>
      <c r="D35" s="167"/>
      <c r="E35" s="166" t="s">
        <v>43</v>
      </c>
      <c r="F35" s="167"/>
      <c r="G35" s="166" t="s">
        <v>36</v>
      </c>
      <c r="H35" s="167"/>
      <c r="I35" s="212">
        <f>透射比示值误差与重复性校验!C8</f>
        <v>29.96</v>
      </c>
      <c r="J35" s="173"/>
      <c r="K35" s="173"/>
      <c r="L35" s="212">
        <f>透射比示值误差与重复性校验!C9</f>
        <v>30.43</v>
      </c>
      <c r="M35" s="173"/>
      <c r="N35" s="212">
        <f>透射比示值误差与重复性校验!C10</f>
        <v>28.88</v>
      </c>
      <c r="O35" s="173"/>
    </row>
    <row r="36" ht="19.5" customHeight="1" spans="1:15">
      <c r="A36" s="167"/>
      <c r="B36" s="167"/>
      <c r="C36" s="167"/>
      <c r="D36" s="167"/>
      <c r="E36" s="167"/>
      <c r="F36" s="167"/>
      <c r="G36" s="166" t="s">
        <v>37</v>
      </c>
      <c r="H36" s="167"/>
      <c r="I36" s="185">
        <f>透射比示值误差与重复性校验!D8</f>
        <v>0</v>
      </c>
      <c r="J36" s="174"/>
      <c r="K36" s="174"/>
      <c r="L36" s="185">
        <f>透射比示值误差与重复性校验!D9</f>
        <v>0</v>
      </c>
      <c r="M36" s="174"/>
      <c r="N36" s="185">
        <f>透射比示值误差与重复性校验!D10</f>
        <v>0</v>
      </c>
      <c r="O36" s="174"/>
    </row>
    <row r="37" ht="19.5" customHeight="1" spans="1:15">
      <c r="A37" s="167"/>
      <c r="B37" s="167"/>
      <c r="C37" s="167"/>
      <c r="D37" s="167"/>
      <c r="E37" s="167"/>
      <c r="F37" s="167"/>
      <c r="G37" s="167"/>
      <c r="H37" s="167"/>
      <c r="I37" s="185">
        <f>透射比示值误差与重复性校验!E8</f>
        <v>0</v>
      </c>
      <c r="J37" s="174"/>
      <c r="K37" s="174"/>
      <c r="L37" s="185">
        <f>透射比示值误差与重复性校验!E9</f>
        <v>0</v>
      </c>
      <c r="M37" s="174"/>
      <c r="N37" s="185">
        <f>透射比示值误差与重复性校验!E10</f>
        <v>0</v>
      </c>
      <c r="O37" s="174"/>
    </row>
    <row r="38" ht="19.5" customHeight="1" spans="1:15">
      <c r="A38" s="167"/>
      <c r="B38" s="167"/>
      <c r="C38" s="167"/>
      <c r="D38" s="167"/>
      <c r="E38" s="167"/>
      <c r="F38" s="167"/>
      <c r="G38" s="167"/>
      <c r="H38" s="167"/>
      <c r="I38" s="185">
        <f>透射比示值误差与重复性校验!F8</f>
        <v>0</v>
      </c>
      <c r="J38" s="174"/>
      <c r="K38" s="174"/>
      <c r="L38" s="185">
        <f>透射比示值误差与重复性校验!F9</f>
        <v>0</v>
      </c>
      <c r="M38" s="174"/>
      <c r="N38" s="185">
        <f>透射比示值误差与重复性校验!F10</f>
        <v>0</v>
      </c>
      <c r="O38" s="174"/>
    </row>
    <row r="39" ht="19.5" customHeight="1" spans="1:15">
      <c r="A39" s="167"/>
      <c r="B39" s="167"/>
      <c r="C39" s="167"/>
      <c r="D39" s="167"/>
      <c r="E39" s="167"/>
      <c r="F39" s="167"/>
      <c r="G39" s="166" t="s">
        <v>38</v>
      </c>
      <c r="H39" s="167"/>
      <c r="I39" s="185" t="str">
        <f>透射比示值误差与重复性校验!G8</f>
        <v/>
      </c>
      <c r="J39" s="174"/>
      <c r="K39" s="174"/>
      <c r="L39" s="185" t="str">
        <f>透射比示值误差与重复性校验!G9</f>
        <v/>
      </c>
      <c r="M39" s="174"/>
      <c r="N39" s="185" t="str">
        <f>透射比示值误差与重复性校验!G10</f>
        <v/>
      </c>
      <c r="O39" s="174"/>
    </row>
    <row r="40" ht="19.5" customHeight="1" spans="1:15">
      <c r="A40" s="167"/>
      <c r="B40" s="167"/>
      <c r="C40" s="167"/>
      <c r="D40" s="167"/>
      <c r="E40" s="167"/>
      <c r="F40" s="167"/>
      <c r="G40" s="166" t="s">
        <v>39</v>
      </c>
      <c r="H40" s="167"/>
      <c r="I40" s="185" t="str">
        <f>透射比示值误差与重复性校验!H8</f>
        <v/>
      </c>
      <c r="J40" s="174"/>
      <c r="K40" s="174"/>
      <c r="L40" s="185" t="str">
        <f>透射比示值误差与重复性校验!H9</f>
        <v/>
      </c>
      <c r="M40" s="174"/>
      <c r="N40" s="185" t="str">
        <f>透射比示值误差与重复性校验!H10</f>
        <v/>
      </c>
      <c r="O40" s="174"/>
    </row>
    <row r="41" ht="19.5" customHeight="1" spans="1:15">
      <c r="A41" s="167"/>
      <c r="B41" s="167"/>
      <c r="C41" s="167"/>
      <c r="D41" s="167"/>
      <c r="E41" s="167"/>
      <c r="F41" s="167"/>
      <c r="G41" s="166" t="s">
        <v>40</v>
      </c>
      <c r="H41" s="167"/>
      <c r="I41" s="185">
        <f>透射比示值误差与重复性校验!I8</f>
        <v>0</v>
      </c>
      <c r="J41" s="174"/>
      <c r="K41" s="174"/>
      <c r="L41" s="185">
        <f>透射比示值误差与重复性校验!I9</f>
        <v>0</v>
      </c>
      <c r="M41" s="174"/>
      <c r="N41" s="185">
        <f>透射比示值误差与重复性校验!I10</f>
        <v>0</v>
      </c>
      <c r="O41" s="174"/>
    </row>
    <row r="42" ht="30" customHeight="1" spans="1:15">
      <c r="A42" s="166">
        <v>3</v>
      </c>
      <c r="B42" s="176" t="s">
        <v>44</v>
      </c>
      <c r="C42" s="166"/>
      <c r="D42" s="167"/>
      <c r="E42" s="176" t="s">
        <v>45</v>
      </c>
      <c r="F42" s="177"/>
      <c r="G42" s="177"/>
      <c r="H42" s="176"/>
      <c r="I42" s="177"/>
      <c r="J42" s="166">
        <v>1</v>
      </c>
      <c r="K42" s="166">
        <v>2</v>
      </c>
      <c r="L42" s="166">
        <v>3</v>
      </c>
      <c r="M42" s="213" t="s">
        <v>17</v>
      </c>
      <c r="N42" s="214"/>
      <c r="O42" s="214"/>
    </row>
    <row r="43" ht="30" hidden="1" customHeight="1" spans="1:15">
      <c r="A43" s="167"/>
      <c r="B43" s="177"/>
      <c r="C43" s="167"/>
      <c r="D43" s="167"/>
      <c r="E43" s="177"/>
      <c r="F43" s="177"/>
      <c r="G43" s="177"/>
      <c r="H43" s="177"/>
      <c r="I43" s="177"/>
      <c r="J43" s="167"/>
      <c r="K43" s="167"/>
      <c r="L43" s="167"/>
      <c r="M43" s="214"/>
      <c r="N43" s="214"/>
      <c r="O43" s="214"/>
    </row>
    <row r="44" ht="30" customHeight="1" spans="1:15">
      <c r="A44" s="167"/>
      <c r="B44" s="177"/>
      <c r="C44" s="178" t="s">
        <v>46</v>
      </c>
      <c r="D44" s="166" t="s">
        <v>47</v>
      </c>
      <c r="E44" s="176" t="s">
        <v>48</v>
      </c>
      <c r="F44" s="177"/>
      <c r="G44" s="177"/>
      <c r="H44" s="168" t="s">
        <v>49</v>
      </c>
      <c r="I44" s="195"/>
      <c r="J44" s="215">
        <f>杂散光校验!C2</f>
        <v>0</v>
      </c>
      <c r="K44" s="182">
        <f>杂散光校验!D2</f>
        <v>0</v>
      </c>
      <c r="L44" s="215">
        <f>杂散光校验!E2</f>
        <v>0</v>
      </c>
      <c r="M44" s="213" t="str">
        <f>杂散光校验!G2</f>
        <v>未检测</v>
      </c>
      <c r="N44" s="214"/>
      <c r="O44" s="214"/>
    </row>
    <row r="45" ht="30" hidden="1" customHeight="1" spans="1:15">
      <c r="A45" s="167"/>
      <c r="B45" s="177"/>
      <c r="C45" s="179"/>
      <c r="D45" s="167"/>
      <c r="E45" s="177"/>
      <c r="F45" s="177"/>
      <c r="G45" s="177"/>
      <c r="H45" s="180"/>
      <c r="I45" s="180"/>
      <c r="J45" s="216"/>
      <c r="K45" s="184"/>
      <c r="L45" s="216"/>
      <c r="M45" s="214"/>
      <c r="N45" s="214"/>
      <c r="O45" s="214"/>
    </row>
    <row r="46" ht="30" customHeight="1" spans="1:15">
      <c r="A46" s="166">
        <v>4</v>
      </c>
      <c r="B46" s="176" t="s">
        <v>50</v>
      </c>
      <c r="C46" s="166" t="s">
        <v>51</v>
      </c>
      <c r="D46" s="167"/>
      <c r="E46" s="167"/>
      <c r="F46" s="167"/>
      <c r="G46" s="167"/>
      <c r="H46" s="166" t="s">
        <v>52</v>
      </c>
      <c r="I46" s="167"/>
      <c r="J46" s="167"/>
      <c r="K46" s="167"/>
      <c r="L46" s="167"/>
      <c r="M46" s="217">
        <f>基线平直度检验!B2</f>
        <v>0</v>
      </c>
      <c r="N46" s="218"/>
      <c r="O46" s="218"/>
    </row>
    <row r="47" ht="30" hidden="1" customHeight="1" spans="1:15">
      <c r="A47" s="167"/>
      <c r="B47" s="177"/>
      <c r="C47" s="167"/>
      <c r="D47" s="167"/>
      <c r="E47" s="167"/>
      <c r="F47" s="167"/>
      <c r="G47" s="167"/>
      <c r="H47" s="167"/>
      <c r="I47" s="167"/>
      <c r="J47" s="167"/>
      <c r="K47" s="167"/>
      <c r="L47" s="167"/>
      <c r="M47" s="218"/>
      <c r="N47" s="218"/>
      <c r="O47" s="218"/>
    </row>
    <row r="48" ht="30" customHeight="1" spans="1:15">
      <c r="A48" s="176">
        <v>5</v>
      </c>
      <c r="B48" s="176" t="s">
        <v>53</v>
      </c>
      <c r="C48" s="166" t="s">
        <v>54</v>
      </c>
      <c r="D48" s="167"/>
      <c r="E48" s="167"/>
      <c r="F48" s="167"/>
      <c r="G48" s="167"/>
      <c r="H48" s="166" t="s">
        <v>55</v>
      </c>
      <c r="I48" s="167"/>
      <c r="J48" s="167"/>
      <c r="K48" s="167"/>
      <c r="L48" s="167"/>
      <c r="M48" s="219">
        <f>基线暗噪声检验!B2</f>
        <v>0</v>
      </c>
      <c r="N48" s="220"/>
      <c r="O48" s="220"/>
    </row>
    <row r="49" ht="30" hidden="1" customHeight="1" spans="1:15">
      <c r="A49" s="177"/>
      <c r="B49" s="177"/>
      <c r="C49" s="167"/>
      <c r="D49" s="167"/>
      <c r="E49" s="167"/>
      <c r="F49" s="167"/>
      <c r="G49" s="167"/>
      <c r="H49" s="167"/>
      <c r="I49" s="167"/>
      <c r="J49" s="167"/>
      <c r="K49" s="167"/>
      <c r="L49" s="167"/>
      <c r="M49" s="220"/>
      <c r="N49" s="220"/>
      <c r="O49" s="220"/>
    </row>
    <row r="50" ht="30" customHeight="1" spans="1:15">
      <c r="A50" s="176">
        <v>6</v>
      </c>
      <c r="B50" s="176" t="s">
        <v>56</v>
      </c>
      <c r="C50" s="181">
        <v>1</v>
      </c>
      <c r="D50" s="166" t="s">
        <v>57</v>
      </c>
      <c r="E50" s="176" t="s">
        <v>55</v>
      </c>
      <c r="F50" s="177"/>
      <c r="G50" s="177"/>
      <c r="H50" s="182">
        <f>噪声检验!C2</f>
        <v>0</v>
      </c>
      <c r="I50" s="184"/>
      <c r="J50" s="221">
        <v>0</v>
      </c>
      <c r="K50" s="166" t="s">
        <v>47</v>
      </c>
      <c r="L50" s="167"/>
      <c r="M50" s="166" t="s">
        <v>49</v>
      </c>
      <c r="N50" s="222">
        <f>噪声检验!C3</f>
        <v>0</v>
      </c>
      <c r="O50" s="223"/>
    </row>
    <row r="51" ht="30" hidden="1" customHeight="1" spans="1:15">
      <c r="A51" s="177"/>
      <c r="B51" s="177"/>
      <c r="C51" s="183"/>
      <c r="D51" s="167"/>
      <c r="E51" s="177"/>
      <c r="F51" s="177"/>
      <c r="G51" s="177"/>
      <c r="H51" s="184"/>
      <c r="I51" s="184"/>
      <c r="J51" s="224"/>
      <c r="K51" s="167"/>
      <c r="L51" s="167"/>
      <c r="M51" s="167"/>
      <c r="N51" s="223"/>
      <c r="O51" s="223"/>
    </row>
    <row r="52" ht="45" customHeight="1" spans="1:15">
      <c r="A52" s="177"/>
      <c r="B52" s="176" t="s">
        <v>58</v>
      </c>
      <c r="C52" s="181">
        <v>1</v>
      </c>
      <c r="D52" s="166" t="s">
        <v>59</v>
      </c>
      <c r="E52" s="176" t="s">
        <v>55</v>
      </c>
      <c r="F52" s="177"/>
      <c r="G52" s="177"/>
      <c r="H52" s="185">
        <f>波长边缘噪声!C2</f>
        <v>0</v>
      </c>
      <c r="I52" s="174"/>
      <c r="J52" s="221">
        <v>0</v>
      </c>
      <c r="K52" s="166" t="s">
        <v>60</v>
      </c>
      <c r="L52" s="167"/>
      <c r="M52" s="166" t="s">
        <v>49</v>
      </c>
      <c r="N52" s="225">
        <f>波长边缘噪声!C3</f>
        <v>0</v>
      </c>
      <c r="O52" s="226"/>
    </row>
    <row r="53" ht="45" hidden="1" customHeight="1" spans="1:15">
      <c r="A53" s="177"/>
      <c r="B53" s="177"/>
      <c r="C53" s="183"/>
      <c r="D53" s="167"/>
      <c r="E53" s="177"/>
      <c r="F53" s="177"/>
      <c r="G53" s="177"/>
      <c r="H53" s="174"/>
      <c r="I53" s="174"/>
      <c r="J53" s="224"/>
      <c r="K53" s="167"/>
      <c r="L53" s="167"/>
      <c r="M53" s="167"/>
      <c r="N53" s="226"/>
      <c r="O53" s="226"/>
    </row>
    <row r="54" ht="30" customHeight="1" spans="1:15">
      <c r="A54" s="177"/>
      <c r="B54" s="176" t="s">
        <v>61</v>
      </c>
      <c r="C54" s="181">
        <v>1</v>
      </c>
      <c r="D54" s="166" t="s">
        <v>59</v>
      </c>
      <c r="E54" s="176" t="s">
        <v>55</v>
      </c>
      <c r="F54" s="177"/>
      <c r="G54" s="177"/>
      <c r="H54" s="185">
        <f>波长边缘噪声!C4</f>
        <v>0</v>
      </c>
      <c r="I54" s="174"/>
      <c r="J54" s="221">
        <v>0</v>
      </c>
      <c r="K54" s="166" t="s">
        <v>60</v>
      </c>
      <c r="L54" s="167"/>
      <c r="M54" s="166" t="s">
        <v>49</v>
      </c>
      <c r="N54" s="225">
        <f>波长边缘噪声!C5</f>
        <v>0</v>
      </c>
      <c r="O54" s="226"/>
    </row>
    <row r="55" ht="30" hidden="1" customHeight="1" spans="1:15">
      <c r="A55" s="177"/>
      <c r="B55" s="177"/>
      <c r="C55" s="183"/>
      <c r="D55" s="167"/>
      <c r="E55" s="177"/>
      <c r="F55" s="177"/>
      <c r="G55" s="177"/>
      <c r="H55" s="174"/>
      <c r="I55" s="174"/>
      <c r="J55" s="224"/>
      <c r="K55" s="167"/>
      <c r="L55" s="167"/>
      <c r="M55" s="167"/>
      <c r="N55" s="226"/>
      <c r="O55" s="226"/>
    </row>
    <row r="56" ht="24.75" customHeight="1" spans="1:15">
      <c r="A56" s="176">
        <v>7</v>
      </c>
      <c r="B56" s="176" t="s">
        <v>62</v>
      </c>
      <c r="C56" s="176" t="s">
        <v>63</v>
      </c>
      <c r="D56" s="177"/>
      <c r="E56" s="177"/>
      <c r="F56" s="177"/>
      <c r="G56" s="177"/>
      <c r="H56" s="178" t="s">
        <v>55</v>
      </c>
      <c r="I56" s="179"/>
      <c r="J56" s="179"/>
      <c r="K56" s="179"/>
      <c r="L56" s="179"/>
      <c r="M56" s="219">
        <f>漂移检验!C2</f>
        <v>0</v>
      </c>
      <c r="N56" s="220"/>
      <c r="O56" s="220"/>
    </row>
    <row r="57" ht="24.75" hidden="1" customHeight="1" spans="1:15">
      <c r="A57" s="177"/>
      <c r="B57" s="177"/>
      <c r="C57" s="177"/>
      <c r="D57" s="177"/>
      <c r="E57" s="177"/>
      <c r="F57" s="177"/>
      <c r="G57" s="177"/>
      <c r="H57" s="179"/>
      <c r="I57" s="179"/>
      <c r="J57" s="179"/>
      <c r="K57" s="179"/>
      <c r="L57" s="179"/>
      <c r="M57" s="220"/>
      <c r="N57" s="220"/>
      <c r="O57" s="220"/>
    </row>
    <row r="58" ht="21.75" customHeight="1" spans="1:15">
      <c r="A58" s="176">
        <v>8</v>
      </c>
      <c r="B58" s="176" t="s">
        <v>64</v>
      </c>
      <c r="C58" s="176" t="s">
        <v>65</v>
      </c>
      <c r="D58" s="166" t="s">
        <v>45</v>
      </c>
      <c r="E58" s="167"/>
      <c r="F58" s="176" t="s">
        <v>66</v>
      </c>
      <c r="G58" s="177"/>
      <c r="H58" s="177"/>
      <c r="I58" s="177"/>
      <c r="J58" s="177"/>
      <c r="K58" s="177"/>
      <c r="L58" s="166" t="s">
        <v>67</v>
      </c>
      <c r="M58" s="166" t="s">
        <v>68</v>
      </c>
      <c r="N58" s="213" t="s">
        <v>69</v>
      </c>
      <c r="O58" s="214"/>
    </row>
    <row r="59" ht="21.75" customHeight="1" spans="1:15">
      <c r="A59" s="177"/>
      <c r="B59" s="177"/>
      <c r="C59" s="177"/>
      <c r="D59" s="167"/>
      <c r="E59" s="167"/>
      <c r="F59" s="177"/>
      <c r="G59" s="177"/>
      <c r="H59" s="177"/>
      <c r="I59" s="177"/>
      <c r="J59" s="177"/>
      <c r="K59" s="177"/>
      <c r="L59" s="167"/>
      <c r="M59" s="167"/>
      <c r="N59" s="214"/>
      <c r="O59" s="214"/>
    </row>
    <row r="60" ht="21.75" customHeight="1" spans="1:15">
      <c r="A60" s="177"/>
      <c r="B60" s="177"/>
      <c r="C60" s="177"/>
      <c r="D60" s="166" t="s">
        <v>70</v>
      </c>
      <c r="E60" s="167"/>
      <c r="F60" s="176" t="s">
        <v>71</v>
      </c>
      <c r="G60" s="177"/>
      <c r="H60" s="177"/>
      <c r="I60" s="177"/>
      <c r="J60" s="177"/>
      <c r="K60" s="177"/>
      <c r="L60" s="176"/>
      <c r="M60" s="176"/>
      <c r="N60" s="176"/>
      <c r="O60" s="177"/>
    </row>
    <row r="61" ht="21.75" hidden="1" customHeight="1" spans="1:15">
      <c r="A61" s="177"/>
      <c r="B61" s="177"/>
      <c r="C61" s="177"/>
      <c r="D61" s="167"/>
      <c r="E61" s="167"/>
      <c r="F61" s="177"/>
      <c r="G61" s="177"/>
      <c r="H61" s="177"/>
      <c r="I61" s="177"/>
      <c r="J61" s="177"/>
      <c r="K61" s="177"/>
      <c r="L61" s="177"/>
      <c r="M61" s="177"/>
      <c r="N61" s="177"/>
      <c r="O61" s="177"/>
    </row>
    <row r="62" ht="21.75" customHeight="1" spans="1:15">
      <c r="A62" s="177"/>
      <c r="B62" s="177"/>
      <c r="C62" s="177"/>
      <c r="D62" s="167"/>
      <c r="E62" s="167"/>
      <c r="F62" s="176" t="s">
        <v>72</v>
      </c>
      <c r="G62" s="177"/>
      <c r="H62" s="177"/>
      <c r="I62" s="177"/>
      <c r="J62" s="177"/>
      <c r="K62" s="177"/>
      <c r="L62" s="172"/>
      <c r="M62" s="172"/>
      <c r="N62" s="172"/>
      <c r="O62" s="198"/>
    </row>
    <row r="63" ht="21.75" hidden="1" customHeight="1" spans="1:15">
      <c r="A63" s="177"/>
      <c r="B63" s="177"/>
      <c r="C63" s="177"/>
      <c r="D63" s="167"/>
      <c r="E63" s="167"/>
      <c r="F63" s="177"/>
      <c r="G63" s="177"/>
      <c r="H63" s="177"/>
      <c r="I63" s="177"/>
      <c r="J63" s="177"/>
      <c r="K63" s="177"/>
      <c r="L63" s="198"/>
      <c r="M63" s="198"/>
      <c r="N63" s="198"/>
      <c r="O63" s="198"/>
    </row>
    <row r="64" ht="21.75" customHeight="1" spans="1:15">
      <c r="A64" s="177"/>
      <c r="B64" s="177"/>
      <c r="C64" s="177"/>
      <c r="D64" s="167"/>
      <c r="E64" s="167"/>
      <c r="F64" s="176" t="s">
        <v>73</v>
      </c>
      <c r="G64" s="177"/>
      <c r="H64" s="177"/>
      <c r="I64" s="177"/>
      <c r="J64" s="177"/>
      <c r="K64" s="177"/>
      <c r="L64" s="176"/>
      <c r="M64" s="176"/>
      <c r="N64" s="176"/>
      <c r="O64" s="177"/>
    </row>
    <row r="65" ht="21.75" hidden="1" customHeight="1" spans="1:15">
      <c r="A65" s="177"/>
      <c r="B65" s="177"/>
      <c r="C65" s="177"/>
      <c r="D65" s="167"/>
      <c r="E65" s="167"/>
      <c r="F65" s="177"/>
      <c r="G65" s="177"/>
      <c r="H65" s="177"/>
      <c r="I65" s="177"/>
      <c r="J65" s="177"/>
      <c r="K65" s="177"/>
      <c r="L65" s="177"/>
      <c r="M65" s="177"/>
      <c r="N65" s="177"/>
      <c r="O65" s="177"/>
    </row>
    <row r="66" ht="21.75" customHeight="1" spans="1:15">
      <c r="A66" s="177"/>
      <c r="B66" s="177"/>
      <c r="C66" s="177"/>
      <c r="D66" s="167"/>
      <c r="E66" s="167"/>
      <c r="F66" s="176" t="s">
        <v>74</v>
      </c>
      <c r="G66" s="177"/>
      <c r="H66" s="177"/>
      <c r="I66" s="177"/>
      <c r="J66" s="177"/>
      <c r="K66" s="177"/>
      <c r="L66" s="176"/>
      <c r="M66" s="176"/>
      <c r="N66" s="176"/>
      <c r="O66" s="177"/>
    </row>
    <row r="67" ht="21.75" hidden="1" customHeight="1" spans="1:15">
      <c r="A67" s="177"/>
      <c r="B67" s="177"/>
      <c r="C67" s="177"/>
      <c r="D67" s="167"/>
      <c r="E67" s="167"/>
      <c r="F67" s="177"/>
      <c r="G67" s="177"/>
      <c r="H67" s="177"/>
      <c r="I67" s="177"/>
      <c r="J67" s="177"/>
      <c r="K67" s="177"/>
      <c r="L67" s="177"/>
      <c r="M67" s="177"/>
      <c r="N67" s="177"/>
      <c r="O67" s="177"/>
    </row>
    <row r="68" ht="30" customHeight="1" spans="1:15">
      <c r="A68" s="176">
        <v>9</v>
      </c>
      <c r="B68" s="176" t="s">
        <v>75</v>
      </c>
      <c r="C68" s="176" t="s">
        <v>76</v>
      </c>
      <c r="D68" s="177"/>
      <c r="E68" s="177"/>
      <c r="F68" s="176" t="s">
        <v>77</v>
      </c>
      <c r="G68" s="177"/>
      <c r="H68" s="177"/>
      <c r="I68" s="177"/>
      <c r="J68" s="177"/>
      <c r="K68" s="177"/>
      <c r="L68" s="176" t="s">
        <v>78</v>
      </c>
      <c r="M68" s="177"/>
      <c r="N68" s="177"/>
      <c r="O68" s="177"/>
    </row>
    <row r="69" ht="30" hidden="1" customHeight="1" spans="1:15">
      <c r="A69" s="177"/>
      <c r="B69" s="177"/>
      <c r="C69" s="177"/>
      <c r="D69" s="177"/>
      <c r="E69" s="177"/>
      <c r="F69" s="177"/>
      <c r="G69" s="177"/>
      <c r="H69" s="177"/>
      <c r="I69" s="177"/>
      <c r="J69" s="177"/>
      <c r="K69" s="177"/>
      <c r="L69" s="177"/>
      <c r="M69" s="177"/>
      <c r="N69" s="177"/>
      <c r="O69" s="177"/>
    </row>
    <row r="70" ht="30" customHeight="1" spans="1:15">
      <c r="A70" s="176">
        <v>10</v>
      </c>
      <c r="B70" s="176" t="s">
        <v>79</v>
      </c>
      <c r="C70" s="176" t="s">
        <v>80</v>
      </c>
      <c r="D70" s="177"/>
      <c r="E70" s="177"/>
      <c r="F70" s="176" t="s">
        <v>81</v>
      </c>
      <c r="G70" s="177"/>
      <c r="H70" s="177"/>
      <c r="I70" s="177"/>
      <c r="J70" s="177"/>
      <c r="K70" s="177"/>
      <c r="L70" s="176" t="s">
        <v>82</v>
      </c>
      <c r="M70" s="177"/>
      <c r="N70" s="176"/>
      <c r="O70" s="177"/>
    </row>
    <row r="71" ht="30" customHeight="1" spans="1:15">
      <c r="A71" s="177"/>
      <c r="B71" s="177"/>
      <c r="C71" s="176" t="s">
        <v>83</v>
      </c>
      <c r="D71" s="177"/>
      <c r="E71" s="177"/>
      <c r="F71" s="177"/>
      <c r="G71" s="177"/>
      <c r="H71" s="177"/>
      <c r="I71" s="177"/>
      <c r="J71" s="177"/>
      <c r="K71" s="177"/>
      <c r="L71" s="176" t="s">
        <v>82</v>
      </c>
      <c r="M71" s="177"/>
      <c r="N71" s="176"/>
      <c r="O71" s="177"/>
    </row>
    <row r="72" ht="30" customHeight="1" spans="1:15">
      <c r="A72" s="176">
        <v>11</v>
      </c>
      <c r="B72" s="176" t="s">
        <v>84</v>
      </c>
      <c r="C72" s="176" t="s">
        <v>85</v>
      </c>
      <c r="D72" s="177"/>
      <c r="E72" s="177"/>
      <c r="F72" s="176" t="s">
        <v>86</v>
      </c>
      <c r="G72" s="177"/>
      <c r="H72" s="177"/>
      <c r="I72" s="177"/>
      <c r="J72" s="177"/>
      <c r="K72" s="177"/>
      <c r="L72" s="176" t="s">
        <v>87</v>
      </c>
      <c r="M72" s="177"/>
      <c r="N72" s="176"/>
      <c r="O72" s="177"/>
    </row>
    <row r="73" ht="30" hidden="1" customHeight="1" spans="1:15">
      <c r="A73" s="177"/>
      <c r="B73" s="177"/>
      <c r="C73" s="177"/>
      <c r="D73" s="177"/>
      <c r="E73" s="177"/>
      <c r="F73" s="177"/>
      <c r="G73" s="177"/>
      <c r="H73" s="177"/>
      <c r="I73" s="177"/>
      <c r="J73" s="177"/>
      <c r="K73" s="177"/>
      <c r="L73" s="177"/>
      <c r="M73" s="177"/>
      <c r="N73" s="177"/>
      <c r="O73" s="177"/>
    </row>
    <row r="74" ht="30" customHeight="1" spans="1:15">
      <c r="A74" s="176">
        <v>12</v>
      </c>
      <c r="B74" s="176" t="s">
        <v>88</v>
      </c>
      <c r="C74" s="176" t="s">
        <v>89</v>
      </c>
      <c r="D74" s="177"/>
      <c r="E74" s="177"/>
      <c r="F74" s="176" t="s">
        <v>90</v>
      </c>
      <c r="G74" s="177"/>
      <c r="H74" s="177"/>
      <c r="I74" s="177"/>
      <c r="J74" s="177"/>
      <c r="K74" s="177"/>
      <c r="L74" s="176" t="s">
        <v>91</v>
      </c>
      <c r="M74" s="177"/>
      <c r="N74" s="176"/>
      <c r="O74" s="177"/>
    </row>
    <row r="75" ht="30" hidden="1" customHeight="1" spans="1:15">
      <c r="A75" s="177"/>
      <c r="B75" s="177"/>
      <c r="C75" s="177"/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7"/>
      <c r="O75" s="177"/>
    </row>
    <row r="76" ht="30" customHeight="1" spans="1:15">
      <c r="A76" s="177">
        <v>13</v>
      </c>
      <c r="B76" s="227" t="s">
        <v>92</v>
      </c>
      <c r="C76" s="228"/>
      <c r="D76" s="227" t="s">
        <v>93</v>
      </c>
      <c r="E76" s="229"/>
      <c r="F76" s="228"/>
      <c r="G76" s="227" t="s">
        <v>94</v>
      </c>
      <c r="H76" s="229"/>
      <c r="I76" s="228"/>
      <c r="J76" s="229" t="str">
        <f>IFERROR(MID(样品池准确度与重复性校验!A1,SEARCH("样品池 1 (%) =",样品池准确度与重复性校验!A1)+LEN("样品池 1 (%) ="),SEARCH(CHAR(10),样品池准确度与重复性校验!A1,SEARCH("样品池 1 (%) =",样品池准确度与重复性校验!A1))-SEARCH("样品池 1 (%) =",样品池准确度与重复性校验!A1)-LEN("样品池 1 (%) =")),"")</f>
        <v/>
      </c>
      <c r="K76" s="228"/>
      <c r="L76" s="177" t="s">
        <v>40</v>
      </c>
      <c r="M76" s="227" t="str">
        <f>IFERROR(MID(样品池准确度与重复性校验!A1,SEARCH("最大值与最小值差值为：",样品池准确度与重复性校验!A1)+LEN("最大值与最小值差值为："),FIND(CHAR(10),样品池准确度与重复性校验!A1,SEARCH("最大值与最小值差值为：",样品池准确度与重复性校验!A1))-SEARCH("最大值与最小值差值为：",样品池准确度与重复性校验!A1)-LEN("最大值与最小值差值为：")),"")</f>
        <v/>
      </c>
      <c r="N76" s="229"/>
      <c r="O76" s="228"/>
    </row>
    <row r="77" ht="77.25" customHeight="1" spans="1:15">
      <c r="A77" s="230">
        <v>14</v>
      </c>
      <c r="B77" s="171" t="s">
        <v>95</v>
      </c>
      <c r="C77" s="230" t="s">
        <v>96</v>
      </c>
      <c r="D77" s="231"/>
      <c r="E77" s="231"/>
      <c r="F77" s="231"/>
      <c r="G77" s="231"/>
      <c r="H77" s="231"/>
      <c r="I77" s="231"/>
      <c r="J77" s="231"/>
      <c r="K77" s="231"/>
      <c r="L77" s="231"/>
      <c r="M77" s="231"/>
      <c r="N77" s="234" t="s">
        <v>97</v>
      </c>
      <c r="O77" s="235"/>
    </row>
    <row r="78" ht="30" customHeight="1" spans="1:15">
      <c r="A78" s="177"/>
      <c r="B78" s="167"/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236"/>
      <c r="O78" s="236"/>
    </row>
    <row r="79" ht="27.75" customHeight="1" spans="1:15">
      <c r="A79" s="176" t="s">
        <v>98</v>
      </c>
      <c r="B79" s="177"/>
      <c r="C79" s="176" t="s">
        <v>99</v>
      </c>
      <c r="D79" s="177"/>
      <c r="E79" s="177"/>
      <c r="F79" s="177"/>
      <c r="G79" s="177"/>
      <c r="H79" s="177"/>
      <c r="I79" s="177"/>
      <c r="J79" s="177"/>
      <c r="K79" s="177"/>
      <c r="L79" s="177"/>
      <c r="M79" s="177"/>
      <c r="N79" s="177"/>
      <c r="O79" s="177"/>
    </row>
    <row r="80" ht="14.25" customHeight="1" spans="1:15">
      <c r="A80" s="166" t="s">
        <v>100</v>
      </c>
      <c r="B80" s="167"/>
      <c r="C80" s="232" t="s">
        <v>101</v>
      </c>
      <c r="D80" s="233"/>
      <c r="E80" s="233"/>
      <c r="F80" s="233"/>
      <c r="G80" s="233"/>
      <c r="H80" s="233"/>
      <c r="I80" s="233"/>
      <c r="J80" s="233"/>
      <c r="K80" s="233"/>
      <c r="L80" s="233"/>
      <c r="M80" s="233"/>
      <c r="N80" s="233"/>
      <c r="O80" s="233"/>
    </row>
    <row r="81" ht="14.25" customHeight="1" spans="1:15">
      <c r="A81" s="167"/>
      <c r="B81" s="167"/>
      <c r="C81" s="233"/>
      <c r="D81" s="233"/>
      <c r="E81" s="233"/>
      <c r="F81" s="233"/>
      <c r="G81" s="233"/>
      <c r="H81" s="233"/>
      <c r="I81" s="233"/>
      <c r="J81" s="233"/>
      <c r="K81" s="233"/>
      <c r="L81" s="233"/>
      <c r="M81" s="233"/>
      <c r="N81" s="233"/>
      <c r="O81" s="233"/>
    </row>
    <row r="82" ht="27" customHeight="1" spans="1:15">
      <c r="A82" s="167"/>
      <c r="B82" s="167"/>
      <c r="C82" s="233"/>
      <c r="D82" s="233"/>
      <c r="E82" s="233"/>
      <c r="F82" s="233"/>
      <c r="G82" s="233"/>
      <c r="H82" s="233"/>
      <c r="I82" s="233"/>
      <c r="J82" s="233"/>
      <c r="K82" s="233"/>
      <c r="L82" s="233"/>
      <c r="M82" s="233"/>
      <c r="N82" s="233"/>
      <c r="O82" s="233"/>
    </row>
  </sheetData>
  <mergeCells count="275">
    <mergeCell ref="C1:K1"/>
    <mergeCell ref="L1:M1"/>
    <mergeCell ref="N1:O1"/>
    <mergeCell ref="L2:M2"/>
    <mergeCell ref="N2:O2"/>
    <mergeCell ref="L3:M3"/>
    <mergeCell ref="N3:O3"/>
    <mergeCell ref="A4:C4"/>
    <mergeCell ref="D4:G4"/>
    <mergeCell ref="H4:K4"/>
    <mergeCell ref="L4:M4"/>
    <mergeCell ref="N4:O4"/>
    <mergeCell ref="A5:C5"/>
    <mergeCell ref="D5:G5"/>
    <mergeCell ref="H5:K5"/>
    <mergeCell ref="L5:M5"/>
    <mergeCell ref="N5:O5"/>
    <mergeCell ref="A6:B6"/>
    <mergeCell ref="C6:D6"/>
    <mergeCell ref="E6:G6"/>
    <mergeCell ref="H6:K6"/>
    <mergeCell ref="L6:M6"/>
    <mergeCell ref="N6:O6"/>
    <mergeCell ref="B7:D7"/>
    <mergeCell ref="E7:O7"/>
    <mergeCell ref="E8:G8"/>
    <mergeCell ref="H8:O8"/>
    <mergeCell ref="E9:G9"/>
    <mergeCell ref="H9:J9"/>
    <mergeCell ref="K9:O9"/>
    <mergeCell ref="E10:G10"/>
    <mergeCell ref="H10:J10"/>
    <mergeCell ref="N10:O10"/>
    <mergeCell ref="H11:J11"/>
    <mergeCell ref="N11:O11"/>
    <mergeCell ref="H12:J12"/>
    <mergeCell ref="N12:O12"/>
    <mergeCell ref="H13:J13"/>
    <mergeCell ref="N13:O13"/>
    <mergeCell ref="E14:G14"/>
    <mergeCell ref="H14:J14"/>
    <mergeCell ref="N14:O14"/>
    <mergeCell ref="E15:G15"/>
    <mergeCell ref="H15:J15"/>
    <mergeCell ref="N15:O15"/>
    <mergeCell ref="E16:G16"/>
    <mergeCell ref="H16:J16"/>
    <mergeCell ref="N16:O16"/>
    <mergeCell ref="C17:D17"/>
    <mergeCell ref="E17:G17"/>
    <mergeCell ref="N17:O17"/>
    <mergeCell ref="E20:F20"/>
    <mergeCell ref="G20:H20"/>
    <mergeCell ref="I20:K20"/>
    <mergeCell ref="L20:M20"/>
    <mergeCell ref="N20:O20"/>
    <mergeCell ref="G21:H21"/>
    <mergeCell ref="I21:K21"/>
    <mergeCell ref="L21:M21"/>
    <mergeCell ref="N21:O21"/>
    <mergeCell ref="I22:K22"/>
    <mergeCell ref="L22:M22"/>
    <mergeCell ref="N22:O22"/>
    <mergeCell ref="I23:K23"/>
    <mergeCell ref="L23:M23"/>
    <mergeCell ref="N23:O23"/>
    <mergeCell ref="I24:K24"/>
    <mergeCell ref="L24:M24"/>
    <mergeCell ref="N24:O24"/>
    <mergeCell ref="G25:H25"/>
    <mergeCell ref="I25:K25"/>
    <mergeCell ref="L25:M25"/>
    <mergeCell ref="N25:O25"/>
    <mergeCell ref="G26:H26"/>
    <mergeCell ref="I26:K26"/>
    <mergeCell ref="L26:M26"/>
    <mergeCell ref="N26:O26"/>
    <mergeCell ref="G27:H27"/>
    <mergeCell ref="I27:K27"/>
    <mergeCell ref="L27:M27"/>
    <mergeCell ref="N27:O27"/>
    <mergeCell ref="G28:H28"/>
    <mergeCell ref="I28:K28"/>
    <mergeCell ref="L28:M28"/>
    <mergeCell ref="N28:O28"/>
    <mergeCell ref="I29:K29"/>
    <mergeCell ref="L29:M29"/>
    <mergeCell ref="N29:O29"/>
    <mergeCell ref="I30:K30"/>
    <mergeCell ref="L30:M30"/>
    <mergeCell ref="N30:O30"/>
    <mergeCell ref="I31:K31"/>
    <mergeCell ref="L31:M31"/>
    <mergeCell ref="N31:O31"/>
    <mergeCell ref="G32:H32"/>
    <mergeCell ref="I32:K32"/>
    <mergeCell ref="L32:M32"/>
    <mergeCell ref="N32:O32"/>
    <mergeCell ref="G33:H33"/>
    <mergeCell ref="I33:K33"/>
    <mergeCell ref="L33:M33"/>
    <mergeCell ref="N33:O33"/>
    <mergeCell ref="G34:H34"/>
    <mergeCell ref="I34:K34"/>
    <mergeCell ref="L34:M34"/>
    <mergeCell ref="N34:O34"/>
    <mergeCell ref="G35:H35"/>
    <mergeCell ref="I35:K35"/>
    <mergeCell ref="L35:M35"/>
    <mergeCell ref="N35:O35"/>
    <mergeCell ref="I36:K36"/>
    <mergeCell ref="L36:M36"/>
    <mergeCell ref="N36:O36"/>
    <mergeCell ref="I37:K37"/>
    <mergeCell ref="L37:M37"/>
    <mergeCell ref="N37:O37"/>
    <mergeCell ref="I38:K38"/>
    <mergeCell ref="L38:M38"/>
    <mergeCell ref="N38:O38"/>
    <mergeCell ref="G39:H39"/>
    <mergeCell ref="I39:K39"/>
    <mergeCell ref="L39:M39"/>
    <mergeCell ref="N39:O39"/>
    <mergeCell ref="G40:H40"/>
    <mergeCell ref="I40:K40"/>
    <mergeCell ref="L40:M40"/>
    <mergeCell ref="N40:O40"/>
    <mergeCell ref="G41:H41"/>
    <mergeCell ref="I41:K41"/>
    <mergeCell ref="L41:M41"/>
    <mergeCell ref="N41:O41"/>
    <mergeCell ref="H44:I44"/>
    <mergeCell ref="C70:E70"/>
    <mergeCell ref="L70:M70"/>
    <mergeCell ref="N70:O70"/>
    <mergeCell ref="C71:E71"/>
    <mergeCell ref="L71:M71"/>
    <mergeCell ref="N71:O71"/>
    <mergeCell ref="B76:C76"/>
    <mergeCell ref="D76:F76"/>
    <mergeCell ref="G76:I76"/>
    <mergeCell ref="J76:K76"/>
    <mergeCell ref="M76:O76"/>
    <mergeCell ref="A79:B79"/>
    <mergeCell ref="C79:O79"/>
    <mergeCell ref="A8:A17"/>
    <mergeCell ref="A18:A34"/>
    <mergeCell ref="A35:A41"/>
    <mergeCell ref="A42:A45"/>
    <mergeCell ref="A46:A47"/>
    <mergeCell ref="A48:A49"/>
    <mergeCell ref="A50:A55"/>
    <mergeCell ref="A56:A57"/>
    <mergeCell ref="A58:A67"/>
    <mergeCell ref="A68:A69"/>
    <mergeCell ref="A70:A71"/>
    <mergeCell ref="A72:A73"/>
    <mergeCell ref="A74:A75"/>
    <mergeCell ref="A77:A78"/>
    <mergeCell ref="B8:B16"/>
    <mergeCell ref="B18:B34"/>
    <mergeCell ref="B35:B41"/>
    <mergeCell ref="B42:B45"/>
    <mergeCell ref="B46:B47"/>
    <mergeCell ref="B48:B49"/>
    <mergeCell ref="B50:B51"/>
    <mergeCell ref="B52:B53"/>
    <mergeCell ref="B54:B55"/>
    <mergeCell ref="B56:B57"/>
    <mergeCell ref="B58:B67"/>
    <mergeCell ref="B68:B69"/>
    <mergeCell ref="B70:B71"/>
    <mergeCell ref="B72:B73"/>
    <mergeCell ref="B74:B75"/>
    <mergeCell ref="B77:B78"/>
    <mergeCell ref="C44:C45"/>
    <mergeCell ref="C50:C51"/>
    <mergeCell ref="C52:C53"/>
    <mergeCell ref="C54:C55"/>
    <mergeCell ref="C58:C67"/>
    <mergeCell ref="D44:D45"/>
    <mergeCell ref="D50:D51"/>
    <mergeCell ref="D52:D53"/>
    <mergeCell ref="D54:D55"/>
    <mergeCell ref="J42:J43"/>
    <mergeCell ref="J44:J45"/>
    <mergeCell ref="J50:J51"/>
    <mergeCell ref="J52:J53"/>
    <mergeCell ref="J54:J55"/>
    <mergeCell ref="K42:K43"/>
    <mergeCell ref="K44:K45"/>
    <mergeCell ref="L42:L43"/>
    <mergeCell ref="L44:L45"/>
    <mergeCell ref="L58:L59"/>
    <mergeCell ref="L60:L61"/>
    <mergeCell ref="L62:L63"/>
    <mergeCell ref="L64:L65"/>
    <mergeCell ref="L66:L67"/>
    <mergeCell ref="M50:M51"/>
    <mergeCell ref="M52:M53"/>
    <mergeCell ref="M54:M55"/>
    <mergeCell ref="M58:M59"/>
    <mergeCell ref="M60:M61"/>
    <mergeCell ref="M62:M63"/>
    <mergeCell ref="M64:M65"/>
    <mergeCell ref="M66:M67"/>
    <mergeCell ref="H18:O19"/>
    <mergeCell ref="G22:H24"/>
    <mergeCell ref="C2:K3"/>
    <mergeCell ref="E28:F34"/>
    <mergeCell ref="E21:F27"/>
    <mergeCell ref="E18:G19"/>
    <mergeCell ref="G29:H31"/>
    <mergeCell ref="C18:D34"/>
    <mergeCell ref="C35:D41"/>
    <mergeCell ref="E35:F41"/>
    <mergeCell ref="A1:B3"/>
    <mergeCell ref="C8:D16"/>
    <mergeCell ref="E11:G13"/>
    <mergeCell ref="F68:K69"/>
    <mergeCell ref="N66:O67"/>
    <mergeCell ref="L68:O69"/>
    <mergeCell ref="F66:K67"/>
    <mergeCell ref="C68:E69"/>
    <mergeCell ref="D60:E67"/>
    <mergeCell ref="N64:O65"/>
    <mergeCell ref="N62:O63"/>
    <mergeCell ref="F58:K59"/>
    <mergeCell ref="F60:K61"/>
    <mergeCell ref="F62:K63"/>
    <mergeCell ref="F64:K65"/>
    <mergeCell ref="F70:K71"/>
    <mergeCell ref="D58:E59"/>
    <mergeCell ref="N58:O59"/>
    <mergeCell ref="G36:H38"/>
    <mergeCell ref="N60:O61"/>
    <mergeCell ref="H54:I55"/>
    <mergeCell ref="N54:O55"/>
    <mergeCell ref="M56:O57"/>
    <mergeCell ref="H52:I53"/>
    <mergeCell ref="N52:O53"/>
    <mergeCell ref="M46:O47"/>
    <mergeCell ref="M48:O49"/>
    <mergeCell ref="H50:I51"/>
    <mergeCell ref="N50:O51"/>
    <mergeCell ref="C46:G47"/>
    <mergeCell ref="H46:L47"/>
    <mergeCell ref="E52:G53"/>
    <mergeCell ref="C48:G49"/>
    <mergeCell ref="H48:L49"/>
    <mergeCell ref="C56:G57"/>
    <mergeCell ref="H56:L57"/>
    <mergeCell ref="C80:O82"/>
    <mergeCell ref="L72:M73"/>
    <mergeCell ref="N72:O73"/>
    <mergeCell ref="C72:E73"/>
    <mergeCell ref="F72:K73"/>
    <mergeCell ref="L74:M75"/>
    <mergeCell ref="N74:O75"/>
    <mergeCell ref="F74:K75"/>
    <mergeCell ref="N77:O78"/>
    <mergeCell ref="C77:M78"/>
    <mergeCell ref="C74:E75"/>
    <mergeCell ref="A80:B82"/>
    <mergeCell ref="E54:G55"/>
    <mergeCell ref="E50:G51"/>
    <mergeCell ref="E44:G45"/>
    <mergeCell ref="C42:D43"/>
    <mergeCell ref="E42:G43"/>
    <mergeCell ref="K54:L55"/>
    <mergeCell ref="K52:L53"/>
    <mergeCell ref="M44:O45"/>
    <mergeCell ref="M42:O43"/>
    <mergeCell ref="K50:L51"/>
    <mergeCell ref="H42:I43"/>
  </mergeCells>
  <printOptions horizontalCentered="1"/>
  <pageMargins left="0.511811023622047" right="0.511811023622047" top="0.748031496062992" bottom="0.748031496062992" header="0.196850393700787" footer="0.196850393700787"/>
  <pageSetup paperSize="9" scale="95" firstPageNumber="4294963191" orientation="portrait" useFirstPageNumber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"/>
  <sheetViews>
    <sheetView showGridLines="0" workbookViewId="0">
      <selection activeCell="K12" sqref="K12"/>
    </sheetView>
  </sheetViews>
  <sheetFormatPr defaultColWidth="8.88333333333333" defaultRowHeight="13.5"/>
  <cols>
    <col min="1" max="1" width="18.3333333333333" style="88" customWidth="1"/>
    <col min="2" max="2" width="19.3333333333333" style="88" customWidth="1"/>
    <col min="3" max="3" width="21.4416666666667" style="88" customWidth="1"/>
    <col min="4" max="4" width="7.88333333333333" style="88" customWidth="1"/>
    <col min="5" max="7" width="14.1083333333333" style="88" customWidth="1"/>
    <col min="8" max="12" width="11" style="88" customWidth="1"/>
    <col min="13" max="13" width="16.3333333333333" style="88" customWidth="1"/>
    <col min="14" max="14" width="11" style="88" customWidth="1"/>
    <col min="15" max="15" width="20.1083333333333" style="88" customWidth="1"/>
    <col min="16" max="16" width="16.3333333333333" style="113" customWidth="1"/>
    <col min="17" max="16384" width="8.88333333333333" style="88"/>
  </cols>
  <sheetData>
    <row r="1" s="100" customFormat="1" ht="32.25" customHeight="1" spans="1:18">
      <c r="A1" s="106" t="s">
        <v>102</v>
      </c>
      <c r="B1" s="106" t="s">
        <v>103</v>
      </c>
      <c r="C1" s="106" t="s">
        <v>104</v>
      </c>
      <c r="D1" s="106"/>
      <c r="E1" s="154" t="s">
        <v>105</v>
      </c>
      <c r="F1" s="154" t="s">
        <v>106</v>
      </c>
      <c r="G1" s="154" t="s">
        <v>106</v>
      </c>
      <c r="H1" s="154" t="s">
        <v>107</v>
      </c>
      <c r="I1" s="154" t="s">
        <v>108</v>
      </c>
      <c r="J1" s="154" t="s">
        <v>108</v>
      </c>
      <c r="K1" s="154" t="s">
        <v>109</v>
      </c>
      <c r="L1" s="154" t="s">
        <v>109</v>
      </c>
      <c r="M1" s="154" t="s">
        <v>110</v>
      </c>
      <c r="N1" s="154" t="s">
        <v>111</v>
      </c>
      <c r="O1" s="154" t="s">
        <v>112</v>
      </c>
      <c r="P1" s="157" t="s">
        <v>113</v>
      </c>
      <c r="Q1" s="154" t="s">
        <v>114</v>
      </c>
      <c r="R1" s="154" t="s">
        <v>115</v>
      </c>
    </row>
    <row r="2" spans="1:18">
      <c r="A2" s="81" t="s">
        <v>116</v>
      </c>
      <c r="B2" s="81">
        <v>656.1</v>
      </c>
      <c r="C2" s="81">
        <v>656.1</v>
      </c>
      <c r="D2" s="81"/>
      <c r="E2" s="81" t="s">
        <v>117</v>
      </c>
      <c r="F2" s="83" t="s">
        <v>118</v>
      </c>
      <c r="G2" s="83">
        <v>0</v>
      </c>
      <c r="H2" s="81"/>
      <c r="I2" s="81" t="s">
        <v>119</v>
      </c>
      <c r="J2" s="81">
        <v>0</v>
      </c>
      <c r="K2" s="81" t="s">
        <v>120</v>
      </c>
      <c r="L2" s="81">
        <v>0</v>
      </c>
      <c r="M2" s="81"/>
      <c r="N2" s="81">
        <v>1</v>
      </c>
      <c r="P2" s="158">
        <v>0.2</v>
      </c>
      <c r="Q2" s="158"/>
      <c r="R2" s="81"/>
    </row>
    <row r="3" spans="1:18">
      <c r="A3" s="81" t="s">
        <v>121</v>
      </c>
      <c r="B3" s="81">
        <v>253.7</v>
      </c>
      <c r="C3" s="81">
        <v>253.7</v>
      </c>
      <c r="D3" s="81"/>
      <c r="E3" s="81" t="s">
        <v>122</v>
      </c>
      <c r="F3" s="83" t="s">
        <v>116</v>
      </c>
      <c r="G3" s="83">
        <v>1</v>
      </c>
      <c r="H3" s="81" t="s">
        <v>123</v>
      </c>
      <c r="I3" s="81" t="s">
        <v>124</v>
      </c>
      <c r="J3" s="81">
        <v>1</v>
      </c>
      <c r="K3" s="81" t="s">
        <v>125</v>
      </c>
      <c r="L3" s="81">
        <v>1</v>
      </c>
      <c r="M3" s="88">
        <v>0.02</v>
      </c>
      <c r="N3" s="81">
        <v>2</v>
      </c>
      <c r="O3" s="81">
        <v>1</v>
      </c>
      <c r="P3" s="158">
        <v>0.5</v>
      </c>
      <c r="Q3" s="81">
        <v>1</v>
      </c>
      <c r="R3" s="81">
        <v>0.5</v>
      </c>
    </row>
    <row r="4" spans="1:18">
      <c r="A4" s="81" t="s">
        <v>126</v>
      </c>
      <c r="B4" s="81" t="s">
        <v>127</v>
      </c>
      <c r="C4" s="81" t="s">
        <v>127</v>
      </c>
      <c r="D4" s="81"/>
      <c r="E4" s="81"/>
      <c r="F4" s="83" t="s">
        <v>128</v>
      </c>
      <c r="G4" s="83">
        <v>2</v>
      </c>
      <c r="H4" s="81"/>
      <c r="I4" s="81" t="s">
        <v>129</v>
      </c>
      <c r="J4" s="81">
        <v>2</v>
      </c>
      <c r="K4" s="81" t="s">
        <v>130</v>
      </c>
      <c r="L4" s="81">
        <v>2</v>
      </c>
      <c r="M4" s="81">
        <v>0.1</v>
      </c>
      <c r="N4" s="81">
        <v>3</v>
      </c>
      <c r="O4" s="81">
        <v>2</v>
      </c>
      <c r="P4" s="115" t="s">
        <v>131</v>
      </c>
      <c r="Q4" s="81">
        <v>2</v>
      </c>
      <c r="R4" s="81">
        <v>1</v>
      </c>
    </row>
    <row r="5" spans="1:18">
      <c r="A5" s="81" t="s">
        <v>23</v>
      </c>
      <c r="B5" s="81" t="s">
        <v>132</v>
      </c>
      <c r="C5" s="81" t="s">
        <v>132</v>
      </c>
      <c r="D5" s="81"/>
      <c r="E5" s="81"/>
      <c r="F5" s="81"/>
      <c r="G5" s="81"/>
      <c r="H5" s="81"/>
      <c r="I5" s="81" t="s">
        <v>133</v>
      </c>
      <c r="J5" s="81">
        <v>3</v>
      </c>
      <c r="K5" s="81" t="s">
        <v>134</v>
      </c>
      <c r="L5" s="81">
        <v>3</v>
      </c>
      <c r="M5" s="81">
        <v>0.2</v>
      </c>
      <c r="N5" s="81">
        <v>4</v>
      </c>
      <c r="O5" s="81"/>
      <c r="P5" s="115" t="s">
        <v>135</v>
      </c>
      <c r="Q5" s="81">
        <v>3</v>
      </c>
      <c r="R5" s="81">
        <v>2</v>
      </c>
    </row>
    <row r="6" spans="1:18">
      <c r="A6" s="81" t="s">
        <v>35</v>
      </c>
      <c r="B6" s="81" t="s">
        <v>136</v>
      </c>
      <c r="C6" s="81"/>
      <c r="D6" s="81"/>
      <c r="E6" s="81"/>
      <c r="F6" s="81"/>
      <c r="G6" s="81"/>
      <c r="H6" s="81"/>
      <c r="I6" s="81" t="s">
        <v>137</v>
      </c>
      <c r="J6" s="81">
        <v>4</v>
      </c>
      <c r="K6" s="81"/>
      <c r="L6" s="81"/>
      <c r="M6" s="81">
        <v>0.5</v>
      </c>
      <c r="N6" s="81">
        <v>5</v>
      </c>
      <c r="O6" s="81"/>
      <c r="P6" s="115" t="s">
        <v>138</v>
      </c>
      <c r="Q6" s="81">
        <v>4</v>
      </c>
      <c r="R6" s="81"/>
    </row>
    <row r="7" spans="1:18">
      <c r="A7" s="81" t="s">
        <v>41</v>
      </c>
      <c r="B7" s="81" t="s">
        <v>139</v>
      </c>
      <c r="C7" s="81"/>
      <c r="D7" s="81"/>
      <c r="E7" s="81"/>
      <c r="F7" s="81"/>
      <c r="G7" s="81"/>
      <c r="H7" s="81"/>
      <c r="I7" s="81"/>
      <c r="J7" s="81"/>
      <c r="K7" s="81" t="s">
        <v>140</v>
      </c>
      <c r="L7" s="81"/>
      <c r="M7" s="81">
        <v>1</v>
      </c>
      <c r="N7" s="81"/>
      <c r="O7" s="81"/>
      <c r="P7" s="158"/>
      <c r="Q7" s="81">
        <v>5</v>
      </c>
      <c r="R7" s="81"/>
    </row>
    <row r="8" spans="1:18">
      <c r="A8" s="81" t="s">
        <v>43</v>
      </c>
      <c r="B8" s="81" t="s">
        <v>141</v>
      </c>
      <c r="C8" s="81"/>
      <c r="D8" s="81"/>
      <c r="E8" s="81"/>
      <c r="F8" s="81"/>
      <c r="G8" s="81"/>
      <c r="H8" s="81"/>
      <c r="I8" s="81"/>
      <c r="J8" s="81"/>
      <c r="K8" s="81"/>
      <c r="L8" s="81"/>
      <c r="M8" s="81">
        <v>2</v>
      </c>
      <c r="N8" s="81"/>
      <c r="O8" s="81"/>
      <c r="P8" s="158"/>
      <c r="Q8" s="81"/>
      <c r="R8" s="81"/>
    </row>
    <row r="9" spans="1:18">
      <c r="A9" s="155" t="s">
        <v>142</v>
      </c>
      <c r="B9" s="156">
        <v>350313257235</v>
      </c>
      <c r="C9" s="81" t="s">
        <v>143</v>
      </c>
      <c r="D9" s="156"/>
      <c r="E9" s="81"/>
      <c r="F9" s="81"/>
      <c r="G9" s="81"/>
      <c r="H9" s="81"/>
      <c r="I9" s="81"/>
      <c r="J9" s="81"/>
      <c r="K9" s="81"/>
      <c r="L9" s="81"/>
      <c r="M9" s="81">
        <v>5</v>
      </c>
      <c r="N9" s="81"/>
      <c r="O9" s="81"/>
      <c r="P9" s="158"/>
      <c r="Q9" s="81"/>
      <c r="R9" s="81"/>
    </row>
    <row r="10" spans="1:18">
      <c r="A10" s="81" t="s">
        <v>144</v>
      </c>
      <c r="B10" s="81">
        <v>220</v>
      </c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158"/>
      <c r="Q10" s="81"/>
      <c r="R10" s="81"/>
    </row>
    <row r="11" spans="1:18">
      <c r="A11" s="81" t="s">
        <v>145</v>
      </c>
      <c r="B11" s="156">
        <v>340360</v>
      </c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158"/>
      <c r="Q11" s="81"/>
      <c r="R11" s="81"/>
    </row>
  </sheetData>
  <pageMargins left="0.7" right="0.7" top="0.75" bottom="0.75" header="0.3" footer="0.3"/>
  <pageSetup paperSize="1" firstPageNumber="4294963191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showGridLines="0" zoomScale="85" zoomScaleNormal="85" workbookViewId="0">
      <pane ySplit="1" topLeftCell="A2" activePane="bottomLeft" state="frozen"/>
      <selection/>
      <selection pane="bottomLeft" activeCell="F31" sqref="F31"/>
    </sheetView>
  </sheetViews>
  <sheetFormatPr defaultColWidth="9" defaultRowHeight="13.5"/>
  <cols>
    <col min="1" max="1" width="10" style="18" customWidth="1"/>
    <col min="2" max="2" width="13.6666666666667" style="18" customWidth="1"/>
    <col min="3" max="3" width="7.88333333333333" style="18" customWidth="1"/>
    <col min="4" max="4" width="15.3333333333333" style="144" customWidth="1"/>
    <col min="9" max="9" width="17.2166666666667" customWidth="1"/>
    <col min="11" max="11" width="10" customWidth="1"/>
    <col min="14" max="14" width="10" style="18" customWidth="1"/>
    <col min="15" max="15" width="5.775" customWidth="1"/>
    <col min="16" max="16" width="36.6666666666667" style="18" customWidth="1"/>
    <col min="17" max="17" width="11.6666666666667" customWidth="1"/>
  </cols>
  <sheetData>
    <row r="1" spans="1:17">
      <c r="A1" s="145" t="s">
        <v>146</v>
      </c>
      <c r="B1" s="145" t="s">
        <v>147</v>
      </c>
      <c r="C1" s="145" t="s">
        <v>104</v>
      </c>
      <c r="D1" s="146" t="s">
        <v>26</v>
      </c>
      <c r="E1" s="146" t="s">
        <v>148</v>
      </c>
      <c r="F1" s="146" t="s">
        <v>149</v>
      </c>
      <c r="G1" s="146" t="s">
        <v>150</v>
      </c>
      <c r="H1" s="147" t="s">
        <v>9</v>
      </c>
      <c r="I1" s="151" t="s">
        <v>10</v>
      </c>
      <c r="J1" s="147" t="s">
        <v>11</v>
      </c>
      <c r="K1" s="147" t="s">
        <v>151</v>
      </c>
      <c r="L1" s="147" t="s">
        <v>152</v>
      </c>
      <c r="M1" s="147" t="s">
        <v>153</v>
      </c>
      <c r="N1" s="145" t="s">
        <v>154</v>
      </c>
      <c r="O1" s="146" t="s">
        <v>155</v>
      </c>
      <c r="P1" s="145" t="s">
        <v>156</v>
      </c>
      <c r="Q1" s="153"/>
    </row>
    <row r="2" spans="1:16">
      <c r="A2" s="80">
        <v>1003</v>
      </c>
      <c r="B2" s="148" t="str">
        <f ca="1" t="shared" ref="B2:B25" si="0">MID(CELL("filename"),FIND("[",CELL("filename"),1)+1,FIND(".",CELL("filename"),1)-FIND("[",CELL("filename"),1)-1)</f>
        <v>T400</v>
      </c>
      <c r="C2" s="80"/>
      <c r="D2" s="149" t="str">
        <f>波长示值误差与重复性校验!$C2&amp;";"&amp;波长示值误差与重复性校验!$D2&amp;";"&amp;波长示值误差与重复性校验!$E2</f>
        <v>;;</v>
      </c>
      <c r="E2" s="149" t="str">
        <f>波长示值误差与重复性校验!$F2</f>
        <v/>
      </c>
      <c r="F2" s="149" t="str">
        <f>波长示值误差与重复性校验!$G2</f>
        <v/>
      </c>
      <c r="G2" s="149">
        <f>波长示值误差与重复性校验!$H2</f>
        <v>0</v>
      </c>
      <c r="H2" s="149">
        <f>Report!$F$5</f>
        <v>0</v>
      </c>
      <c r="I2" s="152">
        <f ca="1" t="shared" ref="I2:I25" si="1">NOW()</f>
        <v>45881.6686226852</v>
      </c>
      <c r="J2" s="149">
        <f>Report!$N$5</f>
        <v>0</v>
      </c>
      <c r="K2" s="149"/>
      <c r="L2" s="149">
        <f>Report!$C$6</f>
        <v>0</v>
      </c>
      <c r="M2" s="149">
        <f>Report!$H$6</f>
        <v>0</v>
      </c>
      <c r="N2" s="80" t="str">
        <f>波长示值误差与重复性校验!$K2</f>
        <v>未检测</v>
      </c>
      <c r="O2" s="149"/>
      <c r="P2" s="83">
        <v>1003</v>
      </c>
    </row>
    <row r="3" spans="1:16">
      <c r="A3" s="80">
        <v>1008</v>
      </c>
      <c r="B3" s="148" t="str">
        <f ca="1" t="shared" si="0"/>
        <v>T400</v>
      </c>
      <c r="C3" s="80"/>
      <c r="D3" s="149" t="str">
        <f>波长示值误差与重复性校验!$C3&amp;";"&amp;波长示值误差与重复性校验!$D3&amp;";"&amp;波长示值误差与重复性校验!$E3</f>
        <v>;;</v>
      </c>
      <c r="E3" s="149" t="str">
        <f>波长示值误差与重复性校验!$F3</f>
        <v/>
      </c>
      <c r="F3" s="149" t="str">
        <f>波长示值误差与重复性校验!$G3</f>
        <v/>
      </c>
      <c r="G3" s="149">
        <f>波长示值误差与重复性校验!$H3</f>
        <v>0</v>
      </c>
      <c r="H3" s="149">
        <f>Report!$F$5</f>
        <v>0</v>
      </c>
      <c r="I3" s="152">
        <f ca="1" t="shared" si="1"/>
        <v>45881.6686226852</v>
      </c>
      <c r="J3" s="149">
        <f>Report!$N$5</f>
        <v>0</v>
      </c>
      <c r="K3" s="149"/>
      <c r="L3" s="149">
        <f>Report!$C$6</f>
        <v>0</v>
      </c>
      <c r="M3" s="149">
        <f>Report!$H$6</f>
        <v>0</v>
      </c>
      <c r="N3" s="80" t="str">
        <f>波长示值误差与重复性校验!$K3</f>
        <v>未检测</v>
      </c>
      <c r="O3" s="149"/>
      <c r="P3" s="83">
        <v>1004</v>
      </c>
    </row>
    <row r="4" spans="1:16">
      <c r="A4" s="80">
        <v>1009</v>
      </c>
      <c r="B4" s="148" t="str">
        <f ca="1" t="shared" si="0"/>
        <v>T400</v>
      </c>
      <c r="C4" s="80"/>
      <c r="D4" s="149" t="str">
        <f>波长示值误差与重复性校验!$C4&amp;";"&amp;波长示值误差与重复性校验!$D4&amp;";"&amp;波长示值误差与重复性校验!$E4</f>
        <v>;;</v>
      </c>
      <c r="E4" s="149" t="str">
        <f>波长示值误差与重复性校验!$F4</f>
        <v/>
      </c>
      <c r="F4" s="149" t="str">
        <f>波长示值误差与重复性校验!$G4</f>
        <v/>
      </c>
      <c r="G4" s="149">
        <f>波长示值误差与重复性校验!$H4</f>
        <v>0</v>
      </c>
      <c r="H4" s="149">
        <f>Report!$F$5</f>
        <v>0</v>
      </c>
      <c r="I4" s="152">
        <f ca="1" t="shared" si="1"/>
        <v>45881.6686226852</v>
      </c>
      <c r="J4" s="149">
        <f>Report!$N$5</f>
        <v>0</v>
      </c>
      <c r="K4" s="149"/>
      <c r="L4" s="149">
        <f>Report!$C$6</f>
        <v>0</v>
      </c>
      <c r="M4" s="149">
        <f>Report!$H$6</f>
        <v>0</v>
      </c>
      <c r="N4" s="80" t="str">
        <f>波长示值误差与重复性校验!$K4</f>
        <v>未检测</v>
      </c>
      <c r="O4" s="149"/>
      <c r="P4" s="83">
        <v>1004</v>
      </c>
    </row>
    <row r="5" spans="1:16">
      <c r="A5" s="80">
        <v>1010</v>
      </c>
      <c r="B5" s="148" t="str">
        <f ca="1" t="shared" si="0"/>
        <v>T400</v>
      </c>
      <c r="C5" s="80"/>
      <c r="D5" s="149" t="str">
        <f>波长示值误差与重复性校验!$C5&amp;";"&amp;波长示值误差与重复性校验!$D5&amp;";"&amp;波长示值误差与重复性校验!$E5</f>
        <v>;;</v>
      </c>
      <c r="E5" s="149" t="str">
        <f>波长示值误差与重复性校验!$F5</f>
        <v/>
      </c>
      <c r="F5" s="149" t="str">
        <f>波长示值误差与重复性校验!$G5</f>
        <v/>
      </c>
      <c r="G5" s="149">
        <f>波长示值误差与重复性校验!$H5</f>
        <v>0</v>
      </c>
      <c r="H5" s="149">
        <f>Report!$F$5</f>
        <v>0</v>
      </c>
      <c r="I5" s="152">
        <f ca="1" t="shared" si="1"/>
        <v>45881.6686226852</v>
      </c>
      <c r="J5" s="149">
        <f>Report!$N$5</f>
        <v>0</v>
      </c>
      <c r="K5" s="149"/>
      <c r="L5" s="149">
        <f>Report!$C$6</f>
        <v>0</v>
      </c>
      <c r="M5" s="149">
        <f>Report!$H$6</f>
        <v>0</v>
      </c>
      <c r="N5" s="80" t="str">
        <f>波长示值误差与重复性校验!$K5</f>
        <v>未检测</v>
      </c>
      <c r="O5" s="149"/>
      <c r="P5" s="83">
        <v>1004</v>
      </c>
    </row>
    <row r="6" spans="1:16">
      <c r="A6" s="80">
        <v>1011</v>
      </c>
      <c r="B6" s="148" t="str">
        <f ca="1" t="shared" si="0"/>
        <v>T400</v>
      </c>
      <c r="C6" s="80"/>
      <c r="D6" s="149" t="str">
        <f>波长示值误差与重复性校验!$C6&amp;";"&amp;波长示值误差与重复性校验!$D6&amp;";"&amp;波长示值误差与重复性校验!$E6</f>
        <v>;;</v>
      </c>
      <c r="E6" s="149" t="str">
        <f>波长示值误差与重复性校验!$F6</f>
        <v/>
      </c>
      <c r="F6" s="149" t="str">
        <f>波长示值误差与重复性校验!$G6</f>
        <v/>
      </c>
      <c r="G6" s="149">
        <f>波长示值误差与重复性校验!$H6</f>
        <v>0</v>
      </c>
      <c r="H6" s="149">
        <f>Report!$F$5</f>
        <v>0</v>
      </c>
      <c r="I6" s="152">
        <f ca="1" t="shared" si="1"/>
        <v>45881.6686226852</v>
      </c>
      <c r="J6" s="149">
        <f>Report!$N$5</f>
        <v>0</v>
      </c>
      <c r="K6" s="149"/>
      <c r="L6" s="149">
        <f>Report!$C$6</f>
        <v>0</v>
      </c>
      <c r="M6" s="149">
        <f>Report!$H$6</f>
        <v>0</v>
      </c>
      <c r="N6" s="80" t="str">
        <f>波长示值误差与重复性校验!$K6</f>
        <v>未检测</v>
      </c>
      <c r="O6" s="149"/>
      <c r="P6" s="83">
        <v>1004</v>
      </c>
    </row>
    <row r="7" spans="1:16">
      <c r="A7" s="80">
        <v>2005</v>
      </c>
      <c r="B7" s="148" t="str">
        <f ca="1" t="shared" si="0"/>
        <v>T400</v>
      </c>
      <c r="C7" s="80">
        <f>透射比示值误差与重复性校验!$C2</f>
        <v>7.57</v>
      </c>
      <c r="D7" s="149" t="str">
        <f>透射比示值误差与重复性校验!$D2&amp;";"&amp;透射比示值误差与重复性校验!$E2&amp;";"&amp;透射比示值误差与重复性校验!$F2</f>
        <v>;;</v>
      </c>
      <c r="E7" s="149" t="str">
        <f>透射比示值误差与重复性校验!$G2</f>
        <v/>
      </c>
      <c r="F7" s="149" t="str">
        <f>透射比示值误差与重复性校验!$H2</f>
        <v/>
      </c>
      <c r="G7" s="149">
        <f>透射比示值误差与重复性校验!$I2</f>
        <v>0</v>
      </c>
      <c r="H7" s="149">
        <f>Report!$F$5</f>
        <v>0</v>
      </c>
      <c r="I7" s="152">
        <f ca="1" t="shared" si="1"/>
        <v>45881.6686226852</v>
      </c>
      <c r="J7" s="149">
        <f>Report!$N$5</f>
        <v>0</v>
      </c>
      <c r="K7" s="149"/>
      <c r="L7" s="149">
        <f>Report!$C$6</f>
        <v>0</v>
      </c>
      <c r="M7" s="149">
        <f>Report!$H$6</f>
        <v>0</v>
      </c>
      <c r="N7" s="80" t="str">
        <f>透射比示值误差与重复性校验!$L2</f>
        <v>未检测</v>
      </c>
      <c r="O7" s="149"/>
      <c r="P7" s="80">
        <v>2002</v>
      </c>
    </row>
    <row r="8" spans="1:16">
      <c r="A8" s="80">
        <v>2006</v>
      </c>
      <c r="B8" s="148" t="str">
        <f ca="1" t="shared" si="0"/>
        <v>T400</v>
      </c>
      <c r="C8" s="80">
        <f>透射比示值误差与重复性校验!$C3</f>
        <v>10.1</v>
      </c>
      <c r="D8" s="149" t="str">
        <f>透射比示值误差与重复性校验!$D3&amp;";"&amp;透射比示值误差与重复性校验!$E3&amp;";"&amp;透射比示值误差与重复性校验!$F3</f>
        <v>;;</v>
      </c>
      <c r="E8" s="149" t="str">
        <f>透射比示值误差与重复性校验!$G3</f>
        <v/>
      </c>
      <c r="F8" s="149" t="str">
        <f>透射比示值误差与重复性校验!$H3</f>
        <v/>
      </c>
      <c r="G8" s="149">
        <f>透射比示值误差与重复性校验!$I3</f>
        <v>0</v>
      </c>
      <c r="H8" s="149">
        <f>Report!$F$5</f>
        <v>0</v>
      </c>
      <c r="I8" s="152">
        <f ca="1" t="shared" si="1"/>
        <v>45881.6686226852</v>
      </c>
      <c r="J8" s="149">
        <f>Report!$N$5</f>
        <v>0</v>
      </c>
      <c r="K8" s="149"/>
      <c r="L8" s="149">
        <f>Report!$C$6</f>
        <v>0</v>
      </c>
      <c r="M8" s="149">
        <f>Report!$H$6</f>
        <v>0</v>
      </c>
      <c r="N8" s="80" t="str">
        <f>透射比示值误差与重复性校验!$L3</f>
        <v>未检测</v>
      </c>
      <c r="O8" s="149"/>
      <c r="P8" s="80">
        <v>2002</v>
      </c>
    </row>
    <row r="9" spans="1:16">
      <c r="A9" s="80">
        <v>2007</v>
      </c>
      <c r="B9" s="148" t="str">
        <f ca="1" t="shared" si="0"/>
        <v>T400</v>
      </c>
      <c r="C9" s="80">
        <f>透射比示值误差与重复性校验!$C4</f>
        <v>10.07</v>
      </c>
      <c r="D9" s="149" t="str">
        <f>透射比示值误差与重复性校验!$D4&amp;";"&amp;透射比示值误差与重复性校验!$E4&amp;";"&amp;透射比示值误差与重复性校验!$F4</f>
        <v>;;</v>
      </c>
      <c r="E9" s="149" t="str">
        <f>透射比示值误差与重复性校验!$G4</f>
        <v/>
      </c>
      <c r="F9" s="149" t="str">
        <f>透射比示值误差与重复性校验!$H4</f>
        <v/>
      </c>
      <c r="G9" s="149">
        <f>透射比示值误差与重复性校验!$I4</f>
        <v>0</v>
      </c>
      <c r="H9" s="149">
        <f>Report!$F$5</f>
        <v>0</v>
      </c>
      <c r="I9" s="152">
        <f ca="1" t="shared" si="1"/>
        <v>45881.6686226852</v>
      </c>
      <c r="J9" s="149">
        <f>Report!$N$5</f>
        <v>0</v>
      </c>
      <c r="K9" s="149"/>
      <c r="L9" s="149">
        <f>Report!$C$6</f>
        <v>0</v>
      </c>
      <c r="M9" s="149">
        <f>Report!$H$6</f>
        <v>0</v>
      </c>
      <c r="N9" s="80" t="str">
        <f>透射比示值误差与重复性校验!$L4</f>
        <v>未检测</v>
      </c>
      <c r="O9" s="149"/>
      <c r="P9" s="80">
        <v>2002</v>
      </c>
    </row>
    <row r="10" spans="1:16">
      <c r="A10" s="80">
        <v>2008</v>
      </c>
      <c r="B10" s="148" t="str">
        <f ca="1" t="shared" si="0"/>
        <v>T400</v>
      </c>
      <c r="C10" s="80">
        <f>透射比示值误差与重复性校验!$C5</f>
        <v>18.98</v>
      </c>
      <c r="D10" s="149" t="str">
        <f>透射比示值误差与重复性校验!$D5&amp;";"&amp;透射比示值误差与重复性校验!$E5&amp;";"&amp;透射比示值误差与重复性校验!$F5</f>
        <v>;;</v>
      </c>
      <c r="E10" s="149" t="str">
        <f>透射比示值误差与重复性校验!$G5</f>
        <v/>
      </c>
      <c r="F10" s="149" t="str">
        <f>透射比示值误差与重复性校验!$H5</f>
        <v/>
      </c>
      <c r="G10" s="149">
        <f>透射比示值误差与重复性校验!$I5</f>
        <v>0</v>
      </c>
      <c r="H10" s="149">
        <f>Report!$F$5</f>
        <v>0</v>
      </c>
      <c r="I10" s="152">
        <f ca="1" t="shared" si="1"/>
        <v>45881.6686226852</v>
      </c>
      <c r="J10" s="149">
        <f>Report!$N$5</f>
        <v>0</v>
      </c>
      <c r="K10" s="149"/>
      <c r="L10" s="149">
        <f>Report!$C$6</f>
        <v>0</v>
      </c>
      <c r="M10" s="149">
        <f>Report!$H$6</f>
        <v>0</v>
      </c>
      <c r="N10" s="80" t="str">
        <f>透射比示值误差与重复性校验!$L5</f>
        <v>未检测</v>
      </c>
      <c r="O10" s="149"/>
      <c r="P10" s="82">
        <v>2003</v>
      </c>
    </row>
    <row r="11" spans="1:16">
      <c r="A11" s="80">
        <v>2009</v>
      </c>
      <c r="B11" s="148" t="str">
        <f ca="1" t="shared" si="0"/>
        <v>T400</v>
      </c>
      <c r="C11" s="80">
        <f>透射比示值误差与重复性校验!$C6</f>
        <v>20.09</v>
      </c>
      <c r="D11" s="149" t="str">
        <f>透射比示值误差与重复性校验!$D6&amp;";"&amp;透射比示值误差与重复性校验!$E6&amp;";"&amp;透射比示值误差与重复性校验!$F6</f>
        <v>;;</v>
      </c>
      <c r="E11" s="149" t="str">
        <f>透射比示值误差与重复性校验!$G6</f>
        <v/>
      </c>
      <c r="F11" s="149" t="str">
        <f>透射比示值误差与重复性校验!$H6</f>
        <v/>
      </c>
      <c r="G11" s="149">
        <f>透射比示值误差与重复性校验!$I6</f>
        <v>0</v>
      </c>
      <c r="H11" s="149">
        <f>Report!$F$5</f>
        <v>0</v>
      </c>
      <c r="I11" s="152">
        <f ca="1" t="shared" si="1"/>
        <v>45881.6686226852</v>
      </c>
      <c r="J11" s="149">
        <f>Report!$N$5</f>
        <v>0</v>
      </c>
      <c r="K11" s="149"/>
      <c r="L11" s="149">
        <f>Report!$C$6</f>
        <v>0</v>
      </c>
      <c r="M11" s="149">
        <f>Report!$H$6</f>
        <v>0</v>
      </c>
      <c r="N11" s="80" t="str">
        <f>透射比示值误差与重复性校验!$L6</f>
        <v>未检测</v>
      </c>
      <c r="O11" s="149"/>
      <c r="P11" s="82">
        <v>2003</v>
      </c>
    </row>
    <row r="12" spans="1:16">
      <c r="A12" s="80">
        <v>2010</v>
      </c>
      <c r="B12" s="148" t="str">
        <f ca="1" t="shared" si="0"/>
        <v>T400</v>
      </c>
      <c r="C12" s="80">
        <f>透射比示值误差与重复性校验!$C7</f>
        <v>20.91</v>
      </c>
      <c r="D12" s="149" t="str">
        <f>透射比示值误差与重复性校验!$D7&amp;";"&amp;透射比示值误差与重复性校验!$E7&amp;";"&amp;透射比示值误差与重复性校验!$F7</f>
        <v>;;</v>
      </c>
      <c r="E12" s="149" t="str">
        <f>透射比示值误差与重复性校验!$G7</f>
        <v/>
      </c>
      <c r="F12" s="149" t="str">
        <f>透射比示值误差与重复性校验!$H7</f>
        <v/>
      </c>
      <c r="G12" s="149">
        <f>透射比示值误差与重复性校验!$I7</f>
        <v>0</v>
      </c>
      <c r="H12" s="149">
        <f>Report!$F$5</f>
        <v>0</v>
      </c>
      <c r="I12" s="152">
        <f ca="1" t="shared" si="1"/>
        <v>45881.6686226852</v>
      </c>
      <c r="J12" s="149">
        <f>Report!$N$5</f>
        <v>0</v>
      </c>
      <c r="K12" s="149"/>
      <c r="L12" s="149">
        <f>Report!$C$6</f>
        <v>0</v>
      </c>
      <c r="M12" s="149">
        <f>Report!$H$6</f>
        <v>0</v>
      </c>
      <c r="N12" s="80" t="str">
        <f>透射比示值误差与重复性校验!$L7</f>
        <v>未检测</v>
      </c>
      <c r="O12" s="149"/>
      <c r="P12" s="82">
        <v>2003</v>
      </c>
    </row>
    <row r="13" spans="1:16">
      <c r="A13" s="80">
        <v>2011</v>
      </c>
      <c r="B13" s="148" t="str">
        <f ca="1" t="shared" si="0"/>
        <v>T400</v>
      </c>
      <c r="C13" s="80">
        <f>透射比示值误差与重复性校验!$C8</f>
        <v>29.96</v>
      </c>
      <c r="D13" s="149" t="str">
        <f>透射比示值误差与重复性校验!$D8&amp;";"&amp;透射比示值误差与重复性校验!$E8&amp;";"&amp;透射比示值误差与重复性校验!$F8</f>
        <v>;;</v>
      </c>
      <c r="E13" s="149" t="str">
        <f>透射比示值误差与重复性校验!$G8</f>
        <v/>
      </c>
      <c r="F13" s="149" t="str">
        <f>透射比示值误差与重复性校验!$H8</f>
        <v/>
      </c>
      <c r="G13" s="149">
        <f>透射比示值误差与重复性校验!$I8</f>
        <v>0</v>
      </c>
      <c r="H13" s="149">
        <f>Report!$F$5</f>
        <v>0</v>
      </c>
      <c r="I13" s="152">
        <f ca="1" t="shared" si="1"/>
        <v>45881.6686226852</v>
      </c>
      <c r="J13" s="149">
        <f>Report!$N$5</f>
        <v>0</v>
      </c>
      <c r="K13" s="149"/>
      <c r="L13" s="149">
        <f>Report!$C$6</f>
        <v>0</v>
      </c>
      <c r="M13" s="149">
        <f>Report!$H$6</f>
        <v>0</v>
      </c>
      <c r="N13" s="80" t="str">
        <f>透射比示值误差与重复性校验!$L8</f>
        <v>未检测</v>
      </c>
      <c r="O13" s="149"/>
      <c r="P13" s="80">
        <v>2004</v>
      </c>
    </row>
    <row r="14" spans="1:16">
      <c r="A14" s="80">
        <v>2012</v>
      </c>
      <c r="B14" s="148" t="str">
        <f ca="1" t="shared" si="0"/>
        <v>T400</v>
      </c>
      <c r="C14" s="80">
        <f>透射比示值误差与重复性校验!$C9</f>
        <v>30.43</v>
      </c>
      <c r="D14" s="149" t="str">
        <f>透射比示值误差与重复性校验!$D9&amp;";"&amp;透射比示值误差与重复性校验!$E9&amp;";"&amp;透射比示值误差与重复性校验!$F9</f>
        <v>;;</v>
      </c>
      <c r="E14" s="149" t="str">
        <f>透射比示值误差与重复性校验!$G9</f>
        <v/>
      </c>
      <c r="F14" s="149" t="str">
        <f>透射比示值误差与重复性校验!$H9</f>
        <v/>
      </c>
      <c r="G14" s="149">
        <f>透射比示值误差与重复性校验!$I9</f>
        <v>0</v>
      </c>
      <c r="H14" s="149">
        <f>Report!$F$5</f>
        <v>0</v>
      </c>
      <c r="I14" s="152">
        <f ca="1" t="shared" si="1"/>
        <v>45881.6686226852</v>
      </c>
      <c r="J14" s="149">
        <f>Report!$N$5</f>
        <v>0</v>
      </c>
      <c r="K14" s="149"/>
      <c r="L14" s="149">
        <f>Report!$C$6</f>
        <v>0</v>
      </c>
      <c r="M14" s="149">
        <f>Report!$H$6</f>
        <v>0</v>
      </c>
      <c r="N14" s="80" t="str">
        <f>透射比示值误差与重复性校验!$L9</f>
        <v>未检测</v>
      </c>
      <c r="O14" s="149"/>
      <c r="P14" s="80">
        <v>2004</v>
      </c>
    </row>
    <row r="15" spans="1:16">
      <c r="A15" s="80">
        <v>2013</v>
      </c>
      <c r="B15" s="148" t="str">
        <f ca="1" t="shared" si="0"/>
        <v>T400</v>
      </c>
      <c r="C15" s="80">
        <f>透射比示值误差与重复性校验!$C10</f>
        <v>28.88</v>
      </c>
      <c r="D15" s="149" t="str">
        <f>透射比示值误差与重复性校验!$D10&amp;";"&amp;透射比示值误差与重复性校验!$E10&amp;";"&amp;透射比示值误差与重复性校验!$F10</f>
        <v>;;</v>
      </c>
      <c r="E15" s="149" t="str">
        <f>透射比示值误差与重复性校验!$G10</f>
        <v/>
      </c>
      <c r="F15" s="149" t="str">
        <f>透射比示值误差与重复性校验!$H10</f>
        <v/>
      </c>
      <c r="G15" s="149">
        <f>透射比示值误差与重复性校验!$I10</f>
        <v>0</v>
      </c>
      <c r="H15" s="149">
        <f>Report!$F$5</f>
        <v>0</v>
      </c>
      <c r="I15" s="152">
        <f ca="1" t="shared" si="1"/>
        <v>45881.6686226852</v>
      </c>
      <c r="J15" s="149">
        <f>Report!$N$5</f>
        <v>0</v>
      </c>
      <c r="K15" s="149"/>
      <c r="L15" s="149">
        <f>Report!$C$6</f>
        <v>0</v>
      </c>
      <c r="M15" s="149">
        <f>Report!$H$6</f>
        <v>0</v>
      </c>
      <c r="N15" s="80" t="str">
        <f>透射比示值误差与重复性校验!$L10</f>
        <v>未检测</v>
      </c>
      <c r="O15" s="149"/>
      <c r="P15" s="80">
        <v>2004</v>
      </c>
    </row>
    <row r="16" spans="1:16">
      <c r="A16" s="80">
        <v>3002</v>
      </c>
      <c r="B16" s="148" t="str">
        <f ca="1" t="shared" si="0"/>
        <v>T400</v>
      </c>
      <c r="C16" s="80">
        <f>杂散光校验!$B2</f>
        <v>360</v>
      </c>
      <c r="D16" s="150" t="str">
        <f>杂散光校验!$C2&amp;";"&amp;杂散光校验!$D2&amp;";"&amp;杂散光校验!$E2</f>
        <v>;;</v>
      </c>
      <c r="E16" s="149"/>
      <c r="F16" s="149"/>
      <c r="G16" s="149"/>
      <c r="H16" s="149">
        <f>Report!$F$5</f>
        <v>0</v>
      </c>
      <c r="I16" s="152">
        <f ca="1" t="shared" si="1"/>
        <v>45881.6686226852</v>
      </c>
      <c r="J16" s="149">
        <f>Report!$N$5</f>
        <v>0</v>
      </c>
      <c r="K16" s="149"/>
      <c r="L16" s="149">
        <f>Report!$C$6</f>
        <v>0</v>
      </c>
      <c r="M16" s="149">
        <f>Report!$H$6</f>
        <v>0</v>
      </c>
      <c r="N16" s="80" t="str">
        <f>杂散光校验!$G2</f>
        <v>未检测</v>
      </c>
      <c r="O16" s="149"/>
      <c r="P16" s="80">
        <v>3002</v>
      </c>
    </row>
    <row r="17" spans="1:16">
      <c r="A17" s="80">
        <v>4001</v>
      </c>
      <c r="B17" s="148" t="str">
        <f ca="1" t="shared" si="0"/>
        <v>T400</v>
      </c>
      <c r="C17" s="80"/>
      <c r="D17" s="149">
        <f>基线平直度检验!$B$2</f>
        <v>0</v>
      </c>
      <c r="E17" s="149"/>
      <c r="F17" s="149"/>
      <c r="G17" s="149"/>
      <c r="H17" s="149">
        <f>Report!$F$5</f>
        <v>0</v>
      </c>
      <c r="I17" s="152">
        <f ca="1" t="shared" si="1"/>
        <v>45881.6686226852</v>
      </c>
      <c r="J17" s="149">
        <f>Report!$N$5</f>
        <v>0</v>
      </c>
      <c r="K17" s="149"/>
      <c r="L17" s="149">
        <f>Report!$C$6</f>
        <v>0</v>
      </c>
      <c r="M17" s="149">
        <f>Report!$H$6</f>
        <v>0</v>
      </c>
      <c r="N17" s="80" t="str">
        <f>基线平直度检验!$D$2</f>
        <v>未检测</v>
      </c>
      <c r="O17" s="149"/>
      <c r="P17" s="80">
        <v>4001</v>
      </c>
    </row>
    <row r="18" spans="1:16">
      <c r="A18" s="80">
        <v>5001</v>
      </c>
      <c r="B18" s="148" t="str">
        <f ca="1" t="shared" si="0"/>
        <v>T400</v>
      </c>
      <c r="C18" s="80"/>
      <c r="D18" s="149">
        <f>基线暗噪声检验!$B$2</f>
        <v>0</v>
      </c>
      <c r="E18" s="149"/>
      <c r="F18" s="149"/>
      <c r="G18" s="149"/>
      <c r="H18" s="149">
        <f>Report!$F$5</f>
        <v>0</v>
      </c>
      <c r="I18" s="152">
        <f ca="1" t="shared" si="1"/>
        <v>45881.6686226852</v>
      </c>
      <c r="J18" s="149">
        <f>Report!$N$5</f>
        <v>0</v>
      </c>
      <c r="K18" s="149"/>
      <c r="L18" s="149">
        <f>Report!$C$6</f>
        <v>0</v>
      </c>
      <c r="M18" s="149">
        <f>Report!$H$6</f>
        <v>0</v>
      </c>
      <c r="N18" s="80" t="str">
        <f>基线暗噪声检验!$D$2</f>
        <v>未检测</v>
      </c>
      <c r="O18" s="149"/>
      <c r="P18" s="80">
        <v>5001</v>
      </c>
    </row>
    <row r="19" spans="1:16">
      <c r="A19" s="80">
        <v>7001</v>
      </c>
      <c r="B19" s="148" t="str">
        <f ca="1" t="shared" si="0"/>
        <v>T400</v>
      </c>
      <c r="C19" s="80">
        <f>噪声检验!$B2</f>
        <v>500</v>
      </c>
      <c r="D19" s="149">
        <f>噪声检验!$C2</f>
        <v>0</v>
      </c>
      <c r="E19" s="149"/>
      <c r="F19" s="149"/>
      <c r="G19" s="149"/>
      <c r="H19" s="149">
        <f>Report!$F$5</f>
        <v>0</v>
      </c>
      <c r="I19" s="152">
        <f ca="1" t="shared" si="1"/>
        <v>45881.6686226852</v>
      </c>
      <c r="J19" s="149">
        <f>Report!$N$5</f>
        <v>0</v>
      </c>
      <c r="K19" s="149"/>
      <c r="L19" s="149">
        <f>Report!$C$6</f>
        <v>0</v>
      </c>
      <c r="M19" s="149">
        <f>Report!$H$6</f>
        <v>0</v>
      </c>
      <c r="N19" s="80" t="str">
        <f>噪声检验!$E2</f>
        <v>未检测</v>
      </c>
      <c r="O19" s="149"/>
      <c r="P19" s="80">
        <v>7001</v>
      </c>
    </row>
    <row r="20" spans="1:16">
      <c r="A20" s="80">
        <v>7002</v>
      </c>
      <c r="B20" s="148" t="str">
        <f ca="1" t="shared" si="0"/>
        <v>T400</v>
      </c>
      <c r="C20" s="80">
        <f>噪声检验!$B3</f>
        <v>500</v>
      </c>
      <c r="D20" s="149">
        <f>噪声检验!$C3</f>
        <v>0</v>
      </c>
      <c r="E20" s="149"/>
      <c r="F20" s="149"/>
      <c r="G20" s="149"/>
      <c r="H20" s="149">
        <f>Report!$F$5</f>
        <v>0</v>
      </c>
      <c r="I20" s="152">
        <f ca="1" t="shared" si="1"/>
        <v>45881.6686226852</v>
      </c>
      <c r="J20" s="149">
        <f>Report!$N$5</f>
        <v>0</v>
      </c>
      <c r="K20" s="149"/>
      <c r="L20" s="149">
        <f>Report!$C$6</f>
        <v>0</v>
      </c>
      <c r="M20" s="149">
        <f>Report!$H$6</f>
        <v>0</v>
      </c>
      <c r="N20" s="80" t="str">
        <f>噪声检验!$E3</f>
        <v>未检测</v>
      </c>
      <c r="O20" s="149"/>
      <c r="P20" s="80">
        <v>7002</v>
      </c>
    </row>
    <row r="21" spans="1:16">
      <c r="A21" s="80">
        <v>8001</v>
      </c>
      <c r="B21" s="148" t="str">
        <f ca="1" t="shared" si="0"/>
        <v>T400</v>
      </c>
      <c r="C21" s="80">
        <f>波长边缘噪声!$B2</f>
        <v>1090</v>
      </c>
      <c r="D21" s="149">
        <f>波长边缘噪声!$C2</f>
        <v>0</v>
      </c>
      <c r="E21" s="149"/>
      <c r="F21" s="149"/>
      <c r="G21" s="149"/>
      <c r="H21" s="149">
        <f>Report!$F$5</f>
        <v>0</v>
      </c>
      <c r="I21" s="152">
        <f ca="1" t="shared" si="1"/>
        <v>45881.6686226852</v>
      </c>
      <c r="J21" s="149">
        <f>Report!$N$5</f>
        <v>0</v>
      </c>
      <c r="K21" s="149"/>
      <c r="L21" s="149">
        <f>Report!$C$6</f>
        <v>0</v>
      </c>
      <c r="M21" s="149">
        <f>Report!$H$6</f>
        <v>0</v>
      </c>
      <c r="N21" s="80" t="str">
        <f>波长边缘噪声!$E2</f>
        <v>未检测</v>
      </c>
      <c r="O21" s="149"/>
      <c r="P21" s="80">
        <v>8001</v>
      </c>
    </row>
    <row r="22" spans="1:16">
      <c r="A22" s="80">
        <v>8002</v>
      </c>
      <c r="B22" s="148" t="str">
        <f ca="1" t="shared" si="0"/>
        <v>T400</v>
      </c>
      <c r="C22" s="80">
        <f>波长边缘噪声!$B3</f>
        <v>1090</v>
      </c>
      <c r="D22" s="149">
        <f>波长边缘噪声!$C3</f>
        <v>0</v>
      </c>
      <c r="E22" s="149"/>
      <c r="F22" s="149"/>
      <c r="G22" s="149"/>
      <c r="H22" s="149">
        <f>Report!$F$5</f>
        <v>0</v>
      </c>
      <c r="I22" s="152">
        <f ca="1" t="shared" si="1"/>
        <v>45881.6686226852</v>
      </c>
      <c r="J22" s="149">
        <f>Report!$N$5</f>
        <v>0</v>
      </c>
      <c r="K22" s="149"/>
      <c r="L22" s="149">
        <f>Report!$C$6</f>
        <v>0</v>
      </c>
      <c r="M22" s="149">
        <f>Report!$H$6</f>
        <v>0</v>
      </c>
      <c r="N22" s="80" t="str">
        <f>波长边缘噪声!$E3</f>
        <v>未检测</v>
      </c>
      <c r="O22" s="149"/>
      <c r="P22" s="80">
        <v>8002</v>
      </c>
    </row>
    <row r="23" spans="1:16">
      <c r="A23" s="80">
        <v>8003</v>
      </c>
      <c r="B23" s="148" t="str">
        <f ca="1" t="shared" si="0"/>
        <v>T400</v>
      </c>
      <c r="C23" s="80">
        <f>波长边缘噪声!$B4</f>
        <v>335</v>
      </c>
      <c r="D23" s="149">
        <f>波长边缘噪声!$C4</f>
        <v>0</v>
      </c>
      <c r="E23" s="149"/>
      <c r="F23" s="149"/>
      <c r="G23" s="149"/>
      <c r="H23" s="149">
        <f>Report!$F$5</f>
        <v>0</v>
      </c>
      <c r="I23" s="152">
        <f ca="1" t="shared" si="1"/>
        <v>45881.6686226852</v>
      </c>
      <c r="J23" s="149">
        <f>Report!$N$5</f>
        <v>0</v>
      </c>
      <c r="K23" s="149"/>
      <c r="L23" s="149">
        <f>Report!$C$6</f>
        <v>0</v>
      </c>
      <c r="M23" s="149">
        <f>Report!$H$6</f>
        <v>0</v>
      </c>
      <c r="N23" s="80" t="str">
        <f>波长边缘噪声!$E4</f>
        <v>未检测</v>
      </c>
      <c r="O23" s="149"/>
      <c r="P23" s="80">
        <v>8003</v>
      </c>
    </row>
    <row r="24" spans="1:16">
      <c r="A24" s="81">
        <v>8004</v>
      </c>
      <c r="B24" s="148" t="str">
        <f ca="1" t="shared" si="0"/>
        <v>T400</v>
      </c>
      <c r="C24" s="80">
        <f>波长边缘噪声!$B5</f>
        <v>335</v>
      </c>
      <c r="D24" s="149">
        <f>波长边缘噪声!$C5</f>
        <v>0</v>
      </c>
      <c r="E24" s="149"/>
      <c r="F24" s="149"/>
      <c r="G24" s="149"/>
      <c r="H24" s="149">
        <f>Report!$F$5</f>
        <v>0</v>
      </c>
      <c r="I24" s="152">
        <f ca="1" t="shared" si="1"/>
        <v>45881.6686226852</v>
      </c>
      <c r="J24" s="149">
        <f>Report!$N$5</f>
        <v>0</v>
      </c>
      <c r="K24" s="149"/>
      <c r="L24" s="149">
        <f>Report!$C$6</f>
        <v>0</v>
      </c>
      <c r="M24" s="149">
        <f>Report!$H$6</f>
        <v>0</v>
      </c>
      <c r="N24" s="80" t="str">
        <f>波长边缘噪声!$E5</f>
        <v>未检测</v>
      </c>
      <c r="O24" s="149"/>
      <c r="P24" s="80">
        <v>8004</v>
      </c>
    </row>
    <row r="25" spans="1:16">
      <c r="A25" s="81">
        <v>9001</v>
      </c>
      <c r="B25" s="148" t="str">
        <f ca="1" t="shared" si="0"/>
        <v>T400</v>
      </c>
      <c r="C25" s="80">
        <f>漂移检验!$B$2</f>
        <v>500</v>
      </c>
      <c r="D25" s="149">
        <f>漂移检验!$C$2</f>
        <v>0</v>
      </c>
      <c r="E25" s="149"/>
      <c r="F25" s="149"/>
      <c r="G25" s="149"/>
      <c r="H25" s="149">
        <f>Report!$F$5</f>
        <v>0</v>
      </c>
      <c r="I25" s="152">
        <f ca="1" t="shared" si="1"/>
        <v>45881.6686226852</v>
      </c>
      <c r="J25" s="149">
        <f>Report!$N$5</f>
        <v>0</v>
      </c>
      <c r="K25" s="149"/>
      <c r="L25" s="149">
        <f>Report!$C$6</f>
        <v>0</v>
      </c>
      <c r="M25" s="149">
        <f>Report!$H$6</f>
        <v>0</v>
      </c>
      <c r="N25" s="80" t="str">
        <f>漂移检验!$E$2</f>
        <v>未检测</v>
      </c>
      <c r="O25" s="149"/>
      <c r="P25" s="80">
        <v>9001</v>
      </c>
    </row>
    <row r="26" spans="8:8">
      <c r="H26" s="144"/>
    </row>
  </sheetData>
  <pageMargins left="0.7" right="0.7" top="0.75" bottom="0.75" header="0.3" footer="0.3"/>
  <pageSetup paperSize="9" firstPageNumber="4294963191" orientation="portrait" useFirstPageNumb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6"/>
  <sheetViews>
    <sheetView showGridLines="0" workbookViewId="0">
      <selection activeCell="K26" sqref="K26:K27"/>
    </sheetView>
  </sheetViews>
  <sheetFormatPr defaultColWidth="9" defaultRowHeight="13.5"/>
  <cols>
    <col min="1" max="1" width="9" style="118"/>
    <col min="2" max="2" width="17.2166666666667" style="118" customWidth="1"/>
    <col min="3" max="3" width="29.2166666666667" style="118" customWidth="1"/>
    <col min="4" max="4" width="12.3333333333333" style="118" customWidth="1"/>
    <col min="5" max="5" width="22.6666666666667" style="119" customWidth="1"/>
    <col min="6" max="6" width="9" style="118"/>
    <col min="7" max="7" width="16.8833333333333" style="118" customWidth="1"/>
    <col min="8" max="8" width="29.2166666666667" style="118" customWidth="1"/>
    <col min="9" max="9" width="12.3333333333333" style="118" customWidth="1"/>
    <col min="10" max="10" width="3.775" style="118" customWidth="1"/>
    <col min="11" max="11" width="17.2166666666667" style="118" customWidth="1"/>
    <col min="12" max="12" width="16.8833333333333" style="118" customWidth="1"/>
    <col min="13" max="13" width="12.3333333333333" style="120" customWidth="1"/>
    <col min="14" max="14" width="5.775" style="118" customWidth="1"/>
    <col min="15" max="15" width="11.6666666666667" style="118" customWidth="1"/>
    <col min="16" max="16" width="5.775" style="118" customWidth="1"/>
    <col min="17" max="17" width="20.3333333333333" style="118" customWidth="1"/>
    <col min="18" max="18" width="14.8833333333333" style="118" customWidth="1"/>
    <col min="19" max="20" width="13.8833333333333" style="118" customWidth="1"/>
    <col min="21" max="21" width="19" style="118" customWidth="1"/>
    <col min="22" max="22" width="7.44166666666667" style="118" customWidth="1"/>
    <col min="23" max="23" width="19.3333333333333" style="118" customWidth="1"/>
    <col min="24" max="25" width="13.8833333333333" style="118" customWidth="1"/>
    <col min="26" max="26" width="14.8833333333333" style="118" customWidth="1"/>
    <col min="27" max="16384" width="9" style="118"/>
  </cols>
  <sheetData>
    <row r="1" spans="1:15">
      <c r="A1" s="121" t="s">
        <v>16</v>
      </c>
      <c r="B1" s="122"/>
      <c r="C1" s="122"/>
      <c r="D1" s="122"/>
      <c r="E1" s="122"/>
      <c r="F1" s="122"/>
      <c r="G1" s="122"/>
      <c r="H1" s="123"/>
      <c r="M1" s="118"/>
      <c r="O1" s="119"/>
    </row>
    <row r="2" spans="1:15">
      <c r="A2" s="124" t="s">
        <v>7</v>
      </c>
      <c r="B2" s="124" t="s">
        <v>157</v>
      </c>
      <c r="C2" s="124" t="s">
        <v>158</v>
      </c>
      <c r="D2" s="124" t="s">
        <v>159</v>
      </c>
      <c r="E2" s="124" t="s">
        <v>160</v>
      </c>
      <c r="F2" s="124" t="s">
        <v>103</v>
      </c>
      <c r="G2" s="125" t="s">
        <v>161</v>
      </c>
      <c r="H2" s="124" t="s">
        <v>162</v>
      </c>
      <c r="M2" s="118"/>
      <c r="O2" s="119"/>
    </row>
    <row r="3" spans="1:19">
      <c r="A3" s="116" t="s">
        <v>163</v>
      </c>
      <c r="B3" s="116">
        <v>1000</v>
      </c>
      <c r="C3" s="116" t="s">
        <v>164</v>
      </c>
      <c r="D3" s="116">
        <v>1003</v>
      </c>
      <c r="E3" s="126" t="s">
        <v>23</v>
      </c>
      <c r="F3" s="127">
        <v>807.4</v>
      </c>
      <c r="G3" s="128">
        <v>1.4</v>
      </c>
      <c r="H3" s="129">
        <v>0.4</v>
      </c>
      <c r="J3" s="140"/>
      <c r="K3" s="140"/>
      <c r="L3" s="140"/>
      <c r="M3" s="140"/>
      <c r="S3" s="143"/>
    </row>
    <row r="4" spans="1:13">
      <c r="A4" s="116" t="s">
        <v>163</v>
      </c>
      <c r="B4" s="116">
        <v>1000</v>
      </c>
      <c r="C4" s="116" t="s">
        <v>164</v>
      </c>
      <c r="D4" s="116">
        <v>1008</v>
      </c>
      <c r="E4" s="126" t="s">
        <v>24</v>
      </c>
      <c r="F4" s="127">
        <v>640.79</v>
      </c>
      <c r="G4" s="128">
        <v>1.4</v>
      </c>
      <c r="H4" s="129">
        <v>0.4</v>
      </c>
      <c r="I4" s="141"/>
      <c r="J4" s="142"/>
      <c r="K4" s="142"/>
      <c r="M4" s="118"/>
    </row>
    <row r="5" spans="1:13">
      <c r="A5" s="116" t="s">
        <v>163</v>
      </c>
      <c r="B5" s="116">
        <v>1000</v>
      </c>
      <c r="C5" s="116" t="s">
        <v>164</v>
      </c>
      <c r="D5" s="116">
        <v>1009</v>
      </c>
      <c r="E5" s="126" t="s">
        <v>24</v>
      </c>
      <c r="F5" s="127">
        <v>536.86</v>
      </c>
      <c r="G5" s="128">
        <v>1.4</v>
      </c>
      <c r="H5" s="129">
        <v>0.4</v>
      </c>
      <c r="J5" s="142"/>
      <c r="K5" s="142"/>
      <c r="M5" s="118"/>
    </row>
    <row r="6" spans="1:13">
      <c r="A6" s="116" t="s">
        <v>163</v>
      </c>
      <c r="B6" s="116">
        <v>1000</v>
      </c>
      <c r="C6" s="116" t="s">
        <v>164</v>
      </c>
      <c r="D6" s="116">
        <v>1010</v>
      </c>
      <c r="E6" s="126" t="s">
        <v>24</v>
      </c>
      <c r="F6" s="127">
        <v>416.57</v>
      </c>
      <c r="G6" s="128">
        <v>1.4</v>
      </c>
      <c r="H6" s="129">
        <v>0.4</v>
      </c>
      <c r="J6" s="142"/>
      <c r="K6" s="142"/>
      <c r="M6" s="118"/>
    </row>
    <row r="7" spans="1:13">
      <c r="A7" s="116" t="s">
        <v>163</v>
      </c>
      <c r="B7" s="116">
        <v>1000</v>
      </c>
      <c r="C7" s="116" t="s">
        <v>164</v>
      </c>
      <c r="D7" s="116">
        <v>1011</v>
      </c>
      <c r="E7" s="126" t="s">
        <v>24</v>
      </c>
      <c r="F7" s="127">
        <v>361.12</v>
      </c>
      <c r="G7" s="128">
        <v>1.4</v>
      </c>
      <c r="H7" s="129">
        <v>0.4</v>
      </c>
      <c r="J7" s="142"/>
      <c r="K7" s="142"/>
      <c r="M7" s="118"/>
    </row>
    <row r="8" spans="1:13">
      <c r="A8" s="116" t="s">
        <v>163</v>
      </c>
      <c r="B8" s="116">
        <v>2000</v>
      </c>
      <c r="C8" s="116" t="s">
        <v>165</v>
      </c>
      <c r="D8" s="116">
        <v>2005</v>
      </c>
      <c r="E8" s="127" t="s">
        <v>35</v>
      </c>
      <c r="F8" s="127" t="s">
        <v>166</v>
      </c>
      <c r="G8" s="129">
        <v>0.3</v>
      </c>
      <c r="H8" s="129">
        <v>0.15</v>
      </c>
      <c r="M8" s="118"/>
    </row>
    <row r="9" spans="1:13">
      <c r="A9" s="116" t="s">
        <v>163</v>
      </c>
      <c r="B9" s="116">
        <v>2000</v>
      </c>
      <c r="C9" s="116" t="s">
        <v>165</v>
      </c>
      <c r="D9" s="116">
        <v>2006</v>
      </c>
      <c r="E9" s="127" t="s">
        <v>35</v>
      </c>
      <c r="F9" s="127" t="s">
        <v>167</v>
      </c>
      <c r="G9" s="129">
        <v>0.3</v>
      </c>
      <c r="H9" s="129">
        <v>0.15</v>
      </c>
      <c r="M9" s="118"/>
    </row>
    <row r="10" spans="1:13">
      <c r="A10" s="116" t="s">
        <v>163</v>
      </c>
      <c r="B10" s="116">
        <v>2000</v>
      </c>
      <c r="C10" s="116" t="s">
        <v>165</v>
      </c>
      <c r="D10" s="116">
        <v>2007</v>
      </c>
      <c r="E10" s="127" t="s">
        <v>35</v>
      </c>
      <c r="F10" s="127" t="s">
        <v>168</v>
      </c>
      <c r="G10" s="129">
        <v>0.3</v>
      </c>
      <c r="H10" s="129">
        <v>0.15</v>
      </c>
      <c r="M10" s="118"/>
    </row>
    <row r="11" spans="1:13">
      <c r="A11" s="116" t="s">
        <v>163</v>
      </c>
      <c r="B11" s="116">
        <v>2000</v>
      </c>
      <c r="C11" s="116" t="s">
        <v>165</v>
      </c>
      <c r="D11" s="116">
        <v>2008</v>
      </c>
      <c r="E11" s="127" t="s">
        <v>41</v>
      </c>
      <c r="F11" s="127" t="s">
        <v>166</v>
      </c>
      <c r="G11" s="129">
        <v>0.3</v>
      </c>
      <c r="H11" s="129">
        <v>0.15</v>
      </c>
      <c r="M11" s="118"/>
    </row>
    <row r="12" spans="1:13">
      <c r="A12" s="116" t="s">
        <v>163</v>
      </c>
      <c r="B12" s="116">
        <v>2000</v>
      </c>
      <c r="C12" s="116" t="s">
        <v>165</v>
      </c>
      <c r="D12" s="116">
        <v>2009</v>
      </c>
      <c r="E12" s="127" t="s">
        <v>41</v>
      </c>
      <c r="F12" s="127" t="s">
        <v>167</v>
      </c>
      <c r="G12" s="129">
        <v>0.3</v>
      </c>
      <c r="H12" s="129">
        <v>0.15</v>
      </c>
      <c r="M12" s="118"/>
    </row>
    <row r="13" spans="1:13">
      <c r="A13" s="116" t="s">
        <v>163</v>
      </c>
      <c r="B13" s="116">
        <v>2000</v>
      </c>
      <c r="C13" s="116" t="s">
        <v>165</v>
      </c>
      <c r="D13" s="116">
        <v>2010</v>
      </c>
      <c r="E13" s="127" t="s">
        <v>41</v>
      </c>
      <c r="F13" s="127" t="s">
        <v>168</v>
      </c>
      <c r="G13" s="129">
        <v>0.3</v>
      </c>
      <c r="H13" s="129">
        <v>0.15</v>
      </c>
      <c r="M13" s="118"/>
    </row>
    <row r="14" spans="1:13">
      <c r="A14" s="116" t="s">
        <v>163</v>
      </c>
      <c r="B14" s="116">
        <v>2000</v>
      </c>
      <c r="C14" s="116" t="s">
        <v>165</v>
      </c>
      <c r="D14" s="116">
        <v>2011</v>
      </c>
      <c r="E14" s="127" t="s">
        <v>43</v>
      </c>
      <c r="F14" s="127" t="s">
        <v>166</v>
      </c>
      <c r="G14" s="129">
        <v>0.3</v>
      </c>
      <c r="H14" s="129">
        <v>0.15</v>
      </c>
      <c r="M14" s="118"/>
    </row>
    <row r="15" spans="1:13">
      <c r="A15" s="116" t="s">
        <v>163</v>
      </c>
      <c r="B15" s="116">
        <v>2000</v>
      </c>
      <c r="C15" s="116" t="s">
        <v>165</v>
      </c>
      <c r="D15" s="116">
        <v>2012</v>
      </c>
      <c r="E15" s="127" t="s">
        <v>43</v>
      </c>
      <c r="F15" s="127" t="s">
        <v>167</v>
      </c>
      <c r="G15" s="129">
        <v>0.3</v>
      </c>
      <c r="H15" s="129">
        <v>0.15</v>
      </c>
      <c r="M15" s="118"/>
    </row>
    <row r="16" spans="1:13">
      <c r="A16" s="116" t="s">
        <v>163</v>
      </c>
      <c r="B16" s="116">
        <v>2000</v>
      </c>
      <c r="C16" s="116" t="s">
        <v>165</v>
      </c>
      <c r="D16" s="116">
        <v>2013</v>
      </c>
      <c r="E16" s="127" t="s">
        <v>43</v>
      </c>
      <c r="F16" s="127" t="s">
        <v>168</v>
      </c>
      <c r="G16" s="129">
        <v>0.3</v>
      </c>
      <c r="H16" s="129">
        <v>0.15</v>
      </c>
      <c r="M16" s="118"/>
    </row>
    <row r="17" spans="1:13">
      <c r="A17" s="116" t="s">
        <v>163</v>
      </c>
      <c r="B17" s="116">
        <v>3000</v>
      </c>
      <c r="C17" s="116" t="s">
        <v>169</v>
      </c>
      <c r="D17" s="116">
        <v>3002</v>
      </c>
      <c r="E17" s="130" t="s">
        <v>48</v>
      </c>
      <c r="F17" s="131" t="s">
        <v>46</v>
      </c>
      <c r="G17" s="132">
        <v>0.05</v>
      </c>
      <c r="H17" s="116"/>
      <c r="M17" s="118"/>
    </row>
    <row r="18" spans="1:13">
      <c r="A18" s="116" t="s">
        <v>163</v>
      </c>
      <c r="B18" s="116">
        <v>4000</v>
      </c>
      <c r="C18" s="116" t="s">
        <v>170</v>
      </c>
      <c r="D18" s="116">
        <v>4001</v>
      </c>
      <c r="E18" s="130" t="s">
        <v>50</v>
      </c>
      <c r="F18" s="116"/>
      <c r="G18" s="129">
        <v>0.002</v>
      </c>
      <c r="H18" s="116"/>
      <c r="M18" s="118"/>
    </row>
    <row r="19" spans="1:13">
      <c r="A19" s="116" t="s">
        <v>163</v>
      </c>
      <c r="B19" s="116">
        <v>5000</v>
      </c>
      <c r="C19" s="116" t="s">
        <v>171</v>
      </c>
      <c r="D19" s="116">
        <v>5001</v>
      </c>
      <c r="E19" s="130" t="s">
        <v>53</v>
      </c>
      <c r="F19" s="116"/>
      <c r="G19" s="133">
        <v>0.5</v>
      </c>
      <c r="H19" s="116"/>
      <c r="M19" s="118"/>
    </row>
    <row r="20" spans="1:13">
      <c r="A20" s="116" t="s">
        <v>163</v>
      </c>
      <c r="B20" s="116">
        <v>7000</v>
      </c>
      <c r="C20" s="116" t="s">
        <v>172</v>
      </c>
      <c r="D20" s="116">
        <v>7001</v>
      </c>
      <c r="E20" s="129" t="s">
        <v>173</v>
      </c>
      <c r="F20" s="134">
        <v>500</v>
      </c>
      <c r="G20" s="135">
        <v>0.15</v>
      </c>
      <c r="H20" s="116"/>
      <c r="M20" s="118"/>
    </row>
    <row r="21" spans="1:13">
      <c r="A21" s="116" t="s">
        <v>163</v>
      </c>
      <c r="B21" s="116">
        <v>7000</v>
      </c>
      <c r="C21" s="116" t="s">
        <v>172</v>
      </c>
      <c r="D21" s="116">
        <v>7002</v>
      </c>
      <c r="E21" s="129" t="s">
        <v>174</v>
      </c>
      <c r="F21" s="134">
        <v>500</v>
      </c>
      <c r="G21" s="136">
        <v>0.05</v>
      </c>
      <c r="H21" s="116"/>
      <c r="M21" s="118"/>
    </row>
    <row r="22" spans="1:13">
      <c r="A22" s="116" t="s">
        <v>163</v>
      </c>
      <c r="B22" s="116">
        <v>8000</v>
      </c>
      <c r="C22" s="116" t="s">
        <v>175</v>
      </c>
      <c r="D22" s="116">
        <v>8001</v>
      </c>
      <c r="E22" s="129" t="s">
        <v>176</v>
      </c>
      <c r="F22" s="134">
        <v>1090</v>
      </c>
      <c r="G22" s="137">
        <v>1</v>
      </c>
      <c r="H22" s="116"/>
      <c r="M22" s="118"/>
    </row>
    <row r="23" spans="1:13">
      <c r="A23" s="116" t="s">
        <v>163</v>
      </c>
      <c r="B23" s="116">
        <v>8000</v>
      </c>
      <c r="C23" s="116" t="s">
        <v>175</v>
      </c>
      <c r="D23" s="116">
        <v>8002</v>
      </c>
      <c r="E23" s="129" t="s">
        <v>177</v>
      </c>
      <c r="F23" s="134">
        <v>1090</v>
      </c>
      <c r="G23" s="135">
        <v>0.3</v>
      </c>
      <c r="H23" s="116"/>
      <c r="M23" s="118"/>
    </row>
    <row r="24" spans="1:13">
      <c r="A24" s="116" t="s">
        <v>163</v>
      </c>
      <c r="B24" s="116">
        <v>8000</v>
      </c>
      <c r="C24" s="116" t="s">
        <v>175</v>
      </c>
      <c r="D24" s="116">
        <v>8003</v>
      </c>
      <c r="E24" s="129" t="s">
        <v>178</v>
      </c>
      <c r="F24" s="134">
        <v>200</v>
      </c>
      <c r="G24" s="137">
        <v>1</v>
      </c>
      <c r="H24" s="116"/>
      <c r="M24" s="118"/>
    </row>
    <row r="25" spans="1:13">
      <c r="A25" s="116" t="s">
        <v>163</v>
      </c>
      <c r="B25" s="117">
        <v>8000</v>
      </c>
      <c r="C25" s="117" t="s">
        <v>175</v>
      </c>
      <c r="D25" s="117">
        <v>8004</v>
      </c>
      <c r="E25" s="138" t="s">
        <v>179</v>
      </c>
      <c r="F25" s="134">
        <v>200</v>
      </c>
      <c r="G25" s="135">
        <v>0.3</v>
      </c>
      <c r="H25" s="117"/>
      <c r="M25" s="118"/>
    </row>
    <row r="26" spans="1:13">
      <c r="A26" s="116" t="s">
        <v>163</v>
      </c>
      <c r="B26" s="117">
        <v>9000</v>
      </c>
      <c r="C26" s="117" t="s">
        <v>180</v>
      </c>
      <c r="D26" s="117">
        <v>9001</v>
      </c>
      <c r="E26" s="130" t="s">
        <v>180</v>
      </c>
      <c r="F26" s="138" t="s">
        <v>181</v>
      </c>
      <c r="G26" s="139">
        <v>0.2</v>
      </c>
      <c r="H26" s="117"/>
      <c r="M26" s="118"/>
    </row>
  </sheetData>
  <mergeCells count="1">
    <mergeCell ref="A1:H1"/>
  </mergeCells>
  <pageMargins left="0.7" right="0.7" top="0.75" bottom="0.75" header="0.3" footer="0.3"/>
  <pageSetup paperSize="9" firstPageNumber="4294963191" orientation="portrait" useFirstPageNumb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C8" sqref="C8"/>
    </sheetView>
  </sheetViews>
  <sheetFormatPr defaultColWidth="9" defaultRowHeight="13.5" outlineLevelCol="4"/>
  <cols>
    <col min="1" max="1" width="10.1083333333333" style="113" customWidth="1"/>
    <col min="2" max="2" width="12.4416666666667" style="88" customWidth="1"/>
    <col min="4" max="4" width="29.2166666666667" customWidth="1"/>
    <col min="5" max="5" width="12.3333333333333" customWidth="1"/>
    <col min="6" max="6" width="9" customWidth="1"/>
  </cols>
  <sheetData>
    <row r="1" spans="1:5">
      <c r="A1" s="114" t="s">
        <v>8</v>
      </c>
      <c r="B1" s="106" t="s">
        <v>7</v>
      </c>
      <c r="D1" s="9" t="s">
        <v>158</v>
      </c>
      <c r="E1" s="9" t="s">
        <v>157</v>
      </c>
    </row>
    <row r="2" spans="1:5">
      <c r="A2" s="115" t="s">
        <v>182</v>
      </c>
      <c r="B2" s="83" t="s">
        <v>183</v>
      </c>
      <c r="D2" s="116" t="s">
        <v>164</v>
      </c>
      <c r="E2" s="116">
        <v>1000</v>
      </c>
    </row>
    <row r="3" spans="1:5">
      <c r="A3" s="115" t="s">
        <v>184</v>
      </c>
      <c r="B3" s="83" t="s">
        <v>185</v>
      </c>
      <c r="D3" s="116" t="s">
        <v>165</v>
      </c>
      <c r="E3" s="116">
        <v>2000</v>
      </c>
    </row>
    <row r="4" spans="1:5">
      <c r="A4" s="115" t="s">
        <v>186</v>
      </c>
      <c r="B4" s="83" t="s">
        <v>187</v>
      </c>
      <c r="D4" s="116" t="s">
        <v>169</v>
      </c>
      <c r="E4" s="116">
        <v>3000</v>
      </c>
    </row>
    <row r="5" spans="1:5">
      <c r="A5" s="115" t="s">
        <v>188</v>
      </c>
      <c r="B5" s="83" t="s">
        <v>189</v>
      </c>
      <c r="D5" s="116" t="s">
        <v>170</v>
      </c>
      <c r="E5" s="116">
        <v>4000</v>
      </c>
    </row>
    <row r="6" spans="4:5">
      <c r="D6" s="116" t="s">
        <v>171</v>
      </c>
      <c r="E6" s="116">
        <v>5000</v>
      </c>
    </row>
    <row r="7" spans="4:5">
      <c r="D7" s="116" t="s">
        <v>190</v>
      </c>
      <c r="E7" s="116">
        <v>6000</v>
      </c>
    </row>
    <row r="8" spans="4:5">
      <c r="D8" s="116" t="s">
        <v>172</v>
      </c>
      <c r="E8" s="116">
        <v>7000</v>
      </c>
    </row>
    <row r="9" spans="4:5">
      <c r="D9" s="117" t="s">
        <v>175</v>
      </c>
      <c r="E9" s="117">
        <v>8000</v>
      </c>
    </row>
    <row r="10" spans="4:5">
      <c r="D10" s="117" t="s">
        <v>180</v>
      </c>
      <c r="E10" s="117">
        <v>9000</v>
      </c>
    </row>
  </sheetData>
  <sortState ref="A4:A5">
    <sortCondition ref="A3:A5"/>
  </sortState>
  <pageMargins left="0.7" right="0.7" top="0.75" bottom="0.75" header="0.3" footer="0.3"/>
  <pageSetup paperSize="9" firstPageNumber="4294963191" orientation="portrait" useFirstPageNumber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2"/>
  <sheetViews>
    <sheetView showGridLines="0" zoomScale="66" zoomScaleNormal="66" workbookViewId="0">
      <selection activeCell="Q2" sqref="Q2"/>
    </sheetView>
  </sheetViews>
  <sheetFormatPr defaultColWidth="8.88333333333333" defaultRowHeight="13.5"/>
  <cols>
    <col min="1" max="1" width="29.2166666666667" style="98" customWidth="1"/>
    <col min="2" max="2" width="18.3333333333333" style="99" customWidth="1"/>
    <col min="3" max="3" width="21.4416666666667" style="99" customWidth="1"/>
    <col min="4" max="4" width="40" style="99" customWidth="1"/>
    <col min="5" max="5" width="46.4416666666667" style="99" customWidth="1"/>
    <col min="6" max="6" width="8.88333333333333" style="99"/>
    <col min="7" max="7" width="10.4416666666667" style="99" customWidth="1"/>
    <col min="8" max="8" width="20.1083333333333" style="99" customWidth="1"/>
    <col min="9" max="9" width="79.4416666666667" style="99" hidden="1" customWidth="1"/>
    <col min="10" max="10" width="15.3333333333333" style="99" customWidth="1"/>
    <col min="11" max="11" width="11.4416666666667" style="99" customWidth="1"/>
    <col min="12" max="12" width="9.66666666666667" style="99" customWidth="1"/>
    <col min="13" max="13" width="8.44166666666667" style="99" customWidth="1"/>
    <col min="14" max="14" width="9.88333333333333" style="99" customWidth="1"/>
    <col min="15" max="15" width="10" style="99" customWidth="1"/>
    <col min="16" max="16" width="9.66666666666667" style="99" customWidth="1"/>
    <col min="17" max="17" width="8.44166666666667" style="99" customWidth="1"/>
    <col min="18" max="18" width="9.10833333333333" style="99" customWidth="1"/>
    <col min="19" max="19" width="9.44166666666667" style="99" customWidth="1"/>
    <col min="20" max="21" width="9.66666666666667" style="99" customWidth="1"/>
    <col min="22" max="22" width="18" style="99" customWidth="1"/>
    <col min="23" max="23" width="12.3333333333333" style="99" customWidth="1"/>
    <col min="24" max="24" width="18.4416666666667" style="99" customWidth="1"/>
    <col min="25" max="25" width="19.3333333333333" style="99" customWidth="1"/>
    <col min="26" max="26" width="15.1083333333333" style="100" customWidth="1"/>
    <col min="27" max="27" width="11.6666666666667" style="100" customWidth="1"/>
    <col min="28" max="28" width="17.2166666666667" style="101" customWidth="1"/>
    <col min="29" max="16384" width="8.88333333333333" style="99"/>
  </cols>
  <sheetData>
    <row r="1" s="97" customFormat="1" ht="40.5" spans="1:28">
      <c r="A1" s="102" t="s">
        <v>191</v>
      </c>
      <c r="B1" s="102" t="s">
        <v>192</v>
      </c>
      <c r="C1" s="102" t="s">
        <v>193</v>
      </c>
      <c r="D1" s="102" t="s">
        <v>194</v>
      </c>
      <c r="E1" s="102" t="s">
        <v>195</v>
      </c>
      <c r="F1" s="102" t="s">
        <v>111</v>
      </c>
      <c r="G1" s="102" t="s">
        <v>196</v>
      </c>
      <c r="H1" s="102" t="s">
        <v>103</v>
      </c>
      <c r="I1" s="106" t="s">
        <v>197</v>
      </c>
      <c r="J1" s="102" t="s">
        <v>197</v>
      </c>
      <c r="K1" s="107" t="s">
        <v>106</v>
      </c>
      <c r="L1" s="107" t="s">
        <v>198</v>
      </c>
      <c r="M1" s="107" t="s">
        <v>109</v>
      </c>
      <c r="N1" s="107" t="s">
        <v>199</v>
      </c>
      <c r="O1" s="107" t="s">
        <v>200</v>
      </c>
      <c r="P1" s="107" t="s">
        <v>201</v>
      </c>
      <c r="Q1" s="107" t="s">
        <v>114</v>
      </c>
      <c r="R1" s="107" t="s">
        <v>202</v>
      </c>
      <c r="S1" s="107" t="s">
        <v>203</v>
      </c>
      <c r="T1" s="107" t="s">
        <v>204</v>
      </c>
      <c r="U1" s="107" t="s">
        <v>115</v>
      </c>
      <c r="V1" s="102" t="s">
        <v>105</v>
      </c>
      <c r="W1" s="102" t="s">
        <v>205</v>
      </c>
      <c r="X1" s="102" t="s">
        <v>206</v>
      </c>
      <c r="Y1" s="102" t="s">
        <v>207</v>
      </c>
      <c r="Z1" s="102" t="s">
        <v>157</v>
      </c>
      <c r="AA1" s="102" t="s">
        <v>159</v>
      </c>
      <c r="AB1" s="110" t="s">
        <v>104</v>
      </c>
    </row>
    <row r="2" ht="46.5" customHeight="1" spans="1:28">
      <c r="A2" s="103" t="s">
        <v>164</v>
      </c>
      <c r="B2" s="103" t="s">
        <v>23</v>
      </c>
      <c r="C2" s="103"/>
      <c r="D2" s="103" t="str">
        <f>IF(L2="","",字段对应!$B$10&amp;"="&amp;VLOOKUP(L2,基础信息!$I$2:$J$6,2,0)&amp;";")&amp;IF(M2="","",字段对应!$B$11&amp;"="&amp;VLOOKUP(M2,基础信息!$K$2:$L$6,2,0)&amp;";")&amp;IF(N2="","",字段对应!$C$2&amp;"="&amp;N2&amp;","&amp;O2&amp;","&amp;P2&amp;";")&amp;IF(Q2="","",字段对应!$B$13&amp;"="&amp;Q2&amp;";")&amp;IF(R2="","",字段对应!$B$14&amp;"="&amp;R2&amp;";")&amp;IF(U2="","",字段对应!$B$22&amp;"="&amp;U2&amp;";")&amp;IF(K2="","",字段对应!$B$21&amp;"="&amp;VLOOKUP(K2,基础信息!$F$2:$G$4,2,0))</f>
        <v>PhotoMode=0;ScanSpeed=2;WlRange=810,800,0.2;LampPos=0</v>
      </c>
      <c r="E2" s="103" t="str">
        <f>IF(W2="","",检测项信息!W2&amp;":"&amp;字段对应!$B$16&amp;"|")&amp;IF(X2="","",X2&amp;":"&amp;IF(V2="是",字段对应!$C$17,字段对应!$B$17&amp;";"&amp;IF(H2="","",字段对应!$B$15&amp;"="&amp;检测项信息!H2))&amp;"|")&amp;IF(Y2="",":",Y2&amp;":")&amp;IF(V2="是",字段对应!$C$18,字段对应!$B$18&amp;";"&amp;IF(H2="","",字段对应!$B$15&amp;"="&amp;检测项信息!H2)&amp;IF(AND(T2="",S2=""),"",";"&amp;字段对应!$B$20&amp;"="&amp;T2&amp;";"&amp;字段对应!$B$19&amp;"="&amp;S2))</f>
        <v>黑挡块:Dark|空气:BaseLine|镨钕滤光片:Scan</v>
      </c>
      <c r="F2" s="103">
        <v>3</v>
      </c>
      <c r="G2" s="103">
        <v>1</v>
      </c>
      <c r="H2" s="103" t="s">
        <v>208</v>
      </c>
      <c r="I2" s="103" t="str">
        <f>VLOOKUP(J2,字段对应!$D$2:$E$8,2,0)</f>
        <v>Validation.ViewModel.DataStructure.FindPeakAndAverageUVTestTool</v>
      </c>
      <c r="J2" s="103" t="s">
        <v>209</v>
      </c>
      <c r="K2" s="108" t="s">
        <v>118</v>
      </c>
      <c r="L2" s="108" t="s">
        <v>119</v>
      </c>
      <c r="M2" s="108" t="s">
        <v>130</v>
      </c>
      <c r="N2" s="108">
        <v>810</v>
      </c>
      <c r="O2" s="108">
        <v>800</v>
      </c>
      <c r="P2" s="108">
        <v>0.2</v>
      </c>
      <c r="Q2" s="108"/>
      <c r="R2" s="108"/>
      <c r="S2" s="108"/>
      <c r="T2" s="108"/>
      <c r="U2" s="108"/>
      <c r="V2" s="103" t="s">
        <v>117</v>
      </c>
      <c r="W2" s="103" t="s">
        <v>210</v>
      </c>
      <c r="X2" s="103" t="s">
        <v>211</v>
      </c>
      <c r="Y2" s="103" t="s">
        <v>23</v>
      </c>
      <c r="Z2" s="103">
        <f>VLOOKUP(A2,对应信息!$D$2:$E$10,2,0)</f>
        <v>1000</v>
      </c>
      <c r="AA2" s="103">
        <f>IF(Z1=Z2,AA1+1,Z2+1)</f>
        <v>1001</v>
      </c>
      <c r="AB2" s="111"/>
    </row>
    <row r="3" ht="44.25" customHeight="1" spans="1:28">
      <c r="A3" s="103" t="s">
        <v>164</v>
      </c>
      <c r="B3" s="104" t="s">
        <v>24</v>
      </c>
      <c r="C3" s="103"/>
      <c r="D3" s="103" t="str">
        <f>IF(L3="","",字段对应!$B$10&amp;"="&amp;VLOOKUP(L3,基础信息!$I$2:$J$6,2,0)&amp;";")&amp;IF(M3="","",字段对应!$B$11&amp;"="&amp;VLOOKUP(M3,基础信息!$K$2:$L$6,2,0)&amp;";")&amp;IF(N3="","",字段对应!$C$2&amp;"="&amp;N3&amp;","&amp;O3&amp;","&amp;P3&amp;";")&amp;IF(Q3="","",字段对应!$B$13&amp;"="&amp;Q3&amp;";")&amp;IF(R3="","",字段对应!$B$14&amp;"="&amp;R3&amp;";")&amp;IF(U3="","",字段对应!$B$22&amp;"="&amp;U3&amp;";")&amp;IF(K3="","",字段对应!$B$21&amp;"="&amp;VLOOKUP(K3,基础信息!$F$2:$G$4,2,0))</f>
        <v>PhotoMode=0;ScanSpeed=1;WlRange=645,335,0.2;</v>
      </c>
      <c r="E3" s="103" t="str">
        <f>IF(W3="","",检测项信息!W3&amp;":"&amp;字段对应!$B$16&amp;"|")&amp;IF(X3="","",X3&amp;":"&amp;IF(V3="是",字段对应!$C$17,字段对应!$B$17&amp;";"&amp;IF(H3="","",字段对应!$B$15&amp;"="&amp;检测项信息!H3))&amp;"|")&amp;IF(Y3="",":",Y3&amp;":")&amp;IF(V3="是",字段对应!$C$18,字段对应!$B$18&amp;";"&amp;IF(H3="","",字段对应!$B$15&amp;"="&amp;检测项信息!H3)&amp;IF(AND(T3="",S3=""),"",";"&amp;字段对应!$B$20&amp;"="&amp;T3&amp;";"&amp;字段对应!$B$19&amp;"="&amp;S3))</f>
        <v>黑挡块:Dark|空气:BaseLine|钬溶液:Scan</v>
      </c>
      <c r="F3" s="103">
        <v>3</v>
      </c>
      <c r="G3" s="103">
        <v>1</v>
      </c>
      <c r="H3" s="104" t="s">
        <v>212</v>
      </c>
      <c r="I3" s="103" t="str">
        <f>VLOOKUP(J3,字段对应!$D$2:$E$8,2,0)</f>
        <v>Validation.ViewModel.DataStructure.FindPeakAndAverageUVTestTool</v>
      </c>
      <c r="J3" s="103" t="s">
        <v>209</v>
      </c>
      <c r="K3" s="109"/>
      <c r="L3" s="108" t="s">
        <v>119</v>
      </c>
      <c r="M3" s="108" t="s">
        <v>125</v>
      </c>
      <c r="N3" s="108">
        <v>645</v>
      </c>
      <c r="O3" s="108">
        <v>335</v>
      </c>
      <c r="P3" s="108">
        <v>0.2</v>
      </c>
      <c r="Q3" s="108"/>
      <c r="R3" s="108"/>
      <c r="S3" s="108"/>
      <c r="T3" s="108"/>
      <c r="U3" s="108"/>
      <c r="V3" s="103" t="s">
        <v>117</v>
      </c>
      <c r="W3" s="103" t="s">
        <v>210</v>
      </c>
      <c r="X3" s="103" t="s">
        <v>211</v>
      </c>
      <c r="Y3" s="103" t="s">
        <v>24</v>
      </c>
      <c r="Z3" s="103">
        <f>VLOOKUP(A3,对应信息!$D$2:$E$10,2,0)</f>
        <v>1000</v>
      </c>
      <c r="AA3" s="103">
        <f t="shared" ref="AA3:AA16" si="0">IF(Z2=Z3,AA2+1,Z3+1)</f>
        <v>1002</v>
      </c>
      <c r="AB3" s="111"/>
    </row>
    <row r="4" ht="27" spans="1:28">
      <c r="A4" s="103" t="s">
        <v>170</v>
      </c>
      <c r="B4" s="104" t="s">
        <v>50</v>
      </c>
      <c r="C4" s="103"/>
      <c r="D4" s="103" t="str">
        <f>IF(L4="","",字段对应!$B$10&amp;"="&amp;VLOOKUP(L4,基础信息!$I$2:$J$6,2,0)&amp;";")&amp;IF(M4="","",字段对应!$B$11&amp;"="&amp;VLOOKUP(M4,基础信息!$K$2:$L$6,2,0)&amp;";")&amp;IF(N4="","",字段对应!$C$2&amp;"="&amp;N4&amp;","&amp;O4&amp;","&amp;P4&amp;";")&amp;IF(Q4="","",字段对应!$B$13&amp;"="&amp;Q4&amp;";")&amp;IF(R4="","",字段对应!$B$14&amp;"="&amp;R4&amp;";")&amp;IF(U4="","",字段对应!$B$22&amp;"="&amp;U4&amp;";")&amp;IF(K4="","",字段对应!$B$21&amp;"="&amp;VLOOKUP(K4,基础信息!$F$2:$G$4,2,0))</f>
        <v>PhotoMode=0;ScanSpeed=2;WlRange=1090,335,1;</v>
      </c>
      <c r="E4" s="103" t="str">
        <f>IF(W4="","",检测项信息!W4&amp;":"&amp;字段对应!$B$16&amp;"|")&amp;IF(X4="","",X4&amp;":"&amp;IF(V4="是",字段对应!$C$17,字段对应!$B$17&amp;";"&amp;IF(H4="","",字段对应!$B$15&amp;"="&amp;检测项信息!H4))&amp;"|")&amp;IF(Y4="",":",Y4&amp;":")&amp;IF(V4="是",字段对应!$C$18,字段对应!$B$18&amp;";"&amp;IF(H4="","",字段对应!$B$15&amp;"="&amp;检测项信息!H4)&amp;IF(AND(T4="",S4=""),"",";"&amp;字段对应!$B$20&amp;"="&amp;T4&amp;";"&amp;字段对应!$B$19&amp;"="&amp;S4))</f>
        <v>黑挡块:Dark|空气:BaseLine|空气:Scan</v>
      </c>
      <c r="F4" s="103">
        <v>1</v>
      </c>
      <c r="G4" s="103"/>
      <c r="H4" s="103"/>
      <c r="I4" s="103" t="str">
        <f>VLOOKUP(J4,字段对应!$D$2:$E$8,2,0)</f>
        <v>Validation.ViewModel.DataStructure.GetMaxDIstanceUVTestTool</v>
      </c>
      <c r="J4" s="103" t="s">
        <v>213</v>
      </c>
      <c r="K4" s="108"/>
      <c r="L4" s="108" t="s">
        <v>119</v>
      </c>
      <c r="M4" s="108" t="s">
        <v>130</v>
      </c>
      <c r="N4" s="108">
        <v>1090</v>
      </c>
      <c r="O4" s="108">
        <v>335</v>
      </c>
      <c r="P4" s="108">
        <v>1</v>
      </c>
      <c r="Q4" s="108"/>
      <c r="R4" s="108"/>
      <c r="S4" s="108"/>
      <c r="T4" s="108"/>
      <c r="U4" s="108"/>
      <c r="V4" s="103" t="s">
        <v>117</v>
      </c>
      <c r="W4" s="103" t="s">
        <v>210</v>
      </c>
      <c r="X4" s="103" t="s">
        <v>211</v>
      </c>
      <c r="Y4" s="103" t="s">
        <v>211</v>
      </c>
      <c r="Z4" s="103">
        <f>VLOOKUP(A4,对应信息!$D$2:$E$10,2,0)</f>
        <v>4000</v>
      </c>
      <c r="AA4" s="103">
        <f t="shared" si="0"/>
        <v>4001</v>
      </c>
      <c r="AB4" s="111"/>
    </row>
    <row r="5" ht="37.5" customHeight="1" spans="1:28">
      <c r="A5" s="103" t="s">
        <v>171</v>
      </c>
      <c r="B5" s="104" t="s">
        <v>53</v>
      </c>
      <c r="C5" s="103"/>
      <c r="D5" s="103" t="str">
        <f>IF(L5="","",字段对应!$B$10&amp;"="&amp;VLOOKUP(L5,基础信息!$I$2:$J$6,2,0)&amp;";")&amp;IF(M5="","",字段对应!$B$11&amp;"="&amp;VLOOKUP(M5,基础信息!$K$2:$L$6,2,0)&amp;";")&amp;IF(N5="","",字段对应!$C$2&amp;"="&amp;N5&amp;","&amp;O5&amp;","&amp;P5&amp;";")&amp;IF(Q5="","",字段对应!$B$13&amp;"="&amp;Q5&amp;";")&amp;IF(R5="","",字段对应!$B$14&amp;"="&amp;R5&amp;";")&amp;IF(U5="","",字段对应!$B$22&amp;"="&amp;U5&amp;";")&amp;IF(K5="","",字段对应!$B$21&amp;"="&amp;VLOOKUP(K5,基础信息!$F$2:$G$4,2,0))</f>
        <v>PhotoMode=1;ScanSpeed=2;WlRange=1090,335,1;</v>
      </c>
      <c r="E5" s="103" t="str">
        <f>IF(W5="","",检测项信息!W5&amp;":"&amp;字段对应!$B$16&amp;"|")&amp;IF(X5="","",X5&amp;":"&amp;IF(V5="是",字段对应!$C$17,字段对应!$B$17&amp;";"&amp;IF(H5="","",字段对应!$B$15&amp;"="&amp;检测项信息!H5))&amp;"|")&amp;IF(Y5="",":",Y5&amp;":")&amp;IF(V5="是",字段对应!$C$18,字段对应!$B$18&amp;";"&amp;IF(H5="","",字段对应!$B$15&amp;"="&amp;检测项信息!H5)&amp;IF(AND(T5="",S5=""),"",";"&amp;字段对应!$B$20&amp;"="&amp;T5&amp;";"&amp;字段对应!$B$19&amp;"="&amp;S5))</f>
        <v>黑挡块:Dark|空气:BaseLine|黑挡块:Scan</v>
      </c>
      <c r="F5" s="103">
        <v>1</v>
      </c>
      <c r="G5" s="103"/>
      <c r="H5" s="103"/>
      <c r="I5" s="103" t="str">
        <f>VLOOKUP(J5,字段对应!$D$2:$E$8,2,0)</f>
        <v>Validation.ViewModel.DataStructure.GetMaxDIstanceUVTestTool</v>
      </c>
      <c r="J5" s="103" t="s">
        <v>213</v>
      </c>
      <c r="K5" s="108"/>
      <c r="L5" s="108" t="s">
        <v>124</v>
      </c>
      <c r="M5" s="108" t="s">
        <v>130</v>
      </c>
      <c r="N5" s="108">
        <v>1090</v>
      </c>
      <c r="O5" s="108">
        <v>335</v>
      </c>
      <c r="P5" s="108">
        <v>1</v>
      </c>
      <c r="Q5" s="108"/>
      <c r="R5" s="108"/>
      <c r="S5" s="108"/>
      <c r="T5" s="108"/>
      <c r="U5" s="108"/>
      <c r="V5" s="103" t="s">
        <v>117</v>
      </c>
      <c r="W5" s="103" t="s">
        <v>210</v>
      </c>
      <c r="X5" s="103" t="s">
        <v>211</v>
      </c>
      <c r="Y5" s="104" t="s">
        <v>210</v>
      </c>
      <c r="Z5" s="103">
        <f>VLOOKUP(A5,对应信息!$D$2:$E$10,2,0)</f>
        <v>5000</v>
      </c>
      <c r="AA5" s="103">
        <f t="shared" si="0"/>
        <v>5001</v>
      </c>
      <c r="AB5" s="111"/>
    </row>
    <row r="6" ht="51" customHeight="1" spans="1:28">
      <c r="A6" s="103" t="s">
        <v>172</v>
      </c>
      <c r="B6" s="103" t="s">
        <v>173</v>
      </c>
      <c r="C6" s="103"/>
      <c r="D6" s="103" t="str">
        <f>IF(L6="","",字段对应!$B$10&amp;"="&amp;VLOOKUP(L6,基础信息!$I$2:$J$6,2,0)&amp;";")&amp;IF(M6="","",字段对应!$B$11&amp;"="&amp;VLOOKUP(M6,基础信息!$K$2:$L$6,2,0)&amp;";")&amp;IF(N6="","",字段对应!$C$2&amp;"="&amp;N6&amp;","&amp;O6&amp;","&amp;P6&amp;";")&amp;IF(Q6="","",字段对应!$B$13&amp;"="&amp;Q6&amp;";")&amp;IF(R6="","",字段对应!$B$14&amp;"="&amp;R6&amp;";")&amp;IF(U6="","",字段对应!$B$22&amp;"="&amp;U6&amp;";")&amp;IF(K6="","",字段对应!$B$21&amp;"="&amp;VLOOKUP(K6,基础信息!$F$2:$G$4,2,0))</f>
        <v>PhotoMode=1;ScanSpeed=1;ResponseTime=0.5;</v>
      </c>
      <c r="E6" s="103" t="str">
        <f>IF(W6="","",检测项信息!W6&amp;":"&amp;字段对应!$B$16&amp;"|")&amp;IF(X6="","",X6&amp;":"&amp;IF(V6="是",字段对应!$C$17,字段对应!$B$17&amp;";"&amp;IF(H6="","",字段对应!$B$15&amp;"="&amp;检测项信息!H6))&amp;"|")&amp;IF(Y6="",":",Y6&amp;":")&amp;IF(V6="是",字段对应!$C$18,字段对应!$B$18&amp;";"&amp;IF(H6="","",字段对应!$B$15&amp;"="&amp;检测项信息!H6)&amp;IF(AND(T6="",S6=""),"",";"&amp;字段对应!$B$20&amp;"="&amp;T6&amp;";"&amp;字段对应!$B$19&amp;"="&amp;S6))</f>
        <v>黑挡块:Dark|空气:Zero;Wl=500|空气:Measure;Wl=500;totalcount=120;timeinterval=1</v>
      </c>
      <c r="F6" s="103">
        <v>1</v>
      </c>
      <c r="G6" s="103"/>
      <c r="H6" s="103">
        <v>500</v>
      </c>
      <c r="I6" s="103" t="str">
        <f>VLOOKUP(J6,字段对应!$D$2:$E$8,2,0)</f>
        <v>Validation.ViewModel.DataStructure.FindMaxOffsetUVTestTool</v>
      </c>
      <c r="J6" s="103" t="s">
        <v>214</v>
      </c>
      <c r="K6" s="108"/>
      <c r="L6" s="108" t="s">
        <v>124</v>
      </c>
      <c r="M6" s="108" t="s">
        <v>125</v>
      </c>
      <c r="N6" s="108"/>
      <c r="O6" s="108"/>
      <c r="P6" s="108"/>
      <c r="Q6" s="108"/>
      <c r="R6" s="108"/>
      <c r="S6" s="108">
        <v>1</v>
      </c>
      <c r="T6" s="108">
        <v>120</v>
      </c>
      <c r="U6" s="108">
        <v>0.5</v>
      </c>
      <c r="V6" s="103" t="s">
        <v>122</v>
      </c>
      <c r="W6" s="103" t="s">
        <v>210</v>
      </c>
      <c r="X6" s="103" t="s">
        <v>211</v>
      </c>
      <c r="Y6" s="103" t="s">
        <v>211</v>
      </c>
      <c r="Z6" s="103">
        <f>VLOOKUP(A6,对应信息!$D$2:$E$10,2,0)</f>
        <v>7000</v>
      </c>
      <c r="AA6" s="103">
        <f t="shared" si="0"/>
        <v>7001</v>
      </c>
      <c r="AB6" s="111"/>
    </row>
    <row r="7" ht="40.5" spans="1:28">
      <c r="A7" s="103" t="s">
        <v>172</v>
      </c>
      <c r="B7" s="103" t="s">
        <v>174</v>
      </c>
      <c r="C7" s="103"/>
      <c r="D7" s="103" t="str">
        <f>IF(L7="","",字段对应!$B$10&amp;"="&amp;VLOOKUP(L7,基础信息!$I$2:$J$6,2,0)&amp;";")&amp;IF(M7="","",字段对应!$B$11&amp;"="&amp;VLOOKUP(M7,基础信息!$K$2:$L$6,2,0)&amp;";")&amp;IF(N7="","",字段对应!$C$2&amp;"="&amp;N7&amp;","&amp;O7&amp;","&amp;P7&amp;";")&amp;IF(Q7="","",字段对应!$B$13&amp;"="&amp;Q7&amp;";")&amp;IF(R7="","",字段对应!$B$14&amp;"="&amp;R7&amp;";")&amp;IF(U7="","",字段对应!$B$22&amp;"="&amp;U7&amp;";")&amp;IF(K7="","",字段对应!$B$21&amp;"="&amp;VLOOKUP(K7,基础信息!$F$2:$G$4,2,0))</f>
        <v>PhotoMode=1;ScanSpeed=1;ResponseTime=0.5;</v>
      </c>
      <c r="E7" s="103" t="str">
        <f>IF(W7="","",检测项信息!W7&amp;":"&amp;字段对应!$B$16&amp;"|")&amp;IF(X7="","",X7&amp;":"&amp;IF(V7="是",字段对应!$C$17,字段对应!$B$17&amp;";"&amp;IF(H7="","",字段对应!$B$15&amp;"="&amp;检测项信息!H7))&amp;"|")&amp;IF(Y7="",":",Y7&amp;":")&amp;IF(V7="是",字段对应!$C$18,字段对应!$B$18&amp;";"&amp;IF(H7="","",字段对应!$B$15&amp;"="&amp;检测项信息!H7)&amp;IF(AND(T7="",S7=""),"",";"&amp;字段对应!$B$20&amp;"="&amp;T7&amp;";"&amp;字段对应!$B$19&amp;"="&amp;S7))</f>
        <v>黑挡块:Dark|空气:Zero;Wl=500|黑挡块:Measure;Wl=500;totalcount=120;timeinterval=1</v>
      </c>
      <c r="F7" s="103">
        <v>1</v>
      </c>
      <c r="G7" s="103"/>
      <c r="H7" s="103">
        <v>500</v>
      </c>
      <c r="I7" s="103" t="str">
        <f>VLOOKUP(J7,字段对应!$D$2:$E$8,2,0)</f>
        <v>Validation.ViewModel.DataStructure.FindMaxOffsetUVTestTool</v>
      </c>
      <c r="J7" s="103" t="s">
        <v>214</v>
      </c>
      <c r="K7" s="108"/>
      <c r="L7" s="108" t="s">
        <v>124</v>
      </c>
      <c r="M7" s="108" t="s">
        <v>125</v>
      </c>
      <c r="N7" s="108"/>
      <c r="O7" s="108"/>
      <c r="P7" s="108"/>
      <c r="Q7" s="108"/>
      <c r="R7" s="108"/>
      <c r="S7" s="108">
        <v>1</v>
      </c>
      <c r="T7" s="108">
        <v>120</v>
      </c>
      <c r="U7" s="108">
        <v>0.5</v>
      </c>
      <c r="V7" s="103" t="s">
        <v>122</v>
      </c>
      <c r="W7" s="103" t="s">
        <v>210</v>
      </c>
      <c r="X7" s="103" t="s">
        <v>211</v>
      </c>
      <c r="Y7" s="104" t="s">
        <v>210</v>
      </c>
      <c r="Z7" s="103">
        <f>VLOOKUP(A7,对应信息!$D$2:$E$10,2,0)</f>
        <v>7000</v>
      </c>
      <c r="AA7" s="103">
        <f t="shared" si="0"/>
        <v>7002</v>
      </c>
      <c r="AB7" s="111"/>
    </row>
    <row r="8" ht="54" spans="1:28">
      <c r="A8" s="103" t="s">
        <v>175</v>
      </c>
      <c r="B8" s="103" t="s">
        <v>176</v>
      </c>
      <c r="C8" s="103"/>
      <c r="D8" s="103" t="str">
        <f>IF(L8="","",字段对应!$B$10&amp;"="&amp;VLOOKUP(L8,基础信息!$I$2:$J$6,2,0)&amp;";")&amp;IF(M8="","",字段对应!$B$11&amp;"="&amp;VLOOKUP(M8,基础信息!$K$2:$L$6,2,0)&amp;";")&amp;IF(N8="","",字段对应!$C$2&amp;"="&amp;N8&amp;","&amp;O8&amp;","&amp;P8&amp;";")&amp;IF(Q8="","",字段对应!$B$13&amp;"="&amp;Q8&amp;";")&amp;IF(R8="","",字段对应!$B$14&amp;"="&amp;R8&amp;";")&amp;IF(U8="","",字段对应!$B$22&amp;"="&amp;U8&amp;";")&amp;IF(K8="","",字段对应!$B$21&amp;"="&amp;VLOOKUP(K8,基础信息!$F$2:$G$4,2,0))</f>
        <v>PhotoMode=1;ScanSpeed=1;ResponseTime=0.5;</v>
      </c>
      <c r="E8" s="103" t="str">
        <f>IF(W8="","",检测项信息!W8&amp;":"&amp;字段对应!$B$16&amp;"|")&amp;IF(X8="","",X8&amp;":"&amp;IF(V8="是",字段对应!$C$17,字段对应!$B$17&amp;";"&amp;IF(H8="","",字段对应!$B$15&amp;"="&amp;检测项信息!H8))&amp;"|")&amp;IF(Y8="",":",Y8&amp;":")&amp;IF(V8="是",字段对应!$C$18,字段对应!$B$18&amp;";"&amp;IF(H8="","",字段对应!$B$15&amp;"="&amp;检测项信息!H8)&amp;IF(AND(T8="",S8=""),"",";"&amp;字段对应!$B$20&amp;"="&amp;T8&amp;";"&amp;字段对应!$B$19&amp;"="&amp;S8))</f>
        <v>黑挡块:Dark|空气:Zero;Wl=1090|空气:Measure;Wl=1090;totalcount=180;timeinterval=1</v>
      </c>
      <c r="F8" s="103">
        <v>1</v>
      </c>
      <c r="G8" s="103"/>
      <c r="H8" s="103">
        <v>1090</v>
      </c>
      <c r="I8" s="103" t="str">
        <f>VLOOKUP(J8,字段对应!$D$2:$E$8,2,0)</f>
        <v>Validation.ViewModel.DataStructure.FindMaxOffsetUVTestTool</v>
      </c>
      <c r="J8" s="103" t="s">
        <v>214</v>
      </c>
      <c r="K8" s="108"/>
      <c r="L8" s="108" t="s">
        <v>124</v>
      </c>
      <c r="M8" s="108" t="s">
        <v>125</v>
      </c>
      <c r="N8" s="108"/>
      <c r="O8" s="108"/>
      <c r="P8" s="108"/>
      <c r="Q8" s="108"/>
      <c r="R8" s="108"/>
      <c r="S8" s="108">
        <v>1</v>
      </c>
      <c r="T8" s="108">
        <v>180</v>
      </c>
      <c r="U8" s="108">
        <v>0.5</v>
      </c>
      <c r="V8" s="103" t="s">
        <v>122</v>
      </c>
      <c r="W8" s="103" t="s">
        <v>210</v>
      </c>
      <c r="X8" s="103" t="s">
        <v>211</v>
      </c>
      <c r="Y8" s="103" t="s">
        <v>211</v>
      </c>
      <c r="Z8" s="103">
        <f>VLOOKUP(A8,对应信息!$D$2:$E$10,2,0)</f>
        <v>8000</v>
      </c>
      <c r="AA8" s="103">
        <f t="shared" si="0"/>
        <v>8001</v>
      </c>
      <c r="AB8" s="111"/>
    </row>
    <row r="9" ht="54" spans="1:28">
      <c r="A9" s="103" t="s">
        <v>175</v>
      </c>
      <c r="B9" s="103" t="s">
        <v>177</v>
      </c>
      <c r="C9" s="103"/>
      <c r="D9" s="103" t="str">
        <f>IF(L9="","",字段对应!$B$10&amp;"="&amp;VLOOKUP(L9,基础信息!$I$2:$J$6,2,0)&amp;";")&amp;IF(M9="","",字段对应!$B$11&amp;"="&amp;VLOOKUP(M9,基础信息!$K$2:$L$6,2,0)&amp;";")&amp;IF(N9="","",字段对应!$C$2&amp;"="&amp;N9&amp;","&amp;O9&amp;","&amp;P9&amp;";")&amp;IF(Q9="","",字段对应!$B$13&amp;"="&amp;Q9&amp;";")&amp;IF(R9="","",字段对应!$B$14&amp;"="&amp;R9&amp;";")&amp;IF(U9="","",字段对应!$B$22&amp;"="&amp;U9&amp;";")&amp;IF(K9="","",字段对应!$B$21&amp;"="&amp;VLOOKUP(K9,基础信息!$F$2:$G$4,2,0))</f>
        <v>PhotoMode=1;ScanSpeed=1;ResponseTime=0.5;</v>
      </c>
      <c r="E9" s="103" t="str">
        <f>IF(W9="","",检测项信息!W9&amp;":"&amp;字段对应!$B$16&amp;"|")&amp;IF(X9="","",X9&amp;":"&amp;IF(V9="是",字段对应!$C$17,字段对应!$B$17&amp;";"&amp;IF(H9="","",字段对应!$B$15&amp;"="&amp;检测项信息!H9))&amp;"|")&amp;IF(Y9="",":",Y9&amp;":")&amp;IF(V9="是",字段对应!$C$18,字段对应!$B$18&amp;";"&amp;IF(H9="","",字段对应!$B$15&amp;"="&amp;检测项信息!H9)&amp;IF(AND(T9="",S9=""),"",";"&amp;字段对应!$B$20&amp;"="&amp;T9&amp;";"&amp;字段对应!$B$19&amp;"="&amp;S9))</f>
        <v>黑挡块:Dark|空气:Zero;Wl=1090|黑挡块:Measure;Wl=1090;totalcount=180;timeinterval=1</v>
      </c>
      <c r="F9" s="103">
        <v>1</v>
      </c>
      <c r="G9" s="103"/>
      <c r="H9" s="103">
        <v>1090</v>
      </c>
      <c r="I9" s="103" t="str">
        <f>VLOOKUP(J9,字段对应!$D$2:$E$8,2,0)</f>
        <v>Validation.ViewModel.DataStructure.FindMaxOffsetUVTestTool</v>
      </c>
      <c r="J9" s="103" t="s">
        <v>214</v>
      </c>
      <c r="K9" s="108"/>
      <c r="L9" s="108" t="s">
        <v>124</v>
      </c>
      <c r="M9" s="108" t="s">
        <v>125</v>
      </c>
      <c r="N9" s="108"/>
      <c r="O9" s="108"/>
      <c r="P9" s="108"/>
      <c r="Q9" s="108"/>
      <c r="R9" s="108"/>
      <c r="S9" s="108">
        <v>1</v>
      </c>
      <c r="T9" s="108">
        <v>180</v>
      </c>
      <c r="U9" s="108">
        <v>0.5</v>
      </c>
      <c r="V9" s="103" t="s">
        <v>122</v>
      </c>
      <c r="W9" s="103" t="s">
        <v>210</v>
      </c>
      <c r="X9" s="103" t="s">
        <v>211</v>
      </c>
      <c r="Y9" s="104" t="s">
        <v>210</v>
      </c>
      <c r="Z9" s="103">
        <f>VLOOKUP(A9,对应信息!$D$2:$E$10,2,0)</f>
        <v>8000</v>
      </c>
      <c r="AA9" s="103">
        <f t="shared" si="0"/>
        <v>8002</v>
      </c>
      <c r="AB9" s="111"/>
    </row>
    <row r="10" ht="40.5" spans="1:28">
      <c r="A10" s="103" t="s">
        <v>175</v>
      </c>
      <c r="B10" s="104" t="s">
        <v>178</v>
      </c>
      <c r="C10" s="103"/>
      <c r="D10" s="103" t="str">
        <f>IF(L10="","",字段对应!$B$10&amp;"="&amp;VLOOKUP(L10,基础信息!$I$2:$J$6,2,0)&amp;";")&amp;IF(M10="","",字段对应!$B$11&amp;"="&amp;VLOOKUP(M10,基础信息!$K$2:$L$6,2,0)&amp;";")&amp;IF(N10="","",字段对应!$C$2&amp;"="&amp;N10&amp;","&amp;O10&amp;","&amp;P10&amp;";")&amp;IF(Q10="","",字段对应!$B$13&amp;"="&amp;Q10&amp;";")&amp;IF(R10="","",字段对应!$B$14&amp;"="&amp;R10&amp;";")&amp;IF(U10="","",字段对应!$B$22&amp;"="&amp;U10&amp;";")&amp;IF(K10="","",字段对应!$B$21&amp;"="&amp;VLOOKUP(K10,基础信息!$F$2:$G$4,2,0))</f>
        <v>PhotoMode=1;ScanSpeed=1;ResponseTime=0.5;</v>
      </c>
      <c r="E10" s="103" t="str">
        <f>IF(W10="","",检测项信息!W10&amp;":"&amp;字段对应!$B$16&amp;"|")&amp;IF(X10="","",X10&amp;":"&amp;IF(V10="是",字段对应!$C$17,字段对应!$B$17&amp;";"&amp;IF(H10="","",字段对应!$B$15&amp;"="&amp;检测项信息!H10))&amp;"|")&amp;IF(Y10="",":",Y10&amp;":")&amp;IF(V10="是",字段对应!$C$18,字段对应!$B$18&amp;";"&amp;IF(H10="","",字段对应!$B$15&amp;"="&amp;检测项信息!H10)&amp;IF(AND(T10="",S10=""),"",";"&amp;字段对应!$B$20&amp;"="&amp;T10&amp;";"&amp;字段对应!$B$19&amp;"="&amp;S10))</f>
        <v>黑挡块:Dark|空气:Zero;Wl=335|空气:Measure;Wl=335;totalcount=180;timeinterval=1</v>
      </c>
      <c r="F10" s="103">
        <v>1</v>
      </c>
      <c r="G10" s="103"/>
      <c r="H10" s="103">
        <v>335</v>
      </c>
      <c r="I10" s="103" t="str">
        <f>VLOOKUP(J10,字段对应!$D$2:$E$8,2,0)</f>
        <v>Validation.ViewModel.DataStructure.FindMaxOffsetUVTestTool</v>
      </c>
      <c r="J10" s="103" t="s">
        <v>214</v>
      </c>
      <c r="K10" s="108"/>
      <c r="L10" s="108" t="s">
        <v>124</v>
      </c>
      <c r="M10" s="108" t="s">
        <v>125</v>
      </c>
      <c r="N10" s="108"/>
      <c r="O10" s="108"/>
      <c r="P10" s="108"/>
      <c r="Q10" s="108"/>
      <c r="R10" s="108"/>
      <c r="S10" s="108">
        <v>1</v>
      </c>
      <c r="T10" s="108">
        <v>180</v>
      </c>
      <c r="U10" s="108">
        <v>0.5</v>
      </c>
      <c r="V10" s="103" t="s">
        <v>122</v>
      </c>
      <c r="W10" s="103" t="s">
        <v>210</v>
      </c>
      <c r="X10" s="103" t="s">
        <v>211</v>
      </c>
      <c r="Y10" s="103" t="s">
        <v>211</v>
      </c>
      <c r="Z10" s="103">
        <f>VLOOKUP(A10,对应信息!$D$2:$E$10,2,0)</f>
        <v>8000</v>
      </c>
      <c r="AA10" s="103">
        <f t="shared" si="0"/>
        <v>8003</v>
      </c>
      <c r="AB10" s="111"/>
    </row>
    <row r="11" ht="40.5" spans="1:28">
      <c r="A11" s="103" t="s">
        <v>175</v>
      </c>
      <c r="B11" s="104" t="s">
        <v>179</v>
      </c>
      <c r="C11" s="103"/>
      <c r="D11" s="103" t="str">
        <f>IF(L11="","",字段对应!$B$10&amp;"="&amp;VLOOKUP(L11,基础信息!$I$2:$J$6,2,0)&amp;";")&amp;IF(M11="","",字段对应!$B$11&amp;"="&amp;VLOOKUP(M11,基础信息!$K$2:$L$6,2,0)&amp;";")&amp;IF(N11="","",字段对应!$C$2&amp;"="&amp;N11&amp;","&amp;O11&amp;","&amp;P11&amp;";")&amp;IF(Q11="","",字段对应!$B$13&amp;"="&amp;Q11&amp;";")&amp;IF(R11="","",字段对应!$B$14&amp;"="&amp;R11&amp;";")&amp;IF(U11="","",字段对应!$B$22&amp;"="&amp;U11&amp;";")&amp;IF(K11="","",字段对应!$B$21&amp;"="&amp;VLOOKUP(K11,基础信息!$F$2:$G$4,2,0))</f>
        <v>PhotoMode=1;ScanSpeed=1;ResponseTime=0.5;</v>
      </c>
      <c r="E11" s="103" t="str">
        <f>IF(W11="","",检测项信息!W11&amp;":"&amp;字段对应!$B$16&amp;"|")&amp;IF(X11="","",X11&amp;":"&amp;IF(V11="是",字段对应!$C$17,字段对应!$B$17&amp;";"&amp;IF(H11="","",字段对应!$B$15&amp;"="&amp;检测项信息!H11))&amp;"|")&amp;IF(Y11="",":",Y11&amp;":")&amp;IF(V11="是",字段对应!$C$18,字段对应!$B$18&amp;";"&amp;IF(H11="","",字段对应!$B$15&amp;"="&amp;检测项信息!H11)&amp;IF(AND(T11="",S11=""),"",";"&amp;字段对应!$B$20&amp;"="&amp;T11&amp;";"&amp;字段对应!$B$19&amp;"="&amp;S11))</f>
        <v>黑挡块:Dark|空气:Zero;Wl=335|黑挡块:Measure;Wl=335;totalcount=180;timeinterval=1</v>
      </c>
      <c r="F11" s="103">
        <v>1</v>
      </c>
      <c r="G11" s="103"/>
      <c r="H11" s="103">
        <v>335</v>
      </c>
      <c r="I11" s="103" t="str">
        <f>VLOOKUP(J11,字段对应!$D$2:$E$8,2,0)</f>
        <v>Validation.ViewModel.DataStructure.FindMaxOffsetUVTestTool</v>
      </c>
      <c r="J11" s="103" t="s">
        <v>214</v>
      </c>
      <c r="K11" s="108"/>
      <c r="L11" s="108" t="s">
        <v>124</v>
      </c>
      <c r="M11" s="108" t="s">
        <v>125</v>
      </c>
      <c r="N11" s="108"/>
      <c r="O11" s="108"/>
      <c r="P11" s="108"/>
      <c r="Q11" s="108"/>
      <c r="R11" s="108"/>
      <c r="S11" s="108">
        <v>1</v>
      </c>
      <c r="T11" s="108">
        <v>180</v>
      </c>
      <c r="U11" s="108">
        <v>0.5</v>
      </c>
      <c r="V11" s="103" t="s">
        <v>122</v>
      </c>
      <c r="W11" s="103" t="s">
        <v>210</v>
      </c>
      <c r="X11" s="103" t="s">
        <v>211</v>
      </c>
      <c r="Y11" s="104" t="s">
        <v>210</v>
      </c>
      <c r="Z11" s="103">
        <f>VLOOKUP(A11,对应信息!$D$2:$E$10,2,0)</f>
        <v>8000</v>
      </c>
      <c r="AA11" s="103">
        <f t="shared" si="0"/>
        <v>8004</v>
      </c>
      <c r="AB11" s="111"/>
    </row>
    <row r="12" ht="27" spans="1:28">
      <c r="A12" s="103" t="s">
        <v>169</v>
      </c>
      <c r="B12" s="104" t="s">
        <v>215</v>
      </c>
      <c r="C12" s="103"/>
      <c r="D12" s="103" t="str">
        <f>IF(L12="","",字段对应!$B$10&amp;"="&amp;VLOOKUP(L12,基础信息!$I$2:$J$6,2,0)&amp;";")&amp;IF(M12="","",字段对应!$B$11&amp;"="&amp;VLOOKUP(M12,基础信息!$K$2:$L$6,2,0)&amp;";")&amp;IF(N12="","",字段对应!$C$2&amp;"="&amp;N12&amp;","&amp;O12&amp;","&amp;P12&amp;";")&amp;IF(Q12="","",字段对应!$B$13&amp;"="&amp;Q12&amp;";")&amp;IF(R12="","",字段对应!$B$14&amp;"="&amp;R12&amp;";")&amp;IF(U12="","",字段对应!$B$22&amp;"="&amp;U12&amp;";")&amp;IF(K12="","",字段对应!$B$21&amp;"="&amp;VLOOKUP(K12,基础信息!$F$2:$G$4,2,0))</f>
        <v>PhotoMode=1;ScanSpeed=1;</v>
      </c>
      <c r="E12" s="103" t="str">
        <f>IF(W12="","",检测项信息!W12&amp;":"&amp;字段对应!$B$16&amp;"|")&amp;IF(X12="","",X12&amp;":"&amp;IF(V12="是",字段对应!$C$17,字段对应!$B$17&amp;";"&amp;IF(H12="","",字段对应!$B$15&amp;"="&amp;检测项信息!H12))&amp;"|")&amp;IF(Y12="",":",Y12&amp;":")&amp;IF(V12="是",字段对应!$C$18,字段对应!$B$18&amp;";"&amp;IF(H12="","",字段对应!$B$15&amp;"="&amp;检测项信息!H12)&amp;IF(AND(T12="",S12=""),"",";"&amp;字段对应!$B$20&amp;"="&amp;T12&amp;";"&amp;字段对应!$B$19&amp;"="&amp;S12))</f>
        <v>黑挡块:Dark|亚硝酸钠空白溶液:Zero;Wl=360|亚硝酸钠溶液:Measure;Wl=360</v>
      </c>
      <c r="F12" s="103">
        <v>3</v>
      </c>
      <c r="G12" s="103">
        <v>1</v>
      </c>
      <c r="H12" s="103" t="s">
        <v>216</v>
      </c>
      <c r="I12" s="103" t="str">
        <f>VLOOKUP(J12,字段对应!$D$2:$E$8,2,0)</f>
        <v>Validation.ViewModel.DataStructure.WlPointsUVTestTool</v>
      </c>
      <c r="J12" s="103" t="s">
        <v>217</v>
      </c>
      <c r="K12" s="108"/>
      <c r="L12" s="108" t="s">
        <v>124</v>
      </c>
      <c r="M12" s="108" t="s">
        <v>125</v>
      </c>
      <c r="N12" s="108"/>
      <c r="O12" s="108"/>
      <c r="P12" s="108"/>
      <c r="Q12" s="108"/>
      <c r="R12" s="109"/>
      <c r="S12" s="108"/>
      <c r="T12" s="108"/>
      <c r="U12" s="108"/>
      <c r="V12" s="103" t="s">
        <v>122</v>
      </c>
      <c r="W12" s="103" t="s">
        <v>210</v>
      </c>
      <c r="X12" s="104" t="s">
        <v>218</v>
      </c>
      <c r="Y12" s="103" t="s">
        <v>145</v>
      </c>
      <c r="Z12" s="103">
        <f>VLOOKUP(A12,对应信息!$D$2:$E$10,2,0)</f>
        <v>3000</v>
      </c>
      <c r="AA12" s="103">
        <f t="shared" si="0"/>
        <v>3001</v>
      </c>
      <c r="AB12" s="111"/>
    </row>
    <row r="13" ht="27" spans="1:28">
      <c r="A13" s="103" t="s">
        <v>165</v>
      </c>
      <c r="B13" s="103" t="s">
        <v>35</v>
      </c>
      <c r="C13" s="103"/>
      <c r="D13" s="103" t="str">
        <f>IF(L13="","",字段对应!$B$10&amp;"="&amp;VLOOKUP(L13,基础信息!$I$2:$J$6,2,0)&amp;";")&amp;IF(M13="","",字段对应!$B$11&amp;"="&amp;VLOOKUP(M13,基础信息!$K$2:$L$6,2,0)&amp;";")&amp;IF(N13="","",字段对应!$C$2&amp;"="&amp;N13&amp;","&amp;O13&amp;","&amp;P13&amp;";")&amp;IF(Q13="","",字段对应!$B$13&amp;"="&amp;Q13&amp;";")&amp;IF(R13="","",字段对应!$B$14&amp;"="&amp;R13&amp;";")&amp;IF(U13="","",字段对应!$B$22&amp;"="&amp;U13&amp;";")&amp;IF(K13="","",字段对应!$B$21&amp;"="&amp;VLOOKUP(K13,基础信息!$F$2:$G$4,2,0))</f>
        <v>PhotoMode=1;ScanSpeed=1;</v>
      </c>
      <c r="E13" s="103" t="str">
        <f>IF(W13="","",检测项信息!W13&amp;":"&amp;字段对应!$B$16&amp;"|")&amp;IF(X13="","",X13&amp;":"&amp;IF(V13="是",字段对应!$C$17,字段对应!$B$17&amp;";"&amp;IF(H13="","",字段对应!$B$15&amp;"="&amp;检测项信息!H13))&amp;"|")&amp;IF(Y13="",":",Y13&amp;":")&amp;IF(V13="是",字段对应!$C$18,字段对应!$B$18&amp;";"&amp;IF(H13="","",字段对应!$B$15&amp;"="&amp;检测项信息!H13)&amp;IF(AND(T13="",S13=""),"",";"&amp;字段对应!$B$20&amp;"="&amp;T13&amp;";"&amp;字段对应!$B$19&amp;"="&amp;S13))</f>
        <v>黑挡块:Dark|空气:Zero;Wl=635,546,440|10%中性滤光片:Measure;Wl=635,546,440</v>
      </c>
      <c r="F13" s="103">
        <v>3</v>
      </c>
      <c r="G13" s="103">
        <v>1</v>
      </c>
      <c r="H13" s="103" t="s">
        <v>219</v>
      </c>
      <c r="I13" s="103" t="str">
        <f>VLOOKUP(J13,字段对应!$D$2:$E$8,2,0)</f>
        <v>Validation.ViewModel.DataStructure.WlPointsAndAverageUVTestTool</v>
      </c>
      <c r="J13" s="103" t="s">
        <v>220</v>
      </c>
      <c r="K13" s="108"/>
      <c r="L13" s="108" t="s">
        <v>124</v>
      </c>
      <c r="M13" s="108" t="s">
        <v>125</v>
      </c>
      <c r="N13" s="108"/>
      <c r="O13" s="108"/>
      <c r="P13" s="108"/>
      <c r="Q13" s="108"/>
      <c r="R13" s="108"/>
      <c r="S13" s="108"/>
      <c r="T13" s="108"/>
      <c r="U13" s="108"/>
      <c r="V13" s="103" t="s">
        <v>122</v>
      </c>
      <c r="W13" s="103" t="s">
        <v>210</v>
      </c>
      <c r="X13" s="103" t="s">
        <v>211</v>
      </c>
      <c r="Y13" s="103" t="s">
        <v>35</v>
      </c>
      <c r="Z13" s="103">
        <f>VLOOKUP(A13,对应信息!$D$2:$E$10,2,0)</f>
        <v>2000</v>
      </c>
      <c r="AA13" s="103">
        <f t="shared" si="0"/>
        <v>2001</v>
      </c>
      <c r="AB13" s="112" t="s">
        <v>221</v>
      </c>
    </row>
    <row r="14" ht="27" spans="1:28">
      <c r="A14" s="103" t="s">
        <v>165</v>
      </c>
      <c r="B14" s="103" t="s">
        <v>41</v>
      </c>
      <c r="C14" s="103"/>
      <c r="D14" s="103" t="str">
        <f>IF(L14="","",字段对应!$B$10&amp;"="&amp;VLOOKUP(L14,基础信息!$I$2:$J$6,2,0)&amp;";")&amp;IF(M14="","",字段对应!$B$11&amp;"="&amp;VLOOKUP(M14,基础信息!$K$2:$L$6,2,0)&amp;";")&amp;IF(N14="","",字段对应!$C$2&amp;"="&amp;N14&amp;","&amp;O14&amp;","&amp;P14&amp;";")&amp;IF(Q14="","",字段对应!$B$13&amp;"="&amp;Q14&amp;";")&amp;IF(R14="","",字段对应!$B$14&amp;"="&amp;R14&amp;";")&amp;IF(U14="","",字段对应!$B$22&amp;"="&amp;U14&amp;";")&amp;IF(K14="","",字段对应!$B$21&amp;"="&amp;VLOOKUP(K14,基础信息!$F$2:$G$4,2,0))</f>
        <v>PhotoMode=1;ScanSpeed=1;</v>
      </c>
      <c r="E14" s="103" t="str">
        <f>IF(W14="","",检测项信息!W14&amp;":"&amp;字段对应!$B$16&amp;"|")&amp;IF(X14="","",X14&amp;":"&amp;IF(V14="是",字段对应!$C$17,字段对应!$B$17&amp;";"&amp;IF(H14="","",字段对应!$B$15&amp;"="&amp;检测项信息!H14))&amp;"|")&amp;IF(Y14="",":",Y14&amp;":")&amp;IF(V14="是",字段对应!$C$18,字段对应!$B$18&amp;";"&amp;IF(H14="","",字段对应!$B$15&amp;"="&amp;检测项信息!H14)&amp;IF(AND(T14="",S14=""),"",";"&amp;字段对应!$B$20&amp;"="&amp;T14&amp;";"&amp;字段对应!$B$19&amp;"="&amp;S14))</f>
        <v>黑挡块:Dark|空气:Zero;Wl=635,546,440|20%中性滤光片:Measure;Wl=635,546,440</v>
      </c>
      <c r="F14" s="103">
        <v>3</v>
      </c>
      <c r="G14" s="103">
        <v>1</v>
      </c>
      <c r="H14" s="103" t="s">
        <v>219</v>
      </c>
      <c r="I14" s="103" t="str">
        <f>VLOOKUP(J14,字段对应!$D$2:$E$8,2,0)</f>
        <v>Validation.ViewModel.DataStructure.WlPointsAndAverageUVTestTool</v>
      </c>
      <c r="J14" s="103" t="s">
        <v>220</v>
      </c>
      <c r="K14" s="108"/>
      <c r="L14" s="108" t="s">
        <v>124</v>
      </c>
      <c r="M14" s="108" t="s">
        <v>125</v>
      </c>
      <c r="N14" s="108"/>
      <c r="O14" s="108"/>
      <c r="P14" s="108"/>
      <c r="Q14" s="108"/>
      <c r="R14" s="108"/>
      <c r="S14" s="108"/>
      <c r="T14" s="108"/>
      <c r="U14" s="108"/>
      <c r="V14" s="103" t="s">
        <v>122</v>
      </c>
      <c r="W14" s="103" t="s">
        <v>210</v>
      </c>
      <c r="X14" s="103" t="s">
        <v>211</v>
      </c>
      <c r="Y14" s="103" t="s">
        <v>41</v>
      </c>
      <c r="Z14" s="103">
        <f>VLOOKUP(A14,对应信息!$D$2:$E$10,2,0)</f>
        <v>2000</v>
      </c>
      <c r="AA14" s="103">
        <f t="shared" si="0"/>
        <v>2002</v>
      </c>
      <c r="AB14" s="112" t="s">
        <v>222</v>
      </c>
    </row>
    <row r="15" ht="40.5" customHeight="1" spans="1:28">
      <c r="A15" s="103" t="s">
        <v>165</v>
      </c>
      <c r="B15" s="103" t="s">
        <v>43</v>
      </c>
      <c r="C15" s="103"/>
      <c r="D15" s="103" t="str">
        <f>IF(L15="","",字段对应!$B$10&amp;"="&amp;VLOOKUP(L15,基础信息!$I$2:$J$6,2,0)&amp;";")&amp;IF(M15="","",字段对应!$B$11&amp;"="&amp;VLOOKUP(M15,基础信息!$K$2:$L$6,2,0)&amp;";")&amp;IF(N15="","",字段对应!$C$2&amp;"="&amp;N15&amp;","&amp;O15&amp;","&amp;P15&amp;";")&amp;IF(Q15="","",字段对应!$B$13&amp;"="&amp;Q15&amp;";")&amp;IF(R15="","",字段对应!$B$14&amp;"="&amp;R15&amp;";")&amp;IF(U15="","",字段对应!$B$22&amp;"="&amp;U15&amp;";")&amp;IF(K15="","",字段对应!$B$21&amp;"="&amp;VLOOKUP(K15,基础信息!$F$2:$G$4,2,0))</f>
        <v>PhotoMode=1;ScanSpeed=1;</v>
      </c>
      <c r="E15" s="103" t="str">
        <f>IF(W15="","",检测项信息!W15&amp;":"&amp;字段对应!$B$16&amp;"|")&amp;IF(X15="","",X15&amp;":"&amp;IF(V15="是",字段对应!$C$17,字段对应!$B$17&amp;";"&amp;IF(H15="","",字段对应!$B$15&amp;"="&amp;检测项信息!H15))&amp;"|")&amp;IF(Y15="",":",Y15&amp;":")&amp;IF(V15="是",字段对应!$C$18,字段对应!$B$18&amp;";"&amp;IF(H15="","",字段对应!$B$15&amp;"="&amp;检测项信息!H15)&amp;IF(AND(T15="",S15=""),"",";"&amp;字段对应!$B$20&amp;"="&amp;T15&amp;";"&amp;字段对应!$B$19&amp;"="&amp;S15))</f>
        <v>黑挡块:Dark|空气:Zero;Wl=635,546,440|30%中性滤光片:Measure;Wl=635,546,440</v>
      </c>
      <c r="F15" s="103">
        <v>3</v>
      </c>
      <c r="G15" s="103">
        <v>1</v>
      </c>
      <c r="H15" s="103" t="s">
        <v>219</v>
      </c>
      <c r="I15" s="103" t="str">
        <f>VLOOKUP(J15,字段对应!$D$2:$E$8,2,0)</f>
        <v>Validation.ViewModel.DataStructure.WlPointsAndAverageUVTestTool</v>
      </c>
      <c r="J15" s="103" t="s">
        <v>220</v>
      </c>
      <c r="K15" s="108"/>
      <c r="L15" s="108" t="s">
        <v>124</v>
      </c>
      <c r="M15" s="108" t="s">
        <v>125</v>
      </c>
      <c r="N15" s="108"/>
      <c r="O15" s="108"/>
      <c r="P15" s="108"/>
      <c r="Q15" s="108"/>
      <c r="R15" s="108"/>
      <c r="S15" s="108"/>
      <c r="T15" s="108"/>
      <c r="U15" s="108"/>
      <c r="V15" s="103" t="s">
        <v>122</v>
      </c>
      <c r="W15" s="103" t="s">
        <v>210</v>
      </c>
      <c r="X15" s="103" t="s">
        <v>211</v>
      </c>
      <c r="Y15" s="103" t="s">
        <v>43</v>
      </c>
      <c r="Z15" s="103">
        <f>VLOOKUP(A15,对应信息!$D$2:$E$10,2,0)</f>
        <v>2000</v>
      </c>
      <c r="AA15" s="103">
        <f t="shared" si="0"/>
        <v>2003</v>
      </c>
      <c r="AB15" s="112" t="s">
        <v>223</v>
      </c>
    </row>
    <row r="16" ht="54" spans="1:28">
      <c r="A16" s="103" t="s">
        <v>180</v>
      </c>
      <c r="B16" s="104" t="s">
        <v>180</v>
      </c>
      <c r="C16" s="103" t="s">
        <v>224</v>
      </c>
      <c r="D16" s="103" t="str">
        <f>IF(L16="","",字段对应!$B$10&amp;"="&amp;VLOOKUP(L16,基础信息!$I$2:$J$6,2,0)&amp;";")&amp;IF(M16="","",字段对应!$B$11&amp;"="&amp;VLOOKUP(M16,基础信息!$K$2:$L$6,2,0)&amp;";")&amp;IF(N16="","",字段对应!$C$2&amp;"="&amp;N16&amp;","&amp;O16&amp;","&amp;P16&amp;";")&amp;IF(Q16="","",字段对应!$B$13&amp;"="&amp;Q16&amp;";")&amp;IF(R16="","",字段对应!$B$14&amp;"="&amp;R16&amp;";")&amp;IF(U16="","",字段对应!$B$22&amp;"="&amp;U16&amp;";")&amp;IF(K16="","",字段对应!$B$21&amp;"="&amp;VLOOKUP(K16,基础信息!$F$2:$G$4,2,0))</f>
        <v>PhotoMode=1;ScanSpeed=1;ResponseTime=0.5;</v>
      </c>
      <c r="E16" s="103" t="str">
        <f>IF(W16="","",检测项信息!W16&amp;":"&amp;字段对应!$B$16&amp;"|")&amp;IF(X16="","",X16&amp;":"&amp;IF(V16="是",字段对应!$C$17,字段对应!$B$17&amp;";"&amp;IF(H16="","",字段对应!$B$15&amp;"="&amp;检测项信息!H16))&amp;"|")&amp;IF(Y16="",":",Y16&amp;":")&amp;IF(V16="是",字段对应!$C$18,字段对应!$B$18&amp;";"&amp;IF(H16="","",字段对应!$B$15&amp;"="&amp;检测项信息!H16)&amp;IF(AND(T16="",S16=""),"",";"&amp;字段对应!$B$20&amp;"="&amp;T16&amp;";"&amp;字段对应!$B$19&amp;"="&amp;S16))</f>
        <v>黑挡块:Dark|空气:Zero;Wl=500|空气:Measure;Wl=500;totalcount=3600;timeinterval=1</v>
      </c>
      <c r="F16" s="103">
        <v>1</v>
      </c>
      <c r="G16" s="103"/>
      <c r="H16" s="103">
        <v>500</v>
      </c>
      <c r="I16" s="103" t="str">
        <f>VLOOKUP(J16,字段对应!$D$2:$E$8,2,0)</f>
        <v>Validation.ViewModel.DataStructure.FindMaxOffsetUVTestTool</v>
      </c>
      <c r="J16" s="103" t="s">
        <v>214</v>
      </c>
      <c r="K16" s="108"/>
      <c r="L16" s="108" t="s">
        <v>124</v>
      </c>
      <c r="M16" s="108" t="s">
        <v>125</v>
      </c>
      <c r="N16" s="108"/>
      <c r="O16" s="108"/>
      <c r="P16" s="108"/>
      <c r="Q16" s="108"/>
      <c r="R16" s="108"/>
      <c r="S16" s="108">
        <v>1</v>
      </c>
      <c r="T16" s="108">
        <v>3600</v>
      </c>
      <c r="U16" s="108">
        <v>0.5</v>
      </c>
      <c r="V16" s="103" t="s">
        <v>122</v>
      </c>
      <c r="W16" s="103" t="s">
        <v>210</v>
      </c>
      <c r="X16" s="103" t="s">
        <v>211</v>
      </c>
      <c r="Y16" s="103" t="s">
        <v>211</v>
      </c>
      <c r="Z16" s="103">
        <f>VLOOKUP(A16,对应信息!$D$2:$E$10,2,0)</f>
        <v>9000</v>
      </c>
      <c r="AA16" s="103">
        <f t="shared" si="0"/>
        <v>9001</v>
      </c>
      <c r="AB16" s="111"/>
    </row>
    <row r="22" spans="5:5">
      <c r="E22" s="105"/>
    </row>
  </sheetData>
  <dataValidations count="9">
    <dataValidation type="list" allowBlank="1" showInputMessage="1" showErrorMessage="1" sqref="J$1:J$1048576">
      <formula1>字段对应!$D$2:$D$8</formula1>
    </dataValidation>
    <dataValidation type="list" allowBlank="1" showInputMessage="1" showErrorMessage="1" sqref="K$1:K$1048576">
      <formula1>基础信息!$F$2:$F$4</formula1>
    </dataValidation>
    <dataValidation type="list" allowBlank="1" showInputMessage="1" showErrorMessage="1" sqref="L$1:L$1048576">
      <formula1>基础信息!$I$2:$I$6</formula1>
    </dataValidation>
    <dataValidation type="list" allowBlank="1" showInputMessage="1" showErrorMessage="1" sqref="M$1:M$1048576">
      <formula1>基础信息!$K$2:$K$6</formula1>
    </dataValidation>
    <dataValidation type="list" allowBlank="1" showInputMessage="1" showErrorMessage="1" sqref="P$1:P$1048576">
      <formula1>基础信息!$M$2:$M$9</formula1>
    </dataValidation>
    <dataValidation type="list" allowBlank="1" showInputMessage="1" showErrorMessage="1" sqref="Q$1:Q$1048576">
      <formula1>基础信息!$Q$2:$Q$7</formula1>
    </dataValidation>
    <dataValidation type="list" allowBlank="1" showInputMessage="1" showErrorMessage="1" sqref="R$1:R$1048576">
      <formula1>基础信息!$P$2:$P$6</formula1>
    </dataValidation>
    <dataValidation type="list" allowBlank="1" showInputMessage="1" showErrorMessage="1" sqref="U$1:U$1048576">
      <formula1>基础信息!$R$2:$R$5</formula1>
    </dataValidation>
    <dataValidation type="list" allowBlank="1" showInputMessage="1" showErrorMessage="1" sqref="V$1:V$1048576">
      <formula1>基础信息!$E$2:$E$3</formula1>
    </dataValidation>
  </dataValidations>
  <pageMargins left="0.7" right="0.7" top="0.75" bottom="0.75" header="0.3" footer="0.3"/>
  <pageSetup paperSize="9" firstPageNumber="4294963191" orientation="portrait" useFirstPageNumber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B29" sqref="B29"/>
    </sheetView>
  </sheetViews>
  <sheetFormatPr defaultColWidth="9" defaultRowHeight="13.5" outlineLevelCol="4"/>
  <cols>
    <col min="1" max="1" width="22.6666666666667" customWidth="1"/>
    <col min="2" max="2" width="44.6666666666667" customWidth="1"/>
    <col min="3" max="3" width="22.6666666666667" customWidth="1"/>
    <col min="4" max="5" width="5.44166666666667" customWidth="1"/>
    <col min="6" max="9" width="22.6666666666667" customWidth="1"/>
  </cols>
  <sheetData>
    <row r="1" spans="1:5">
      <c r="A1" s="91" t="s">
        <v>225</v>
      </c>
      <c r="B1" s="91" t="s">
        <v>226</v>
      </c>
      <c r="C1" s="91" t="s">
        <v>227</v>
      </c>
      <c r="D1" s="91" t="s">
        <v>228</v>
      </c>
      <c r="E1" s="91" t="s">
        <v>229</v>
      </c>
    </row>
    <row r="2" spans="1:5">
      <c r="A2" s="92" t="str">
        <f ca="1" t="shared" ref="A2:A11" si="0">MID(CELL("filename"),FIND("[",CELL("filename"),1)+1,FIND(".",CELL("filename"),1)-FIND("[",CELL("filename"),1)-1)</f>
        <v>T400</v>
      </c>
      <c r="B2" s="93" t="s">
        <v>230</v>
      </c>
      <c r="C2" s="94"/>
      <c r="D2" s="92"/>
      <c r="E2" s="92"/>
    </row>
    <row r="3" spans="1:5">
      <c r="A3" s="92" t="str">
        <f ca="1" t="shared" si="0"/>
        <v>T400</v>
      </c>
      <c r="B3" s="95" t="s">
        <v>231</v>
      </c>
      <c r="C3" s="94"/>
      <c r="D3" s="92"/>
      <c r="E3" s="92"/>
    </row>
    <row r="4" spans="1:5">
      <c r="A4" s="92" t="str">
        <f ca="1" t="shared" si="0"/>
        <v>T400</v>
      </c>
      <c r="B4" s="95" t="s">
        <v>232</v>
      </c>
      <c r="C4" s="94"/>
      <c r="D4" s="92"/>
      <c r="E4" s="92"/>
    </row>
    <row r="5" spans="1:5">
      <c r="A5" s="92" t="str">
        <f ca="1" t="shared" si="0"/>
        <v>T400</v>
      </c>
      <c r="B5" s="95" t="s">
        <v>233</v>
      </c>
      <c r="C5" s="94"/>
      <c r="D5" s="92"/>
      <c r="E5" s="92"/>
    </row>
    <row r="6" spans="1:5">
      <c r="A6" s="92" t="str">
        <f ca="1" t="shared" si="0"/>
        <v>T400</v>
      </c>
      <c r="B6" s="95" t="s">
        <v>234</v>
      </c>
      <c r="C6" s="94"/>
      <c r="D6" s="92"/>
      <c r="E6" s="92"/>
    </row>
    <row r="7" spans="1:5">
      <c r="A7" s="92" t="str">
        <f ca="1" t="shared" si="0"/>
        <v>T400</v>
      </c>
      <c r="B7" s="95" t="s">
        <v>235</v>
      </c>
      <c r="C7" s="94"/>
      <c r="D7" s="92"/>
      <c r="E7" s="92"/>
    </row>
    <row r="8" spans="1:5">
      <c r="A8" s="92" t="str">
        <f ca="1" t="shared" si="0"/>
        <v>T400</v>
      </c>
      <c r="B8" s="95" t="s">
        <v>236</v>
      </c>
      <c r="C8" s="94"/>
      <c r="D8" s="92"/>
      <c r="E8" s="92"/>
    </row>
    <row r="9" spans="1:5">
      <c r="A9" s="92" t="str">
        <f ca="1" t="shared" si="0"/>
        <v>T400</v>
      </c>
      <c r="B9" s="95" t="s">
        <v>237</v>
      </c>
      <c r="C9" s="94"/>
      <c r="D9" s="92"/>
      <c r="E9" s="92"/>
    </row>
    <row r="10" spans="1:5">
      <c r="A10" s="92" t="str">
        <f ca="1" t="shared" si="0"/>
        <v>T400</v>
      </c>
      <c r="B10" s="93" t="s">
        <v>238</v>
      </c>
      <c r="C10" s="94"/>
      <c r="D10" s="92">
        <v>3002</v>
      </c>
      <c r="E10" s="92">
        <v>3002</v>
      </c>
    </row>
    <row r="11" spans="1:5">
      <c r="A11" s="92" t="str">
        <f ca="1" t="shared" si="0"/>
        <v>T400</v>
      </c>
      <c r="B11" s="96" t="s">
        <v>239</v>
      </c>
      <c r="C11" s="94"/>
      <c r="D11" s="92">
        <v>4001</v>
      </c>
      <c r="E11" s="92">
        <v>4001</v>
      </c>
    </row>
  </sheetData>
  <pageMargins left="0.7" right="0.7" top="0.75" bottom="0.75" header="0.3" footer="0.3"/>
  <pageSetup paperSize="1" firstPageNumber="4294963191" orientation="portrait" useFirstPageNumber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9" defaultRowHeight="13.5" outlineLevelRow="4" outlineLevelCol="3"/>
  <cols>
    <col min="1" max="1" width="35.775" customWidth="1"/>
  </cols>
  <sheetData>
    <row r="1" s="88" customFormat="1" ht="190.05" customHeight="1" spans="1:1">
      <c r="A1" s="89"/>
    </row>
    <row r="5" spans="4:4">
      <c r="D5" s="90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showGridLines="0" workbookViewId="0">
      <selection activeCell="A27" sqref="A27"/>
    </sheetView>
  </sheetViews>
  <sheetFormatPr defaultColWidth="9" defaultRowHeight="13.5" outlineLevelCol="3"/>
  <cols>
    <col min="1" max="1" width="35.3333333333333" customWidth="1"/>
    <col min="2" max="2" width="27.4416666666667" customWidth="1"/>
    <col min="3" max="3" width="15.775" customWidth="1"/>
    <col min="4" max="4" width="20.2166666666667" customWidth="1"/>
  </cols>
  <sheetData>
    <row r="1" spans="1:4">
      <c r="A1" s="2" t="s">
        <v>240</v>
      </c>
      <c r="B1" s="2" t="s">
        <v>22</v>
      </c>
      <c r="C1" s="2" t="s">
        <v>103</v>
      </c>
      <c r="D1" s="3" t="s">
        <v>241</v>
      </c>
    </row>
    <row r="2" spans="1:4">
      <c r="A2" s="84" t="s">
        <v>165</v>
      </c>
      <c r="B2" s="54" t="s">
        <v>35</v>
      </c>
      <c r="C2" s="55" t="s">
        <v>166</v>
      </c>
      <c r="D2" s="55">
        <v>7.57</v>
      </c>
    </row>
    <row r="3" spans="1:4">
      <c r="A3" s="85"/>
      <c r="B3" s="55"/>
      <c r="C3" s="55" t="s">
        <v>167</v>
      </c>
      <c r="D3" s="55">
        <v>10.1</v>
      </c>
    </row>
    <row r="4" spans="1:4">
      <c r="A4" s="85"/>
      <c r="B4" s="55"/>
      <c r="C4" s="55" t="s">
        <v>168</v>
      </c>
      <c r="D4" s="55">
        <v>10.07</v>
      </c>
    </row>
    <row r="5" spans="1:4">
      <c r="A5" s="85"/>
      <c r="B5" s="54" t="s">
        <v>41</v>
      </c>
      <c r="C5" s="55" t="s">
        <v>166</v>
      </c>
      <c r="D5" s="55">
        <v>18.98</v>
      </c>
    </row>
    <row r="6" spans="1:4">
      <c r="A6" s="85"/>
      <c r="B6" s="55"/>
      <c r="C6" s="55" t="s">
        <v>167</v>
      </c>
      <c r="D6" s="55">
        <v>20.09</v>
      </c>
    </row>
    <row r="7" spans="1:4">
      <c r="A7" s="85"/>
      <c r="B7" s="55"/>
      <c r="C7" s="55" t="s">
        <v>168</v>
      </c>
      <c r="D7" s="55">
        <v>20.91</v>
      </c>
    </row>
    <row r="8" spans="1:4">
      <c r="A8" s="85"/>
      <c r="B8" s="54" t="s">
        <v>43</v>
      </c>
      <c r="C8" s="55" t="s">
        <v>166</v>
      </c>
      <c r="D8" s="55">
        <v>29.96</v>
      </c>
    </row>
    <row r="9" spans="1:4">
      <c r="A9" s="85"/>
      <c r="B9" s="55"/>
      <c r="C9" s="55" t="s">
        <v>167</v>
      </c>
      <c r="D9" s="55">
        <v>30.43</v>
      </c>
    </row>
    <row r="10" spans="1:4">
      <c r="A10" s="85"/>
      <c r="B10" s="86"/>
      <c r="C10" s="55" t="s">
        <v>168</v>
      </c>
      <c r="D10" s="55">
        <v>28.88</v>
      </c>
    </row>
    <row r="11" spans="1:4">
      <c r="A11" s="64" t="s">
        <v>164</v>
      </c>
      <c r="B11" s="64" t="s">
        <v>23</v>
      </c>
      <c r="C11" s="65" t="s">
        <v>208</v>
      </c>
      <c r="D11" s="65"/>
    </row>
    <row r="12" spans="1:4">
      <c r="A12" s="64"/>
      <c r="B12" s="64" t="s">
        <v>24</v>
      </c>
      <c r="C12" s="65" t="s">
        <v>242</v>
      </c>
      <c r="D12" s="65"/>
    </row>
    <row r="13" spans="1:4">
      <c r="A13" s="64"/>
      <c r="B13" s="64"/>
      <c r="C13" s="65" t="s">
        <v>243</v>
      </c>
      <c r="D13" s="65"/>
    </row>
    <row r="14" spans="1:4">
      <c r="A14" s="64"/>
      <c r="B14" s="64"/>
      <c r="C14" s="65" t="s">
        <v>244</v>
      </c>
      <c r="D14" s="65"/>
    </row>
    <row r="15" spans="1:4">
      <c r="A15" s="64"/>
      <c r="B15" s="64"/>
      <c r="C15" s="65" t="s">
        <v>245</v>
      </c>
      <c r="D15" s="65"/>
    </row>
    <row r="17" spans="1:4">
      <c r="A17" s="87" t="s">
        <v>246</v>
      </c>
      <c r="B17" s="87"/>
      <c r="C17" s="87"/>
      <c r="D17" s="87"/>
    </row>
  </sheetData>
  <mergeCells count="7">
    <mergeCell ref="A17:D17"/>
    <mergeCell ref="A2:A10"/>
    <mergeCell ref="A11:A15"/>
    <mergeCell ref="B2:B4"/>
    <mergeCell ref="B5:B7"/>
    <mergeCell ref="B8:B10"/>
    <mergeCell ref="B12:B15"/>
  </mergeCells>
  <pageMargins left="0.7" right="0.7" top="0.75" bottom="0.75" header="0.3" footer="0.3"/>
  <pageSetup paperSize="1" firstPageNumber="4294963191" orientation="portrait" useFirstPageNumber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G7" sqref="G7:G8"/>
    </sheetView>
  </sheetViews>
  <sheetFormatPr defaultColWidth="9" defaultRowHeight="13.5" outlineLevelCol="4"/>
  <cols>
    <col min="1" max="2" width="16.1083333333333" customWidth="1"/>
    <col min="4" max="4" width="13.8833333333333" customWidth="1"/>
    <col min="5" max="5" width="69.8833333333333" customWidth="1"/>
  </cols>
  <sheetData>
    <row r="1" spans="1:5">
      <c r="A1" s="9" t="s">
        <v>247</v>
      </c>
      <c r="B1" s="9" t="s">
        <v>248</v>
      </c>
      <c r="D1" s="9" t="s">
        <v>249</v>
      </c>
      <c r="E1" s="9" t="s">
        <v>250</v>
      </c>
    </row>
    <row r="2" spans="1:5">
      <c r="A2" s="80" t="s">
        <v>199</v>
      </c>
      <c r="B2" s="80" t="s">
        <v>251</v>
      </c>
      <c r="C2" s="80" t="s">
        <v>252</v>
      </c>
      <c r="D2" s="81" t="s">
        <v>209</v>
      </c>
      <c r="E2" s="82" t="s">
        <v>253</v>
      </c>
    </row>
    <row r="3" spans="1:5">
      <c r="A3" s="80" t="s">
        <v>200</v>
      </c>
      <c r="B3" s="80" t="s">
        <v>254</v>
      </c>
      <c r="D3" s="80" t="s">
        <v>220</v>
      </c>
      <c r="E3" s="82" t="s">
        <v>255</v>
      </c>
    </row>
    <row r="4" spans="1:5">
      <c r="A4" s="80" t="s">
        <v>111</v>
      </c>
      <c r="B4" s="80" t="s">
        <v>256</v>
      </c>
      <c r="D4" s="81" t="s">
        <v>217</v>
      </c>
      <c r="E4" s="82" t="s">
        <v>257</v>
      </c>
    </row>
    <row r="5" spans="1:5">
      <c r="A5" s="80" t="s">
        <v>196</v>
      </c>
      <c r="B5" s="80" t="s">
        <v>258</v>
      </c>
      <c r="D5" s="81" t="s">
        <v>214</v>
      </c>
      <c r="E5" s="82" t="s">
        <v>259</v>
      </c>
    </row>
    <row r="6" spans="1:5">
      <c r="A6" s="80" t="s">
        <v>194</v>
      </c>
      <c r="B6" s="80" t="s">
        <v>260</v>
      </c>
      <c r="D6" s="81" t="s">
        <v>261</v>
      </c>
      <c r="E6" s="82" t="s">
        <v>262</v>
      </c>
    </row>
    <row r="7" spans="1:5">
      <c r="A7" s="80" t="s">
        <v>195</v>
      </c>
      <c r="B7" s="80" t="s">
        <v>263</v>
      </c>
      <c r="D7" s="83" t="s">
        <v>213</v>
      </c>
      <c r="E7" s="82" t="s">
        <v>264</v>
      </c>
    </row>
    <row r="8" spans="1:5">
      <c r="A8" s="80" t="s">
        <v>265</v>
      </c>
      <c r="B8" s="80" t="s">
        <v>266</v>
      </c>
      <c r="D8" s="81" t="s">
        <v>267</v>
      </c>
      <c r="E8" s="82" t="s">
        <v>268</v>
      </c>
    </row>
    <row r="9" spans="1:2">
      <c r="A9" s="80" t="s">
        <v>192</v>
      </c>
      <c r="B9" s="80" t="s">
        <v>269</v>
      </c>
    </row>
    <row r="10" spans="1:2">
      <c r="A10" s="80" t="s">
        <v>198</v>
      </c>
      <c r="B10" s="80" t="s">
        <v>270</v>
      </c>
    </row>
    <row r="11" spans="1:2">
      <c r="A11" s="80" t="s">
        <v>109</v>
      </c>
      <c r="B11" s="80" t="s">
        <v>271</v>
      </c>
    </row>
    <row r="12" spans="1:2">
      <c r="A12" s="80" t="s">
        <v>201</v>
      </c>
      <c r="B12" s="80" t="s">
        <v>272</v>
      </c>
    </row>
    <row r="13" spans="1:2">
      <c r="A13" s="80" t="s">
        <v>114</v>
      </c>
      <c r="B13" s="80" t="s">
        <v>273</v>
      </c>
    </row>
    <row r="14" spans="1:2">
      <c r="A14" s="80" t="s">
        <v>202</v>
      </c>
      <c r="B14" s="80" t="s">
        <v>274</v>
      </c>
    </row>
    <row r="15" spans="1:2">
      <c r="A15" s="80" t="s">
        <v>103</v>
      </c>
      <c r="B15" s="80" t="s">
        <v>275</v>
      </c>
    </row>
    <row r="16" spans="1:2">
      <c r="A16" s="80" t="s">
        <v>276</v>
      </c>
      <c r="B16" s="80" t="s">
        <v>277</v>
      </c>
    </row>
    <row r="17" spans="1:3">
      <c r="A17" s="80" t="s">
        <v>278</v>
      </c>
      <c r="B17" s="80" t="s">
        <v>279</v>
      </c>
      <c r="C17" s="80" t="s">
        <v>280</v>
      </c>
    </row>
    <row r="18" spans="1:3">
      <c r="A18" s="80" t="s">
        <v>281</v>
      </c>
      <c r="B18" s="80" t="s">
        <v>282</v>
      </c>
      <c r="C18" s="80" t="s">
        <v>283</v>
      </c>
    </row>
    <row r="19" spans="1:2">
      <c r="A19" s="80" t="s">
        <v>203</v>
      </c>
      <c r="B19" s="82" t="s">
        <v>284</v>
      </c>
    </row>
    <row r="20" spans="1:4">
      <c r="A20" s="80" t="s">
        <v>204</v>
      </c>
      <c r="B20" s="80" t="s">
        <v>285</v>
      </c>
      <c r="D20" s="80"/>
    </row>
    <row r="21" spans="1:2">
      <c r="A21" s="80" t="s">
        <v>106</v>
      </c>
      <c r="B21" s="82" t="s">
        <v>286</v>
      </c>
    </row>
    <row r="22" spans="1:2">
      <c r="A22" s="80" t="s">
        <v>115</v>
      </c>
      <c r="B22" s="82" t="s">
        <v>287</v>
      </c>
    </row>
  </sheetData>
  <pageMargins left="0.7" right="0.7" top="0.75" bottom="0.75" header="0.3" footer="0.3"/>
  <pageSetup paperSize="1" firstPageNumber="4294963191" orientation="portrait" useFirstPageNumber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showGridLines="0" workbookViewId="0">
      <selection activeCell="F6" sqref="F6"/>
    </sheetView>
  </sheetViews>
  <sheetFormatPr defaultColWidth="9" defaultRowHeight="13.5"/>
  <cols>
    <col min="1" max="1" width="11.4416666666667" style="36" customWidth="1"/>
    <col min="2" max="2" width="7.775" style="36" customWidth="1"/>
    <col min="3" max="6" width="8.44166666666667" style="38" customWidth="1"/>
    <col min="7" max="7" width="8.44166666666667" style="59" customWidth="1"/>
    <col min="8" max="8" width="7.775" style="38" customWidth="1"/>
    <col min="9" max="9" width="9.775" style="36" customWidth="1"/>
    <col min="10" max="10" width="7.33333333333333" style="36" customWidth="1"/>
    <col min="11" max="11" width="10" style="36" customWidth="1"/>
    <col min="12" max="12" width="10.4416666666667" style="60" customWidth="1"/>
    <col min="13" max="13" width="9" style="36"/>
    <col min="14" max="14" width="6.66666666666667" style="36" customWidth="1"/>
    <col min="15" max="16384" width="9" style="36"/>
  </cols>
  <sheetData>
    <row r="1" ht="25.5" spans="1:11">
      <c r="A1" s="2" t="s">
        <v>192</v>
      </c>
      <c r="B1" s="2" t="s">
        <v>288</v>
      </c>
      <c r="C1" s="61" t="s">
        <v>26</v>
      </c>
      <c r="D1" s="62"/>
      <c r="E1" s="63"/>
      <c r="F1" s="3" t="s">
        <v>289</v>
      </c>
      <c r="G1" s="53" t="s">
        <v>290</v>
      </c>
      <c r="H1" s="3" t="s">
        <v>291</v>
      </c>
      <c r="I1" s="4" t="s">
        <v>292</v>
      </c>
      <c r="J1" s="74" t="s">
        <v>162</v>
      </c>
      <c r="K1" s="75" t="s">
        <v>154</v>
      </c>
    </row>
    <row r="2" ht="15" customHeight="1" spans="1:14">
      <c r="A2" s="64" t="s">
        <v>23</v>
      </c>
      <c r="B2" s="65" t="str">
        <f>标准值!C11</f>
        <v>807.4</v>
      </c>
      <c r="C2" s="66"/>
      <c r="D2" s="66"/>
      <c r="E2" s="66"/>
      <c r="F2" s="67" t="str">
        <f t="shared" ref="F2:F6" si="0">IFERROR(AVERAGE(C2:E2),"")</f>
        <v/>
      </c>
      <c r="G2" s="67" t="str">
        <f t="shared" ref="G2:G6" si="1">IFERROR(F2-B2,"")</f>
        <v/>
      </c>
      <c r="H2" s="68">
        <f t="shared" ref="H2:H6" si="2">MAX(C2:E2)-MIN(C2:E2)</f>
        <v>0</v>
      </c>
      <c r="I2" s="68">
        <v>1.4</v>
      </c>
      <c r="J2" s="9">
        <v>0.4</v>
      </c>
      <c r="K2" s="9" t="str">
        <f>IF(C2="","未检测",IF(AND(ROUND(ABS(G2),1)&lt;=ROUND(ABS(I2),1),ROUND(H2,1)&lt;=ROUND(J2,1)),"合格","不合格"))</f>
        <v>未检测</v>
      </c>
      <c r="L2" s="36"/>
      <c r="N2" s="76"/>
    </row>
    <row r="3" ht="12" customHeight="1" spans="1:12">
      <c r="A3" s="64" t="s">
        <v>24</v>
      </c>
      <c r="B3" s="65" t="str">
        <f>标准值!C12</f>
        <v>640.7</v>
      </c>
      <c r="C3" s="66"/>
      <c r="D3" s="66"/>
      <c r="E3" s="66"/>
      <c r="F3" s="67" t="str">
        <f t="shared" si="0"/>
        <v/>
      </c>
      <c r="G3" s="67" t="str">
        <f t="shared" si="1"/>
        <v/>
      </c>
      <c r="H3" s="68">
        <f t="shared" si="2"/>
        <v>0</v>
      </c>
      <c r="I3" s="68">
        <v>1.4</v>
      </c>
      <c r="J3" s="9">
        <v>0.4</v>
      </c>
      <c r="K3" s="9" t="str">
        <f>IF(C3="","未检测",IF(AND(ROUND(ABS(G3),1)&lt;=ROUND(ABS(I3),1),ROUND(H3,1)&lt;=ROUND(J3,1)),"合格","不合格"))</f>
        <v>未检测</v>
      </c>
      <c r="L3" s="77"/>
    </row>
    <row r="4" spans="1:14">
      <c r="A4" s="64"/>
      <c r="B4" s="65" t="str">
        <f>标准值!C13</f>
        <v>536.8</v>
      </c>
      <c r="C4" s="66"/>
      <c r="D4" s="66"/>
      <c r="E4" s="66"/>
      <c r="F4" s="67" t="str">
        <f t="shared" si="0"/>
        <v/>
      </c>
      <c r="G4" s="67" t="str">
        <f t="shared" si="1"/>
        <v/>
      </c>
      <c r="H4" s="68">
        <f t="shared" si="2"/>
        <v>0</v>
      </c>
      <c r="I4" s="68">
        <v>1.4</v>
      </c>
      <c r="J4" s="9">
        <v>0.4</v>
      </c>
      <c r="K4" s="9" t="str">
        <f>IF(C4="","未检测",IF(AND(ROUND(ABS(G4),1)&lt;=ROUND(ABS(I4),1),ROUND(H4,1)&lt;=ROUND(J4,1)),"合格","不合格"))</f>
        <v>未检测</v>
      </c>
      <c r="L4" s="77"/>
      <c r="N4" s="78"/>
    </row>
    <row r="5" spans="1:12">
      <c r="A5" s="64"/>
      <c r="B5" s="65" t="str">
        <f>标准值!C14</f>
        <v>416.5</v>
      </c>
      <c r="C5" s="66"/>
      <c r="D5" s="66"/>
      <c r="E5" s="66"/>
      <c r="F5" s="67" t="str">
        <f t="shared" si="0"/>
        <v/>
      </c>
      <c r="G5" s="67" t="str">
        <f t="shared" si="1"/>
        <v/>
      </c>
      <c r="H5" s="68">
        <f t="shared" si="2"/>
        <v>0</v>
      </c>
      <c r="I5" s="68">
        <v>1.4</v>
      </c>
      <c r="J5" s="9">
        <v>0.4</v>
      </c>
      <c r="K5" s="9" t="str">
        <f>IF(C5="","未检测",IF(AND(ROUND(ABS(G5),1)&lt;=ROUND(ABS(I5),1),ROUND(H5,1)&lt;=ROUND(J5,1)),"合格","不合格"))</f>
        <v>未检测</v>
      </c>
      <c r="L5" s="77"/>
    </row>
    <row r="6" ht="15" customHeight="1" spans="1:12">
      <c r="A6" s="64"/>
      <c r="B6" s="65" t="str">
        <f>标准值!C15</f>
        <v>361.0</v>
      </c>
      <c r="C6" s="66"/>
      <c r="D6" s="66"/>
      <c r="E6" s="66"/>
      <c r="F6" s="67" t="str">
        <f t="shared" si="0"/>
        <v/>
      </c>
      <c r="G6" s="67" t="str">
        <f t="shared" si="1"/>
        <v/>
      </c>
      <c r="H6" s="68">
        <f t="shared" si="2"/>
        <v>0</v>
      </c>
      <c r="I6" s="68">
        <v>1.4</v>
      </c>
      <c r="J6" s="9">
        <v>0.4</v>
      </c>
      <c r="K6" s="9" t="str">
        <f>IF(C6="","未检测",IF(AND(ROUND(ABS(G6),1)&lt;=ROUND(ABS(I6),1),ROUND(H6,1)&lt;=ROUND(J6,1)),"合格","不合格"))</f>
        <v>未检测</v>
      </c>
      <c r="L6" s="77"/>
    </row>
    <row r="7" ht="15" customHeight="1" spans="1:12">
      <c r="A7" s="69"/>
      <c r="B7" s="70"/>
      <c r="C7" s="71"/>
      <c r="D7" s="72"/>
      <c r="E7" s="72"/>
      <c r="F7" s="72"/>
      <c r="G7" s="73"/>
      <c r="H7" s="72"/>
      <c r="I7" s="72"/>
      <c r="J7" s="79"/>
      <c r="K7" s="46"/>
      <c r="L7" s="77"/>
    </row>
    <row r="8" spans="12:12">
      <c r="L8" s="36"/>
    </row>
    <row r="9" spans="12:12">
      <c r="L9" s="36"/>
    </row>
    <row r="10" spans="12:12">
      <c r="L10" s="36"/>
    </row>
    <row r="11" spans="12:12">
      <c r="L11" s="36"/>
    </row>
    <row r="12" spans="12:12">
      <c r="L12" s="36"/>
    </row>
    <row r="13" spans="12:12">
      <c r="L13" s="36"/>
    </row>
    <row r="14" spans="12:12">
      <c r="L14" s="36"/>
    </row>
    <row r="15" spans="12:12">
      <c r="L15" s="36"/>
    </row>
  </sheetData>
  <mergeCells count="2">
    <mergeCell ref="C1:E1"/>
    <mergeCell ref="A3:A6"/>
  </mergeCells>
  <conditionalFormatting sqref="K2:K7">
    <cfRule type="cellIs" dxfId="0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showGridLines="0" workbookViewId="0">
      <selection activeCell="E6" sqref="E6"/>
    </sheetView>
  </sheetViews>
  <sheetFormatPr defaultColWidth="9" defaultRowHeight="13.5"/>
  <cols>
    <col min="1" max="1" width="13.3333333333333" style="36" customWidth="1"/>
    <col min="2" max="2" width="7.21666666666667" style="46" customWidth="1"/>
    <col min="3" max="3" width="7.21666666666667" style="38" customWidth="1"/>
    <col min="4" max="6" width="7.88333333333333" style="47" customWidth="1"/>
    <col min="7" max="7" width="8.775" style="48" customWidth="1"/>
    <col min="8" max="8" width="7.88333333333333" style="49" customWidth="1"/>
    <col min="9" max="9" width="7.21666666666667" style="38" customWidth="1"/>
    <col min="10" max="11" width="7.21666666666667" style="36" customWidth="1"/>
    <col min="12" max="12" width="10" style="36" customWidth="1"/>
    <col min="13" max="13" width="9" style="36"/>
    <col min="14" max="14" width="14.3333333333333" style="36" customWidth="1"/>
    <col min="15" max="20" width="9" style="36"/>
    <col min="21" max="21" width="16.1083333333333" style="36" customWidth="1"/>
    <col min="22" max="22" width="13.8833333333333" style="36" customWidth="1"/>
    <col min="23" max="16384" width="9" style="36"/>
  </cols>
  <sheetData>
    <row r="1" ht="38.25" spans="1:12">
      <c r="A1" s="2" t="s">
        <v>192</v>
      </c>
      <c r="B1" s="2" t="s">
        <v>293</v>
      </c>
      <c r="C1" s="3" t="s">
        <v>241</v>
      </c>
      <c r="D1" s="50" t="s">
        <v>55</v>
      </c>
      <c r="E1" s="51"/>
      <c r="F1" s="52"/>
      <c r="G1" s="3" t="s">
        <v>294</v>
      </c>
      <c r="H1" s="53" t="s">
        <v>295</v>
      </c>
      <c r="I1" s="3" t="s">
        <v>296</v>
      </c>
      <c r="J1" s="4" t="s">
        <v>297</v>
      </c>
      <c r="K1" s="4" t="s">
        <v>298</v>
      </c>
      <c r="L1" s="2" t="s">
        <v>154</v>
      </c>
    </row>
    <row r="2" spans="1:12">
      <c r="A2" s="54" t="s">
        <v>35</v>
      </c>
      <c r="B2" s="55">
        <v>635</v>
      </c>
      <c r="C2" s="55">
        <f>标准值!D2</f>
        <v>7.57</v>
      </c>
      <c r="D2" s="56"/>
      <c r="E2" s="56"/>
      <c r="F2" s="56"/>
      <c r="G2" s="7" t="str">
        <f t="shared" ref="G2:G10" si="0">IFERROR(AVERAGE(D2:F2),"")</f>
        <v/>
      </c>
      <c r="H2" s="57" t="str">
        <f t="shared" ref="H2:H10" si="1">IFERROR(G2-C2,"")</f>
        <v/>
      </c>
      <c r="I2" s="58">
        <f t="shared" ref="I2:I10" si="2">MAX(ROUND(D2,2),ROUND(E2,2),ROUND(F2,2))-MIN(ROUND(D2,2),ROUND(E2,2),ROUND(F2,2))</f>
        <v>0</v>
      </c>
      <c r="J2" s="13">
        <v>0.3</v>
      </c>
      <c r="K2" s="13">
        <v>0.15</v>
      </c>
      <c r="L2" s="9" t="str">
        <f t="shared" ref="L2:L10" si="3">IF(D2="","未检测",IF(E2="","不合格",IF(F2="","不合格",IF(AND(ROUND(ABS(H2),2)&lt;=ROUND(ABS(J2),2),ROUND(I2,2)&lt;=ROUND(K2,2)),"合格","不合格"))))</f>
        <v>未检测</v>
      </c>
    </row>
    <row r="3" ht="15" customHeight="1" spans="1:12">
      <c r="A3" s="55"/>
      <c r="B3" s="55">
        <v>546</v>
      </c>
      <c r="C3" s="55">
        <f>标准值!D3</f>
        <v>10.1</v>
      </c>
      <c r="D3" s="56"/>
      <c r="E3" s="56"/>
      <c r="F3" s="56"/>
      <c r="G3" s="7" t="str">
        <f t="shared" si="0"/>
        <v/>
      </c>
      <c r="H3" s="57" t="str">
        <f t="shared" si="1"/>
        <v/>
      </c>
      <c r="I3" s="58">
        <f t="shared" si="2"/>
        <v>0</v>
      </c>
      <c r="J3" s="13">
        <v>0.3</v>
      </c>
      <c r="K3" s="13">
        <v>0.15</v>
      </c>
      <c r="L3" s="9" t="str">
        <f t="shared" si="3"/>
        <v>未检测</v>
      </c>
    </row>
    <row r="4" ht="15" customHeight="1" spans="1:12">
      <c r="A4" s="55"/>
      <c r="B4" s="55">
        <v>440</v>
      </c>
      <c r="C4" s="55">
        <f>标准值!D4</f>
        <v>10.07</v>
      </c>
      <c r="D4" s="56"/>
      <c r="E4" s="56"/>
      <c r="F4" s="56"/>
      <c r="G4" s="7" t="str">
        <f t="shared" si="0"/>
        <v/>
      </c>
      <c r="H4" s="57" t="str">
        <f t="shared" si="1"/>
        <v/>
      </c>
      <c r="I4" s="58">
        <f t="shared" si="2"/>
        <v>0</v>
      </c>
      <c r="J4" s="13">
        <v>0.3</v>
      </c>
      <c r="K4" s="13">
        <v>0.15</v>
      </c>
      <c r="L4" s="9" t="str">
        <f t="shared" si="3"/>
        <v>未检测</v>
      </c>
    </row>
    <row r="5" ht="15" customHeight="1" spans="1:12">
      <c r="A5" s="54" t="s">
        <v>41</v>
      </c>
      <c r="B5" s="55">
        <v>635</v>
      </c>
      <c r="C5" s="55">
        <f>标准值!D5</f>
        <v>18.98</v>
      </c>
      <c r="D5" s="56"/>
      <c r="E5" s="56"/>
      <c r="F5" s="56"/>
      <c r="G5" s="7" t="str">
        <f t="shared" si="0"/>
        <v/>
      </c>
      <c r="H5" s="57" t="str">
        <f t="shared" si="1"/>
        <v/>
      </c>
      <c r="I5" s="58">
        <f t="shared" si="2"/>
        <v>0</v>
      </c>
      <c r="J5" s="13">
        <v>0.3</v>
      </c>
      <c r="K5" s="13">
        <v>0.15</v>
      </c>
      <c r="L5" s="9" t="str">
        <f t="shared" si="3"/>
        <v>未检测</v>
      </c>
    </row>
    <row r="6" ht="15" customHeight="1" spans="1:12">
      <c r="A6" s="55"/>
      <c r="B6" s="55">
        <v>546</v>
      </c>
      <c r="C6" s="55">
        <f>标准值!D6</f>
        <v>20.09</v>
      </c>
      <c r="D6" s="56"/>
      <c r="E6" s="56"/>
      <c r="F6" s="56"/>
      <c r="G6" s="7" t="str">
        <f t="shared" si="0"/>
        <v/>
      </c>
      <c r="H6" s="57" t="str">
        <f t="shared" si="1"/>
        <v/>
      </c>
      <c r="I6" s="58">
        <f t="shared" si="2"/>
        <v>0</v>
      </c>
      <c r="J6" s="13">
        <v>0.3</v>
      </c>
      <c r="K6" s="13">
        <v>0.15</v>
      </c>
      <c r="L6" s="9" t="str">
        <f t="shared" si="3"/>
        <v>未检测</v>
      </c>
    </row>
    <row r="7" spans="1:12">
      <c r="A7" s="55"/>
      <c r="B7" s="55">
        <v>440</v>
      </c>
      <c r="C7" s="55">
        <f>标准值!D7</f>
        <v>20.91</v>
      </c>
      <c r="D7" s="56"/>
      <c r="E7" s="56"/>
      <c r="F7" s="56"/>
      <c r="G7" s="7" t="str">
        <f t="shared" si="0"/>
        <v/>
      </c>
      <c r="H7" s="57" t="str">
        <f t="shared" si="1"/>
        <v/>
      </c>
      <c r="I7" s="58">
        <f t="shared" si="2"/>
        <v>0</v>
      </c>
      <c r="J7" s="13">
        <v>0.3</v>
      </c>
      <c r="K7" s="13">
        <v>0.15</v>
      </c>
      <c r="L7" s="9" t="str">
        <f t="shared" si="3"/>
        <v>未检测</v>
      </c>
    </row>
    <row r="8" spans="1:12">
      <c r="A8" s="54" t="s">
        <v>43</v>
      </c>
      <c r="B8" s="55">
        <v>635</v>
      </c>
      <c r="C8" s="55">
        <f>标准值!D8</f>
        <v>29.96</v>
      </c>
      <c r="D8" s="56"/>
      <c r="E8" s="56"/>
      <c r="F8" s="56"/>
      <c r="G8" s="7" t="str">
        <f t="shared" si="0"/>
        <v/>
      </c>
      <c r="H8" s="57" t="str">
        <f t="shared" si="1"/>
        <v/>
      </c>
      <c r="I8" s="58">
        <f t="shared" si="2"/>
        <v>0</v>
      </c>
      <c r="J8" s="13">
        <v>0.3</v>
      </c>
      <c r="K8" s="13">
        <v>0.15</v>
      </c>
      <c r="L8" s="9" t="str">
        <f t="shared" si="3"/>
        <v>未检测</v>
      </c>
    </row>
    <row r="9" spans="1:12">
      <c r="A9" s="55"/>
      <c r="B9" s="55">
        <v>546</v>
      </c>
      <c r="C9" s="55">
        <f>标准值!D9</f>
        <v>30.43</v>
      </c>
      <c r="D9" s="56"/>
      <c r="E9" s="56"/>
      <c r="F9" s="56"/>
      <c r="G9" s="7" t="str">
        <f t="shared" si="0"/>
        <v/>
      </c>
      <c r="H9" s="57" t="str">
        <f t="shared" si="1"/>
        <v/>
      </c>
      <c r="I9" s="58">
        <f t="shared" si="2"/>
        <v>0</v>
      </c>
      <c r="J9" s="13">
        <v>0.3</v>
      </c>
      <c r="K9" s="13">
        <v>0.15</v>
      </c>
      <c r="L9" s="9" t="str">
        <f t="shared" si="3"/>
        <v>未检测</v>
      </c>
    </row>
    <row r="10" spans="1:12">
      <c r="A10" s="55"/>
      <c r="B10" s="55">
        <v>440</v>
      </c>
      <c r="C10" s="55">
        <f>标准值!D10</f>
        <v>28.88</v>
      </c>
      <c r="D10" s="56"/>
      <c r="E10" s="56"/>
      <c r="F10" s="56"/>
      <c r="G10" s="7" t="str">
        <f t="shared" si="0"/>
        <v/>
      </c>
      <c r="H10" s="57" t="str">
        <f t="shared" si="1"/>
        <v/>
      </c>
      <c r="I10" s="58">
        <f t="shared" si="2"/>
        <v>0</v>
      </c>
      <c r="J10" s="13">
        <v>0.3</v>
      </c>
      <c r="K10" s="13">
        <v>0.15</v>
      </c>
      <c r="L10" s="9" t="str">
        <f t="shared" si="3"/>
        <v>未检测</v>
      </c>
    </row>
    <row r="14" ht="15" customHeight="1"/>
    <row r="15" ht="15" customHeight="1"/>
    <row r="21" ht="15" customHeight="1"/>
    <row r="22" ht="15" customHeight="1"/>
    <row r="24" ht="15" customHeight="1"/>
    <row r="27" ht="15" customHeight="1"/>
    <row r="28" ht="15" customHeight="1"/>
    <row r="29" ht="15" customHeight="1"/>
  </sheetData>
  <mergeCells count="4">
    <mergeCell ref="D1:F1"/>
    <mergeCell ref="A2:A4"/>
    <mergeCell ref="A5:A7"/>
    <mergeCell ref="A8:A10"/>
  </mergeCells>
  <conditionalFormatting sqref="L2:L10">
    <cfRule type="cellIs" dxfId="0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showGridLines="0" workbookViewId="0">
      <selection activeCell="C2" sqref="C2:E2"/>
    </sheetView>
  </sheetViews>
  <sheetFormatPr defaultColWidth="9" defaultRowHeight="13.5" outlineLevelRow="3" outlineLevelCol="6"/>
  <cols>
    <col min="1" max="1" width="18.3333333333333" style="36" customWidth="1"/>
    <col min="2" max="2" width="7.88333333333333" style="36" customWidth="1"/>
    <col min="3" max="5" width="12.775" style="37" customWidth="1"/>
    <col min="6" max="6" width="10" style="38" customWidth="1"/>
    <col min="7" max="7" width="9.33333333333333" style="36" customWidth="1"/>
    <col min="8" max="16384" width="9" style="36"/>
  </cols>
  <sheetData>
    <row r="1" ht="30" customHeight="1" spans="1:7">
      <c r="A1" s="2" t="s">
        <v>192</v>
      </c>
      <c r="B1" s="2" t="s">
        <v>299</v>
      </c>
      <c r="C1" s="39" t="s">
        <v>55</v>
      </c>
      <c r="D1" s="40"/>
      <c r="E1" s="40"/>
      <c r="F1" s="41" t="s">
        <v>300</v>
      </c>
      <c r="G1" s="2" t="s">
        <v>154</v>
      </c>
    </row>
    <row r="2" ht="16.5" customHeight="1" spans="1:7">
      <c r="A2" s="42" t="s">
        <v>48</v>
      </c>
      <c r="B2" s="42">
        <v>360</v>
      </c>
      <c r="C2" s="43"/>
      <c r="D2" s="43"/>
      <c r="E2" s="43"/>
      <c r="F2" s="44">
        <v>0.05</v>
      </c>
      <c r="G2" s="9" t="str">
        <f>IF(C2="","未检测",IF(D2="","不合格",IF(E2="","不合格",IF(ROUND(ABS(AVERAGE(C2:E2)),4)&lt;ROUND(F2,4),"合格","不合格"))))</f>
        <v>未检测</v>
      </c>
    </row>
    <row r="4" spans="1:1">
      <c r="A4" s="45"/>
    </row>
  </sheetData>
  <mergeCells count="1">
    <mergeCell ref="C1:E1"/>
  </mergeCells>
  <conditionalFormatting sqref="G2">
    <cfRule type="cellIs" dxfId="0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showGridLines="0" workbookViewId="0">
      <selection activeCell="B2" sqref="B2"/>
    </sheetView>
  </sheetViews>
  <sheetFormatPr defaultColWidth="9" defaultRowHeight="13.5" outlineLevelRow="4" outlineLevelCol="3"/>
  <cols>
    <col min="1" max="1" width="11.775" customWidth="1"/>
    <col min="2" max="2" width="16.1083333333333" style="31" customWidth="1"/>
    <col min="3" max="3" width="17.4416666666667" customWidth="1"/>
    <col min="4" max="4" width="12.2166666666667" customWidth="1"/>
  </cols>
  <sheetData>
    <row r="1" ht="30" customHeight="1" spans="1:4">
      <c r="A1" s="2" t="s">
        <v>192</v>
      </c>
      <c r="B1" s="32" t="s">
        <v>52</v>
      </c>
      <c r="C1" s="4" t="s">
        <v>300</v>
      </c>
      <c r="D1" s="2" t="s">
        <v>154</v>
      </c>
    </row>
    <row r="2" spans="1:4">
      <c r="A2" s="5" t="s">
        <v>50</v>
      </c>
      <c r="B2" s="33"/>
      <c r="C2" s="34">
        <v>0.002</v>
      </c>
      <c r="D2" s="9" t="str">
        <f>IF(B2="","未检测",IF(OR(B2="",(ABS(B2)&gt;C2)),"不合格","合格"))</f>
        <v>未检测</v>
      </c>
    </row>
    <row r="4" spans="2:2">
      <c r="B4" s="35"/>
    </row>
    <row r="5" spans="1:1">
      <c r="A5" s="17"/>
    </row>
  </sheetData>
  <conditionalFormatting sqref="D2">
    <cfRule type="cellIs" dxfId="0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showGridLines="0" workbookViewId="0">
      <selection activeCell="B2" sqref="B2"/>
    </sheetView>
  </sheetViews>
  <sheetFormatPr defaultColWidth="9" defaultRowHeight="13.5" outlineLevelRow="4" outlineLevelCol="3"/>
  <cols>
    <col min="1" max="1" width="12.2166666666667" customWidth="1"/>
    <col min="2" max="2" width="12.775" style="24" customWidth="1"/>
    <col min="3" max="3" width="13.2166666666667" style="25" customWidth="1"/>
    <col min="4" max="4" width="10.2166666666667" customWidth="1"/>
    <col min="5" max="5" width="13.4416666666667" customWidth="1"/>
    <col min="9" max="9" width="10" customWidth="1"/>
  </cols>
  <sheetData>
    <row r="1" ht="30" customHeight="1" spans="1:4">
      <c r="A1" s="2" t="s">
        <v>192</v>
      </c>
      <c r="B1" s="26" t="s">
        <v>55</v>
      </c>
      <c r="C1" s="27" t="s">
        <v>300</v>
      </c>
      <c r="D1" s="2" t="s">
        <v>154</v>
      </c>
    </row>
    <row r="2" spans="1:4">
      <c r="A2" s="5" t="s">
        <v>53</v>
      </c>
      <c r="B2" s="28"/>
      <c r="C2" s="29">
        <v>0.5</v>
      </c>
      <c r="D2" s="9" t="str">
        <f>IF(B2="","未检测",IF(ABS(ROUND(B2,4))&lt;ROUND(C2,4),"合格","不合格"))</f>
        <v>未检测</v>
      </c>
    </row>
    <row r="4" spans="2:2">
      <c r="B4" s="30"/>
    </row>
    <row r="5" spans="1:1">
      <c r="A5" s="17"/>
    </row>
  </sheetData>
  <conditionalFormatting sqref="D2">
    <cfRule type="cellIs" dxfId="0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showGridLines="0" workbookViewId="0">
      <selection activeCell="C2" sqref="C2:C3"/>
    </sheetView>
  </sheetViews>
  <sheetFormatPr defaultColWidth="9" defaultRowHeight="13.5" outlineLevelRow="4" outlineLevelCol="4"/>
  <cols>
    <col min="1" max="1" width="15" customWidth="1"/>
    <col min="2" max="2" width="11.3333333333333" customWidth="1"/>
    <col min="3" max="3" width="14.6666666666667" style="19" customWidth="1"/>
    <col min="4" max="4" width="14.1083333333333" style="19" customWidth="1"/>
    <col min="5" max="5" width="10" customWidth="1"/>
  </cols>
  <sheetData>
    <row r="1" ht="30" customHeight="1" spans="1:5">
      <c r="A1" s="10" t="s">
        <v>192</v>
      </c>
      <c r="B1" s="2" t="s">
        <v>103</v>
      </c>
      <c r="C1" s="20" t="s">
        <v>55</v>
      </c>
      <c r="D1" s="21" t="s">
        <v>301</v>
      </c>
      <c r="E1" s="2" t="s">
        <v>154</v>
      </c>
    </row>
    <row r="2" spans="1:5">
      <c r="A2" s="13" t="s">
        <v>173</v>
      </c>
      <c r="B2" s="14">
        <v>500</v>
      </c>
      <c r="C2" s="22"/>
      <c r="D2" s="23">
        <v>0.15</v>
      </c>
      <c r="E2" s="9" t="str">
        <f>IF(C2="","未检测",IF(C2&lt;=D2,"合格","不合格"))</f>
        <v>未检测</v>
      </c>
    </row>
    <row r="3" spans="1:5">
      <c r="A3" s="13" t="s">
        <v>174</v>
      </c>
      <c r="B3" s="14">
        <v>500</v>
      </c>
      <c r="C3" s="22"/>
      <c r="D3" s="23">
        <v>0.05</v>
      </c>
      <c r="E3" s="9" t="str">
        <f>IF(C3="","未检测",IF(C3&lt;=D3,"合格","不合格"))</f>
        <v>未检测</v>
      </c>
    </row>
    <row r="5" spans="1:2">
      <c r="A5" s="17"/>
      <c r="B5" s="18"/>
    </row>
  </sheetData>
  <conditionalFormatting sqref="E2:E3">
    <cfRule type="cellIs" dxfId="0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showGridLines="0" workbookViewId="0">
      <selection activeCell="C2" sqref="C2:C5"/>
    </sheetView>
  </sheetViews>
  <sheetFormatPr defaultColWidth="9" defaultRowHeight="13.5" outlineLevelRow="6" outlineLevelCol="4"/>
  <cols>
    <col min="1" max="1" width="16.1083333333333" customWidth="1"/>
    <col min="2" max="2" width="11.3333333333333" customWidth="1"/>
    <col min="3" max="3" width="14.3333333333333" style="1" customWidth="1"/>
    <col min="4" max="4" width="14.2166666666667" style="1" customWidth="1"/>
    <col min="5" max="5" width="10.775" customWidth="1"/>
  </cols>
  <sheetData>
    <row r="1" ht="30" customHeight="1" spans="1:5">
      <c r="A1" s="10" t="s">
        <v>192</v>
      </c>
      <c r="B1" s="2" t="s">
        <v>302</v>
      </c>
      <c r="C1" s="11" t="s">
        <v>55</v>
      </c>
      <c r="D1" s="12" t="s">
        <v>301</v>
      </c>
      <c r="E1" s="2" t="s">
        <v>154</v>
      </c>
    </row>
    <row r="2" spans="1:5">
      <c r="A2" s="13" t="s">
        <v>176</v>
      </c>
      <c r="B2" s="14">
        <v>1090</v>
      </c>
      <c r="C2" s="15"/>
      <c r="D2" s="16">
        <v>1</v>
      </c>
      <c r="E2" s="9" t="str">
        <f>IF(C2="","未检测",IF(C2&lt;=D2,"合格","不合格"))</f>
        <v>未检测</v>
      </c>
    </row>
    <row r="3" spans="1:5">
      <c r="A3" s="13" t="s">
        <v>177</v>
      </c>
      <c r="B3" s="14">
        <v>1090</v>
      </c>
      <c r="C3" s="15"/>
      <c r="D3" s="16">
        <v>0.3</v>
      </c>
      <c r="E3" s="9" t="str">
        <f>IF(C3="","未检测",IF(C3&lt;=D3,"合格","不合格"))</f>
        <v>未检测</v>
      </c>
    </row>
    <row r="4" spans="1:5">
      <c r="A4" s="13" t="s">
        <v>178</v>
      </c>
      <c r="B4" s="14">
        <v>335</v>
      </c>
      <c r="C4" s="15"/>
      <c r="D4" s="16">
        <v>1</v>
      </c>
      <c r="E4" s="9" t="str">
        <f>IF(C4="","未检测",IF(C4&lt;=D4,"合格","不合格"))</f>
        <v>未检测</v>
      </c>
    </row>
    <row r="5" spans="1:5">
      <c r="A5" s="13" t="s">
        <v>179</v>
      </c>
      <c r="B5" s="14">
        <v>335</v>
      </c>
      <c r="C5" s="15"/>
      <c r="D5" s="16">
        <v>0.3</v>
      </c>
      <c r="E5" s="9" t="str">
        <f>IF(C5="","未检测",IF(C5&lt;=D5,"合格","不合格"))</f>
        <v>未检测</v>
      </c>
    </row>
    <row r="7" spans="1:2">
      <c r="A7" s="17"/>
      <c r="B7" s="18"/>
    </row>
  </sheetData>
  <conditionalFormatting sqref="E2:E5">
    <cfRule type="cellIs" dxfId="0" priority="1" operator="equal">
      <formula>"不合格"</formula>
    </cfRule>
  </conditionalFormatting>
  <pageMargins left="0.7" right="0.7" top="0.75" bottom="0.75" header="0.3" footer="0.3"/>
  <pageSetup paperSize="1" firstPageNumber="4294963191" orientation="portrait" useFirstPageNumber="1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workbookViewId="0">
      <selection activeCell="C5" sqref="C5"/>
    </sheetView>
  </sheetViews>
  <sheetFormatPr defaultColWidth="9" defaultRowHeight="13.5" outlineLevelCol="4"/>
  <cols>
    <col min="1" max="2" width="10.4416666666667" customWidth="1"/>
    <col min="3" max="3" width="16.6666666666667" style="1" customWidth="1"/>
    <col min="4" max="4" width="16.6666666666667" customWidth="1"/>
    <col min="5" max="5" width="10.775" customWidth="1"/>
  </cols>
  <sheetData>
    <row r="1" ht="30" customHeight="1" spans="1:5">
      <c r="A1" s="2" t="s">
        <v>192</v>
      </c>
      <c r="B1" s="2" t="s">
        <v>302</v>
      </c>
      <c r="C1" s="3" t="s">
        <v>55</v>
      </c>
      <c r="D1" s="4" t="s">
        <v>300</v>
      </c>
      <c r="E1" s="2" t="s">
        <v>154</v>
      </c>
    </row>
    <row r="2" spans="1:5">
      <c r="A2" s="5" t="s">
        <v>180</v>
      </c>
      <c r="B2" s="6">
        <v>500</v>
      </c>
      <c r="C2" s="7"/>
      <c r="D2" s="8">
        <v>0.2</v>
      </c>
      <c r="E2" s="9" t="str">
        <f t="shared" ref="E2:E11" si="0">IF(C2="","未检测",IF(C2&lt;=D2,"合格","不合格"))</f>
        <v>未检测</v>
      </c>
    </row>
    <row r="3" spans="1:5">
      <c r="A3" s="5" t="s">
        <v>180</v>
      </c>
      <c r="B3" s="6">
        <v>500</v>
      </c>
      <c r="C3" s="7"/>
      <c r="D3" s="8">
        <v>0.2</v>
      </c>
      <c r="E3" s="9" t="str">
        <f t="shared" si="0"/>
        <v>未检测</v>
      </c>
    </row>
    <row r="4" spans="1:5">
      <c r="A4" s="5" t="s">
        <v>180</v>
      </c>
      <c r="B4" s="6">
        <v>500</v>
      </c>
      <c r="C4" s="7"/>
      <c r="D4" s="8">
        <v>0.2</v>
      </c>
      <c r="E4" s="9" t="str">
        <f t="shared" si="0"/>
        <v>未检测</v>
      </c>
    </row>
    <row r="5" spans="1:5">
      <c r="A5" s="5" t="s">
        <v>180</v>
      </c>
      <c r="B5" s="6">
        <v>500</v>
      </c>
      <c r="C5" s="7"/>
      <c r="D5" s="8">
        <v>0.2</v>
      </c>
      <c r="E5" s="9" t="str">
        <f t="shared" si="0"/>
        <v>未检测</v>
      </c>
    </row>
    <row r="6" spans="1:5">
      <c r="A6" s="5" t="s">
        <v>180</v>
      </c>
      <c r="B6" s="6">
        <v>500</v>
      </c>
      <c r="C6" s="7"/>
      <c r="D6" s="8">
        <v>0.2</v>
      </c>
      <c r="E6" s="9" t="str">
        <f t="shared" si="0"/>
        <v>未检测</v>
      </c>
    </row>
    <row r="7" spans="1:5">
      <c r="A7" s="5" t="s">
        <v>180</v>
      </c>
      <c r="B7" s="6">
        <v>500</v>
      </c>
      <c r="C7" s="7"/>
      <c r="D7" s="8">
        <v>0.2</v>
      </c>
      <c r="E7" s="9" t="str">
        <f t="shared" si="0"/>
        <v>未检测</v>
      </c>
    </row>
    <row r="8" spans="1:5">
      <c r="A8" s="5" t="s">
        <v>180</v>
      </c>
      <c r="B8" s="6">
        <v>500</v>
      </c>
      <c r="C8" s="7"/>
      <c r="D8" s="8">
        <v>0.2</v>
      </c>
      <c r="E8" s="9" t="str">
        <f t="shared" si="0"/>
        <v>未检测</v>
      </c>
    </row>
    <row r="9" spans="1:5">
      <c r="A9" s="5" t="s">
        <v>180</v>
      </c>
      <c r="B9" s="6">
        <v>500</v>
      </c>
      <c r="C9" s="7"/>
      <c r="D9" s="8">
        <v>0.2</v>
      </c>
      <c r="E9" s="9" t="str">
        <f t="shared" si="0"/>
        <v>未检测</v>
      </c>
    </row>
    <row r="10" spans="1:5">
      <c r="A10" s="5" t="s">
        <v>180</v>
      </c>
      <c r="B10" s="6">
        <v>500</v>
      </c>
      <c r="C10" s="7"/>
      <c r="D10" s="8">
        <v>0.2</v>
      </c>
      <c r="E10" s="9" t="str">
        <f t="shared" si="0"/>
        <v>未检测</v>
      </c>
    </row>
    <row r="11" spans="1:5">
      <c r="A11" s="5" t="s">
        <v>180</v>
      </c>
      <c r="B11" s="6">
        <v>500</v>
      </c>
      <c r="C11" s="7"/>
      <c r="D11" s="8">
        <v>0.2</v>
      </c>
      <c r="E11" s="9" t="str">
        <f t="shared" si="0"/>
        <v>未检测</v>
      </c>
    </row>
  </sheetData>
  <conditionalFormatting sqref="E2:E11">
    <cfRule type="cellIs" dxfId="0" priority="1" operator="equal">
      <formula>"不合格"</formula>
    </cfRule>
  </conditionalFormatting>
  <pageMargins left="0.7" right="0.7" top="0.75" bottom="0.75" header="0.3" footer="0.3"/>
  <pageSetup paperSize="1" firstPageNumber="4294963191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Report</vt:lpstr>
      <vt:lpstr>基础信息</vt:lpstr>
      <vt:lpstr>测量结果表</vt:lpstr>
      <vt:lpstr>管理表</vt:lpstr>
      <vt:lpstr>对应信息</vt:lpstr>
      <vt:lpstr>检测项信息</vt:lpstr>
      <vt:lpstr>仪器状态</vt:lpstr>
      <vt:lpstr>样品池准确度与重复性校验</vt:lpstr>
      <vt:lpstr>标准值</vt:lpstr>
      <vt:lpstr>字段对应</vt:lpstr>
      <vt:lpstr>波长示值误差与重复性校验</vt:lpstr>
      <vt:lpstr>透射比示值误差与重复性校验</vt:lpstr>
      <vt:lpstr>杂散光校验</vt:lpstr>
      <vt:lpstr>基线平直度检验</vt:lpstr>
      <vt:lpstr>基线暗噪声检验</vt:lpstr>
      <vt:lpstr>噪声检验</vt:lpstr>
      <vt:lpstr>波长边缘噪声</vt:lpstr>
      <vt:lpstr>漂移检验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99153</dc:creator>
  <cp:lastModifiedBy>寻</cp:lastModifiedBy>
  <cp:revision>0</cp:revision>
  <dcterms:created xsi:type="dcterms:W3CDTF">2006-09-16T00:00:00Z</dcterms:created>
  <dcterms:modified xsi:type="dcterms:W3CDTF">2025-08-12T08:02:58Z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D3AA025DB0014318AFB77A69C90EADCF_12</vt:lpwstr>
  </property>
  <property fmtid="{D5CDD505-2E9C-101B-9397-08002B2CF9AE}" pid="3" name="KSOProductBuildVer">
    <vt:lpwstr>2052-12.1.0.21915</vt:lpwstr>
  </property>
</Properties>
</file>