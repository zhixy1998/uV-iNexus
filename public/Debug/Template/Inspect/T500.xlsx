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62" firstSheet="3" activeTab="18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r:id="rId5"/>
    <sheet name="检测项信息" sheetId="14" r:id="rId6"/>
    <sheet name="仪器状态" sheetId="22" r:id="rId7"/>
    <sheet name="样品池准确度与重复性校验" sheetId="24" state="hidden" r:id="rId8"/>
    <sheet name="字段对应" sheetId="15" state="hidden" r:id="rId9"/>
    <sheet name="标准值" sheetId="16" r:id="rId10"/>
    <sheet name="波长示值误差与重复性校验" sheetId="3" r:id="rId11"/>
    <sheet name="透射比示值误差与重复性校验" sheetId="4" r:id="rId12"/>
    <sheet name="杂散光校验" sheetId="5" r:id="rId13"/>
    <sheet name="基线平直度检验" sheetId="6" r:id="rId14"/>
    <sheet name="分辨率检验" sheetId="23" r:id="rId15"/>
    <sheet name="基线暗噪声检验" sheetId="7" r:id="rId16"/>
    <sheet name="光谱带宽与仪器最小光谱带宽" sheetId="8" r:id="rId17"/>
    <sheet name="噪声检验" sheetId="9" r:id="rId18"/>
    <sheet name="波长边缘噪声" sheetId="10" r:id="rId19"/>
    <sheet name="漂移检验" sheetId="11" r:id="rId20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<sst xmlns="http://schemas.openxmlformats.org/spreadsheetml/2006/main" count="867" uniqueCount="364">
  <si>
    <t>北京普析通用仪器有限责任公司</t>
  </si>
  <si>
    <t>文件编号</t>
  </si>
  <si>
    <t>KF/R-01-003</t>
  </si>
  <si>
    <t>T500系列紫外可见分光光度计整机检验原始记录表</t>
  </si>
  <si>
    <t>版本/修订</t>
  </si>
  <si>
    <t>B/0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</si>
  <si>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</si>
  <si>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</si>
  <si>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</si>
  <si>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</si>
  <si>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</si>
  <si>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</si>
  <si>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</si>
  <si>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</si>
  <si>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</si>
  <si>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序号</t>
  </si>
  <si>
    <t>检验项目</t>
  </si>
  <si>
    <t>结果</t>
  </si>
  <si>
    <t>波长示值误差与重复性</t>
  </si>
  <si>
    <t xml:space="preserve">
波长示值误差
氘灯：
±1.0nm
镨钕：
±1.0nm
波长重复性
≤0.2nm 
</t>
  </si>
  <si>
    <t>波长段</t>
  </si>
  <si>
    <t>B段</t>
  </si>
  <si>
    <t>检测工具</t>
  </si>
  <si>
    <t>镨钕滤光片</t>
  </si>
  <si>
    <t>氘灯</t>
  </si>
  <si>
    <t>标准值(nm)</t>
  </si>
  <si>
    <t>测量值（nm）</t>
  </si>
  <si>
    <t>平均值(nm)</t>
  </si>
  <si>
    <t>误差值(nm)</t>
  </si>
  <si>
    <t>重复性(nm)</t>
  </si>
  <si>
    <t xml:space="preserve">波长示值误差与重复性
</t>
  </si>
  <si>
    <t xml:space="preserve">
波长示值误差
钬溶液：
±1.0nm
波长重复性
≤0.2nm </t>
  </si>
  <si>
    <t>钬溶液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</si>
  <si>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</si>
  <si>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</si>
  <si>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</si>
  <si>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</si>
  <si>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</si>
  <si>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</si>
  <si>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</si>
  <si>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</si>
  <si>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</si>
  <si>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</si>
  <si>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</si>
  <si>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</si>
  <si>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≤0.15%</t>
  </si>
  <si>
    <t>30%中性滤光片</t>
  </si>
  <si>
    <t xml:space="preserve">透射比示值误差与
重复性
（紫外区）
</t>
  </si>
  <si>
    <t xml:space="preserve">透射比示值误差
±0.3%
透射比重复性
≤0.15%
</t>
  </si>
  <si>
    <t>紫外分光光度计标准物质GBW(E)130066</t>
  </si>
  <si>
    <t>标准值（%）</t>
  </si>
  <si>
    <t>测量值（%）</t>
  </si>
  <si>
    <t>杂散光</t>
  </si>
  <si>
    <t>检验工具</t>
  </si>
  <si>
    <t>220nm</t>
  </si>
  <si>
    <t>&lt;0.05%</t>
  </si>
  <si>
    <t>碘化钠标准溶液</t>
  </si>
  <si>
    <t>测量值
（%）</t>
  </si>
  <si>
    <t>360nm</t>
  </si>
  <si>
    <t>≤0.05%</t>
  </si>
  <si>
    <t>亚硝酸钠标准溶液</t>
  </si>
  <si>
    <t>基线平直度</t>
  </si>
  <si>
    <t>≤±0.002（2.0nm光谱带宽）</t>
  </si>
  <si>
    <t>测量值（Abs）</t>
  </si>
  <si>
    <t>基线暗噪声</t>
  </si>
  <si>
    <t>≤±0.3%</t>
  </si>
  <si>
    <t>光谱带宽</t>
  </si>
  <si>
    <t>不超过标称光谱带宽的±20%</t>
  </si>
  <si>
    <t>光谱带宽（nm）</t>
  </si>
  <si>
    <t>氘灯2.0</t>
  </si>
  <si>
    <t>测量值(nm)</t>
  </si>
  <si>
    <t>偏差（%）</t>
  </si>
  <si>
    <t>噪声500nm</t>
  </si>
  <si>
    <t>≤0.12%</t>
  </si>
  <si>
    <t>噪声250nm</t>
  </si>
  <si>
    <t>边缘噪声
1090 nm</t>
  </si>
  <si>
    <t>≤0.5%</t>
  </si>
  <si>
    <t>≤0.2%</t>
  </si>
  <si>
    <t>边缘噪声200nm</t>
  </si>
  <si>
    <t>漂移</t>
  </si>
  <si>
    <t>500nm ≤0.24%/h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</si>
  <si>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</si>
  <si>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</si>
  <si>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</si>
  <si>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</si>
  <si>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</si>
  <si>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</si>
  <si>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</si>
  <si>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</si>
  <si>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</si>
  <si>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</si>
  <si>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</si>
  <si>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</si>
  <si>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</si>
  <si>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</si>
  <si>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</si>
  <si>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</si>
  <si>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</si>
  <si>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</si>
  <si>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</si>
  <si>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</si>
  <si>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</si>
  <si>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</si>
  <si>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</si>
  <si>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</si>
  <si>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</si>
  <si>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</si>
  <si>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</si>
  <si>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</si>
  <si>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</si>
  <si>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</si>
  <si>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</si>
  <si>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</si>
  <si>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</si>
  <si>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</si>
  <si>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</si>
  <si>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</si>
  <si>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</si>
  <si>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</si>
  <si>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</si>
  <si>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</si>
  <si>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</si>
  <si>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</si>
  <si>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</si>
  <si>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</si>
  <si>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</si>
  <si>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</si>
  <si>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</si>
  <si>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</si>
  <si>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</si>
  <si>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</si>
  <si>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</si>
  <si>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</si>
  <si>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</si>
  <si>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</si>
  <si>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</si>
  <si>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快速</t>
  </si>
  <si>
    <t>低压汞灯A段</t>
  </si>
  <si>
    <t>否</t>
  </si>
  <si>
    <t>其它</t>
  </si>
  <si>
    <t>T%</t>
  </si>
  <si>
    <t>中速</t>
  </si>
  <si>
    <t>低压汞灯B段</t>
  </si>
  <si>
    <t>365.0,435.8,546.1</t>
  </si>
  <si>
    <t>汞灯</t>
  </si>
  <si>
    <t>Es</t>
  </si>
  <si>
    <t>慢速</t>
  </si>
  <si>
    <t>1.0</t>
  </si>
  <si>
    <t>739.2,,807.4</t>
  </si>
  <si>
    <t>Er</t>
  </si>
  <si>
    <t>最慢速</t>
  </si>
  <si>
    <t>2.0</t>
  </si>
  <si>
    <t>635.0,546.0,440.0</t>
  </si>
  <si>
    <t>R%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</si>
  <si>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</si>
  <si>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</si>
  <si>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</si>
  <si>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</si>
  <si>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</si>
  <si>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</si>
  <si>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</si>
  <si>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</si>
  <si>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</si>
  <si>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</si>
  <si>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</si>
  <si>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</si>
  <si>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</si>
  <si>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</si>
  <si>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</si>
  <si>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</si>
  <si>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</si>
  <si>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</si>
  <si>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</si>
  <si>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</si>
  <si>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</si>
  <si>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</si>
  <si>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</si>
  <si>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</si>
  <si>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</si>
  <si>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</si>
  <si>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</si>
  <si>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</si>
  <si>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</si>
  <si>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</si>
  <si>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</si>
  <si>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</si>
  <si>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</si>
  <si>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</si>
  <si>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</si>
  <si>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</si>
  <si>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</si>
  <si>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</si>
  <si>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</si>
  <si>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</si>
  <si>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</si>
  <si>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</si>
  <si>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</si>
  <si>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</si>
  <si>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</si>
  <si>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</si>
  <si>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</si>
  <si>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</si>
  <si>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</si>
  <si>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</si>
  <si>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</si>
  <si>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</si>
  <si>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</si>
  <si>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</si>
  <si>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</si>
  <si>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</si>
  <si>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</si>
  <si>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</si>
  <si>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</si>
  <si>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1401</t>
  </si>
  <si>
    <t>T400</t>
  </si>
  <si>
    <t>1501</t>
  </si>
  <si>
    <t>T500</t>
  </si>
  <si>
    <t>1610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</si>
  <si>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6新悦</t>
    </r>
  </si>
  <si>
    <t>1650</t>
  </si>
  <si>
    <t>T6新世纪</t>
  </si>
  <si>
    <t>分辨率检验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</si>
  <si>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</si>
  <si>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</si>
  <si>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</si>
  <si>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</si>
  <si>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</si>
  <si>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</si>
  <si>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</si>
  <si>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</si>
  <si>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</si>
  <si>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</si>
  <si>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</si>
  <si>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</si>
  <si>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</si>
  <si>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</si>
  <si>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</si>
  <si>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</si>
  <si>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氘灯(656.1)</t>
  </si>
  <si>
    <t>寻峰</t>
  </si>
  <si>
    <t>空气</t>
  </si>
  <si>
    <t>氘灯(486.0)</t>
  </si>
  <si>
    <t>黑挡块</t>
  </si>
  <si>
    <t>640.7,536.8,416.5,361.0,287.4,241.0</t>
  </si>
  <si>
    <t>求半峰宽</t>
  </si>
  <si>
    <t>求最大偏移量</t>
  </si>
  <si>
    <t>分辨率</t>
  </si>
  <si>
    <t>最大最小值比</t>
  </si>
  <si>
    <t>分辨率空白溶液</t>
  </si>
  <si>
    <t>分辨率溶液</t>
  </si>
  <si>
    <t>计算方法是高点除以低点的结果值大于1.4算合格</t>
  </si>
  <si>
    <t>最大最小值差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</si>
  <si>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</si>
  <si>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</si>
  <si>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</si>
  <si>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</si>
  <si>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</si>
  <si>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</si>
  <si>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</si>
  <si>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198-200nm杂散光</t>
  </si>
  <si>
    <t>200,199,198</t>
  </si>
  <si>
    <t>氯化钾空白溶液</t>
  </si>
  <si>
    <t>氯化钾溶液</t>
  </si>
  <si>
    <t>其中有一个点大于2.0就算合格</t>
  </si>
  <si>
    <t>350,313,257,235</t>
  </si>
  <si>
    <t>求平均</t>
  </si>
  <si>
    <t>紫外分光光度计标准物质空白溶液</t>
  </si>
  <si>
    <t>23.2,51.58,14.06,18.42</t>
  </si>
  <si>
    <t>635,546,440</t>
  </si>
  <si>
    <t>7.57,10.1,10.07</t>
  </si>
  <si>
    <t>18.89,20.09,20.91</t>
  </si>
  <si>
    <t>29.96,30.43,28.88</t>
  </si>
  <si>
    <t>仪器预热1小时之后进行检验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</si>
  <si>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</si>
  <si>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</si>
  <si>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</si>
  <si>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</si>
  <si>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</si>
  <si>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</si>
  <si>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</si>
  <si>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</si>
  <si>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</si>
  <si>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</si>
  <si>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</si>
  <si>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</si>
  <si>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</si>
  <si>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</si>
  <si>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</si>
  <si>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</si>
  <si>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</si>
  <si>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</si>
  <si>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</si>
  <si>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</si>
  <si>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</si>
  <si>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</si>
  <si>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</si>
  <si>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</si>
  <si>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</si>
  <si>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</si>
  <si>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</si>
  <si>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</si>
  <si>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</si>
  <si>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</si>
  <si>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</si>
  <si>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</si>
  <si>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</si>
  <si>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</si>
  <si>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</si>
  <si>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</si>
  <si>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</si>
  <si>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</si>
  <si>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</si>
  <si>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</si>
  <si>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</si>
  <si>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</si>
  <si>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</si>
  <si>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</si>
  <si>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Validation.ViewModel.DataStructure.GetRatioOfMaxToMinUVTestTool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</si>
  <si>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</si>
  <si>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</si>
  <si>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</si>
  <si>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</si>
  <si>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</si>
  <si>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</si>
  <si>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</si>
  <si>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</si>
  <si>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</si>
  <si>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</si>
  <si>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</si>
  <si>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</si>
  <si>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</si>
  <si>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</si>
  <si>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</si>
  <si>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</si>
  <si>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</si>
  <si>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</si>
  <si>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测试项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</si>
  <si>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</si>
  <si>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</si>
  <si>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</si>
  <si>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</si>
  <si>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</si>
  <si>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</si>
  <si>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</si>
  <si>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特征值（nm）</t>
  </si>
  <si>
    <t>平均值（nm）</t>
  </si>
  <si>
    <t>误差值（nm）</t>
  </si>
  <si>
    <t>重复性（nm）</t>
  </si>
  <si>
    <t>波长示值误差(nm)</t>
  </si>
  <si>
    <t>氘灯656.1</t>
  </si>
  <si>
    <t>氘灯486</t>
  </si>
  <si>
    <t>486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</si>
  <si>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</si>
  <si>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</si>
  <si>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</si>
  <si>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</si>
  <si>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</si>
  <si>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</si>
  <si>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</si>
  <si>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</si>
  <si>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氯化钾标准溶液</t>
  </si>
  <si>
    <t>误差范围（%）</t>
  </si>
  <si>
    <t>垂直距离范围</t>
  </si>
  <si>
    <t>测量波长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</si>
</sst>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_ "/>
    <numFmt numFmtId="178" formatCode="0.00_);[Red]\(0.00\)"/>
    <numFmt numFmtId="179" formatCode="0.0"/>
    <numFmt numFmtId="180" formatCode="0.00_ "/>
    <numFmt numFmtId="181" formatCode="0.0_);[Red]\(0.0\)"/>
    <numFmt numFmtId="182" formatCode="0.0000_ "/>
    <numFmt numFmtId="183" formatCode="0.00_ ;[Red]\-0.00\ "/>
    <numFmt numFmtId="184" formatCode="0.0_ "/>
    <numFmt numFmtId="185" formatCode="0.0000000_ ;[Red]\-0.0000000\ "/>
    <numFmt numFmtId="186" formatCode="[$-F800]dddd\,\ mmmm\ dd\,\ yyyy"/>
    <numFmt numFmtId="187" formatCode="0.0000_);[Red]\(0.0000\)"/>
    <numFmt numFmtId="188" formatCode="0.00000_ "/>
  </numFmts>
  <fonts count="40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22" applyNumberFormat="0" applyAlignment="0" applyProtection="0">
      <alignment vertical="center"/>
    </xf>
    <xf numFmtId="0" fontId="30" fillId="11" borderId="23" applyNumberFormat="0" applyAlignment="0" applyProtection="0">
      <alignment vertical="center"/>
    </xf>
    <xf numFmtId="0" fontId="31" fillId="11" borderId="22" applyNumberFormat="0" applyAlignment="0" applyProtection="0">
      <alignment vertical="center"/>
    </xf>
    <xf numFmtId="0" fontId="32" fillId="12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68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8" fontId="0" fillId="0" borderId="0" xfId="0" applyNumberFormat="1"/>
    <xf numFmtId="0" fontId="1" fillId="2" borderId="1" xfId="0" applyFont="1" applyFill="1" applyBorder="1" applyAlignment="1">
      <alignment vertical="center" wrapText="1"/>
    </xf>
    <xf numFmtId="178" fontId="1" fillId="2" borderId="1" xfId="0" applyNumberFormat="1" applyFont="1" applyFill="1" applyBorder="1" applyAlignment="1">
      <alignment vertical="center" wrapText="1"/>
    </xf>
    <xf numFmtId="178" fontId="1" fillId="3" borderId="1" xfId="0" applyNumberFormat="1" applyFont="1" applyFill="1" applyBorder="1" applyAlignment="1">
      <alignment vertical="center" wrapText="1"/>
    </xf>
    <xf numFmtId="0" fontId="3" fillId="0" borderId="1" xfId="0" applyFont="1" applyBorder="1"/>
    <xf numFmtId="179" fontId="4" fillId="0" borderId="1" xfId="0" applyNumberFormat="1" applyFont="1" applyBorder="1" applyAlignment="1">
      <alignment horizontal="center" vertical="center" wrapText="1"/>
    </xf>
    <xf numFmtId="180" fontId="0" fillId="0" borderId="1" xfId="0" applyNumberFormat="1" applyBorder="1"/>
    <xf numFmtId="181" fontId="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176" fontId="1" fillId="2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vertical="center" wrapText="1"/>
    </xf>
    <xf numFmtId="177" fontId="0" fillId="0" borderId="1" xfId="0" applyNumberFormat="1" applyBorder="1"/>
    <xf numFmtId="178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1" fontId="3" fillId="0" borderId="0" xfId="0" applyNumberFormat="1" applyFont="1"/>
    <xf numFmtId="180" fontId="3" fillId="0" borderId="0" xfId="0" applyNumberFormat="1" applyFont="1"/>
    <xf numFmtId="181" fontId="1" fillId="2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0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/>
    </xf>
    <xf numFmtId="180" fontId="1" fillId="0" borderId="1" xfId="0" applyNumberFormat="1" applyFont="1" applyBorder="1" applyAlignment="1">
      <alignment horizontal="center" vertical="center" wrapText="1"/>
    </xf>
    <xf numFmtId="181" fontId="3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center"/>
    </xf>
    <xf numFmtId="180" fontId="0" fillId="0" borderId="0" xfId="0" applyNumberFormat="1"/>
    <xf numFmtId="181" fontId="0" fillId="0" borderId="0" xfId="0" applyNumberFormat="1"/>
    <xf numFmtId="181" fontId="1" fillId="3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Border="1"/>
    <xf numFmtId="181" fontId="3" fillId="0" borderId="1" xfId="0" applyNumberFormat="1" applyFont="1" applyBorder="1"/>
    <xf numFmtId="180" fontId="5" fillId="0" borderId="0" xfId="0" applyNumberFormat="1" applyFont="1"/>
    <xf numFmtId="178" fontId="1" fillId="2" borderId="1" xfId="0" applyNumberFormat="1" applyFont="1" applyFill="1" applyBorder="1" applyAlignment="1">
      <alignment horizontal="center" vertical="center" wrapText="1"/>
    </xf>
    <xf numFmtId="182" fontId="0" fillId="0" borderId="0" xfId="0" applyNumberFormat="1"/>
    <xf numFmtId="182" fontId="1" fillId="2" borderId="1" xfId="0" applyNumberFormat="1" applyFont="1" applyFill="1" applyBorder="1" applyAlignment="1">
      <alignment horizontal="center" vertical="center" wrapText="1"/>
    </xf>
    <xf numFmtId="182" fontId="3" fillId="0" borderId="1" xfId="0" applyNumberFormat="1" applyFont="1" applyBorder="1"/>
    <xf numFmtId="176" fontId="3" fillId="0" borderId="1" xfId="0" applyNumberFormat="1" applyFont="1" applyBorder="1"/>
    <xf numFmtId="182" fontId="5" fillId="0" borderId="0" xfId="0" applyNumberFormat="1" applyFont="1"/>
    <xf numFmtId="176" fontId="3" fillId="0" borderId="0" xfId="0" applyNumberFormat="1" applyFont="1"/>
    <xf numFmtId="178" fontId="3" fillId="0" borderId="0" xfId="0" applyNumberFormat="1" applyFont="1"/>
    <xf numFmtId="176" fontId="1" fillId="2" borderId="2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7" fontId="3" fillId="0" borderId="1" xfId="0" applyNumberFormat="1" applyFont="1" applyBorder="1"/>
    <xf numFmtId="178" fontId="4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3" fillId="0" borderId="0" xfId="0" applyNumberFormat="1" applyFont="1"/>
    <xf numFmtId="178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 wrapText="1"/>
    </xf>
    <xf numFmtId="177" fontId="1" fillId="2" borderId="6" xfId="0" applyNumberFormat="1" applyFont="1" applyFill="1" applyBorder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vertical="center" wrapText="1"/>
    </xf>
    <xf numFmtId="18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8" fontId="3" fillId="0" borderId="1" xfId="0" applyNumberFormat="1" applyFont="1" applyBorder="1"/>
    <xf numFmtId="183" fontId="3" fillId="0" borderId="0" xfId="0" applyNumberFormat="1" applyFont="1"/>
    <xf numFmtId="178" fontId="1" fillId="2" borderId="2" xfId="0" applyNumberFormat="1" applyFont="1" applyFill="1" applyBorder="1" applyAlignment="1">
      <alignment horizontal="center" vertical="center" wrapText="1"/>
    </xf>
    <xf numFmtId="178" fontId="1" fillId="2" borderId="6" xfId="0" applyNumberFormat="1" applyFont="1" applyFill="1" applyBorder="1" applyAlignment="1">
      <alignment horizontal="center" vertical="center" wrapText="1"/>
    </xf>
    <xf numFmtId="178" fontId="1" fillId="2" borderId="7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184" fontId="3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/>
    </xf>
    <xf numFmtId="183" fontId="3" fillId="0" borderId="0" xfId="0" applyNumberFormat="1" applyFont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1" fontId="3" fillId="0" borderId="0" xfId="0" applyNumberFormat="1" applyFont="1"/>
    <xf numFmtId="49" fontId="3" fillId="0" borderId="0" xfId="0" applyNumberFormat="1" applyFont="1"/>
    <xf numFmtId="185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5" borderId="1" xfId="0" applyFont="1" applyFill="1" applyBorder="1"/>
    <xf numFmtId="0" fontId="0" fillId="0" borderId="1" xfId="0" applyBorder="1"/>
    <xf numFmtId="0" fontId="0" fillId="4" borderId="1" xfId="0" applyFont="1" applyFill="1" applyBorder="1"/>
    <xf numFmtId="0" fontId="0" fillId="0" borderId="1" xfId="0" applyFont="1" applyBorder="1"/>
    <xf numFmtId="0" fontId="0" fillId="4" borderId="1" xfId="0" applyFill="1" applyBorder="1"/>
    <xf numFmtId="0" fontId="7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49" fontId="0" fillId="4" borderId="1" xfId="0" applyNumberFormat="1" applyFont="1" applyFill="1" applyBorder="1" applyAlignment="1">
      <alignment wrapText="1"/>
    </xf>
    <xf numFmtId="0" fontId="0" fillId="4" borderId="0" xfId="0" applyFont="1" applyFill="1" applyAlignment="1">
      <alignment wrapText="1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7" borderId="1" xfId="49" applyFont="1" applyFill="1" applyBorder="1" applyAlignment="1">
      <alignment horizontal="center"/>
    </xf>
    <xf numFmtId="0" fontId="0" fillId="7" borderId="1" xfId="49" applyFont="1" applyFill="1" applyBorder="1" applyAlignment="1">
      <alignment horizontal="center" vertical="center"/>
    </xf>
    <xf numFmtId="0" fontId="0" fillId="7" borderId="4" xfId="49" applyFont="1" applyFill="1" applyBorder="1" applyAlignment="1">
      <alignment horizontal="center"/>
    </xf>
    <xf numFmtId="0" fontId="0" fillId="0" borderId="0" xfId="49"/>
    <xf numFmtId="186" fontId="0" fillId="0" borderId="0" xfId="49" applyNumberFormat="1"/>
    <xf numFmtId="0" fontId="0" fillId="0" borderId="0" xfId="49" applyAlignment="1">
      <alignment horizontal="center"/>
    </xf>
    <xf numFmtId="0" fontId="3" fillId="7" borderId="2" xfId="49" applyFont="1" applyFill="1" applyBorder="1" applyAlignment="1">
      <alignment horizontal="center" vertical="center"/>
    </xf>
    <xf numFmtId="0" fontId="3" fillId="7" borderId="6" xfId="49" applyFont="1" applyFill="1" applyBorder="1" applyAlignment="1">
      <alignment horizontal="center" vertical="center"/>
    </xf>
    <xf numFmtId="0" fontId="3" fillId="7" borderId="7" xfId="49" applyFont="1" applyFill="1" applyBorder="1" applyAlignment="1">
      <alignment horizontal="center" vertical="center"/>
    </xf>
    <xf numFmtId="0" fontId="3" fillId="7" borderId="1" xfId="49" applyFont="1" applyFill="1" applyBorder="1" applyAlignment="1">
      <alignment horizontal="center"/>
    </xf>
    <xf numFmtId="0" fontId="3" fillId="7" borderId="1" xfId="50" applyFont="1" applyFill="1" applyBorder="1" applyAlignment="1">
      <alignment horizontal="center"/>
    </xf>
    <xf numFmtId="0" fontId="10" fillId="7" borderId="1" xfId="50" applyFont="1" applyFill="1" applyBorder="1" applyAlignment="1">
      <alignment horizontal="center" vertical="center" wrapText="1"/>
    </xf>
    <xf numFmtId="49" fontId="11" fillId="7" borderId="1" xfId="50" applyNumberFormat="1" applyFont="1" applyFill="1" applyBorder="1" applyAlignment="1">
      <alignment horizontal="center" vertical="center" wrapText="1"/>
    </xf>
    <xf numFmtId="178" fontId="0" fillId="7" borderId="1" xfId="50" applyNumberFormat="1" applyFont="1" applyFill="1" applyBorder="1" applyAlignment="1">
      <alignment horizontal="center"/>
    </xf>
    <xf numFmtId="49" fontId="0" fillId="7" borderId="1" xfId="50" applyNumberFormat="1" applyFont="1" applyFill="1" applyBorder="1" applyAlignment="1">
      <alignment horizontal="center"/>
    </xf>
    <xf numFmtId="0" fontId="11" fillId="7" borderId="1" xfId="50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/>
    </xf>
    <xf numFmtId="0" fontId="7" fillId="7" borderId="1" xfId="50" applyFont="1" applyFill="1" applyBorder="1" applyAlignment="1">
      <alignment horizontal="center" vertical="center" wrapText="1"/>
    </xf>
    <xf numFmtId="0" fontId="12" fillId="7" borderId="1" xfId="50" applyFont="1" applyFill="1" applyBorder="1" applyAlignment="1">
      <alignment horizontal="center" vertical="center" wrapText="1"/>
    </xf>
    <xf numFmtId="178" fontId="12" fillId="7" borderId="1" xfId="50" applyNumberFormat="1" applyFont="1" applyFill="1" applyBorder="1" applyAlignment="1">
      <alignment horizontal="center" vertical="center" wrapText="1"/>
    </xf>
    <xf numFmtId="187" fontId="0" fillId="7" borderId="1" xfId="50" applyNumberFormat="1" applyFont="1" applyFill="1" applyBorder="1" applyAlignment="1">
      <alignment horizontal="center"/>
    </xf>
    <xf numFmtId="181" fontId="0" fillId="7" borderId="1" xfId="50" applyNumberFormat="1" applyFont="1" applyFill="1" applyBorder="1" applyAlignment="1">
      <alignment horizontal="center"/>
    </xf>
    <xf numFmtId="180" fontId="10" fillId="7" borderId="1" xfId="50" applyNumberFormat="1" applyFont="1" applyFill="1" applyBorder="1" applyAlignment="1">
      <alignment horizontal="center" vertical="center" wrapText="1"/>
    </xf>
    <xf numFmtId="179" fontId="12" fillId="7" borderId="1" xfId="50" applyNumberFormat="1" applyFont="1" applyFill="1" applyBorder="1" applyAlignment="1">
      <alignment horizontal="center" vertical="center" wrapText="1"/>
    </xf>
    <xf numFmtId="178" fontId="10" fillId="7" borderId="1" xfId="50" applyNumberFormat="1" applyFont="1" applyFill="1" applyBorder="1" applyAlignment="1">
      <alignment horizontal="center" vertical="center" wrapText="1"/>
    </xf>
    <xf numFmtId="176" fontId="10" fillId="7" borderId="1" xfId="50" applyNumberFormat="1" applyFont="1" applyFill="1" applyBorder="1" applyAlignment="1">
      <alignment horizontal="center" vertical="center" wrapText="1"/>
    </xf>
    <xf numFmtId="181" fontId="10" fillId="7" borderId="1" xfId="50" applyNumberFormat="1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 vertical="center"/>
    </xf>
    <xf numFmtId="181" fontId="0" fillId="7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4" borderId="0" xfId="49" applyFont="1" applyFill="1" applyAlignment="1">
      <alignment horizontal="left"/>
    </xf>
    <xf numFmtId="0" fontId="0" fillId="4" borderId="0" xfId="49" applyFont="1" applyFill="1" applyAlignment="1">
      <alignment horizontal="left" vertical="center"/>
    </xf>
    <xf numFmtId="186" fontId="0" fillId="0" borderId="0" xfId="49" applyNumberFormat="1" applyFont="1" applyAlignment="1">
      <alignment horizontal="left"/>
    </xf>
    <xf numFmtId="0" fontId="0" fillId="0" borderId="0" xfId="0" applyAlignment="1">
      <alignment horizontal="left"/>
    </xf>
    <xf numFmtId="0" fontId="3" fillId="8" borderId="1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left" vertical="center"/>
    </xf>
    <xf numFmtId="0" fontId="3" fillId="8" borderId="1" xfId="49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6" fontId="3" fillId="8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Font="1"/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4" borderId="0" xfId="49" applyFill="1"/>
    <xf numFmtId="0" fontId="11" fillId="0" borderId="2" xfId="49" applyFont="1" applyBorder="1" applyAlignment="1">
      <alignment vertical="center" wrapText="1"/>
    </xf>
    <xf numFmtId="0" fontId="11" fillId="0" borderId="1" xfId="49" applyFont="1" applyBorder="1" applyAlignment="1">
      <alignment vertical="center" wrapText="1"/>
    </xf>
    <xf numFmtId="0" fontId="15" fillId="0" borderId="2" xfId="49" applyFont="1" applyBorder="1" applyAlignment="1">
      <alignment horizontal="center" vertical="center" wrapText="1"/>
    </xf>
    <xf numFmtId="0" fontId="15" fillId="0" borderId="1" xfId="49" applyFont="1" applyBorder="1" applyAlignment="1">
      <alignment horizontal="center" vertical="center" wrapText="1"/>
    </xf>
    <xf numFmtId="0" fontId="16" fillId="0" borderId="2" xfId="49" applyFont="1" applyBorder="1" applyAlignment="1">
      <alignment horizontal="center" vertical="center" wrapText="1"/>
    </xf>
    <xf numFmtId="0" fontId="16" fillId="0" borderId="1" xfId="49" applyFont="1" applyBorder="1" applyAlignment="1">
      <alignment horizontal="center" vertical="center" wrapText="1"/>
    </xf>
    <xf numFmtId="0" fontId="0" fillId="0" borderId="2" xfId="49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6" xfId="49" applyBorder="1" applyAlignment="1">
      <alignment horizontal="center" vertical="center" wrapText="1"/>
    </xf>
    <xf numFmtId="49" fontId="0" fillId="0" borderId="12" xfId="49" applyNumberFormat="1" applyBorder="1" applyAlignment="1">
      <alignment horizontal="center" vertical="center" wrapText="1"/>
    </xf>
    <xf numFmtId="49" fontId="0" fillId="0" borderId="13" xfId="49" applyNumberFormat="1" applyBorder="1" applyAlignment="1">
      <alignment horizontal="center" vertical="center" wrapText="1"/>
    </xf>
    <xf numFmtId="49" fontId="0" fillId="0" borderId="14" xfId="49" applyNumberFormat="1" applyBorder="1" applyAlignment="1">
      <alignment horizontal="center" vertical="center" wrapText="1"/>
    </xf>
    <xf numFmtId="0" fontId="0" fillId="0" borderId="12" xfId="49" applyBorder="1" applyAlignment="1">
      <alignment horizontal="center" vertical="center" wrapText="1"/>
    </xf>
    <xf numFmtId="0" fontId="0" fillId="0" borderId="2" xfId="49" applyBorder="1" applyAlignment="1">
      <alignment horizontal="center"/>
    </xf>
    <xf numFmtId="178" fontId="0" fillId="0" borderId="2" xfId="49" applyNumberFormat="1" applyBorder="1" applyAlignment="1">
      <alignment horizontal="center" vertical="center" wrapText="1"/>
    </xf>
    <xf numFmtId="180" fontId="0" fillId="0" borderId="2" xfId="49" applyNumberFormat="1" applyBorder="1" applyAlignment="1">
      <alignment horizontal="center" vertical="center" wrapText="1"/>
    </xf>
    <xf numFmtId="183" fontId="0" fillId="0" borderId="2" xfId="49" applyNumberFormat="1" applyBorder="1" applyAlignment="1">
      <alignment horizontal="center" vertical="center" wrapText="1"/>
    </xf>
    <xf numFmtId="178" fontId="0" fillId="0" borderId="1" xfId="49" applyNumberFormat="1" applyBorder="1" applyAlignment="1">
      <alignment horizontal="center" vertical="center" wrapText="1"/>
    </xf>
    <xf numFmtId="180" fontId="0" fillId="0" borderId="1" xfId="49" applyNumberFormat="1" applyBorder="1" applyAlignment="1">
      <alignment horizontal="center" vertical="center" wrapText="1"/>
    </xf>
    <xf numFmtId="183" fontId="0" fillId="0" borderId="1" xfId="49" applyNumberFormat="1" applyBorder="1" applyAlignment="1">
      <alignment horizontal="center" vertical="center" wrapText="1"/>
    </xf>
    <xf numFmtId="0" fontId="17" fillId="0" borderId="2" xfId="49" applyFont="1" applyBorder="1" applyAlignment="1">
      <alignment horizontal="center" vertical="center" wrapText="1"/>
    </xf>
    <xf numFmtId="0" fontId="17" fillId="0" borderId="1" xfId="49" applyFont="1" applyBorder="1" applyAlignment="1">
      <alignment horizontal="center" vertical="center" wrapText="1"/>
    </xf>
    <xf numFmtId="0" fontId="18" fillId="0" borderId="2" xfId="49" applyFont="1" applyFill="1" applyBorder="1" applyAlignment="1">
      <alignment horizontal="center" vertical="center" wrapText="1"/>
    </xf>
    <xf numFmtId="0" fontId="18" fillId="0" borderId="1" xfId="49" applyFont="1" applyFill="1" applyBorder="1" applyAlignment="1">
      <alignment horizontal="center" vertical="center" wrapText="1"/>
    </xf>
    <xf numFmtId="0" fontId="17" fillId="0" borderId="2" xfId="49" applyFont="1" applyBorder="1" applyAlignment="1">
      <alignment horizontal="center" vertical="center"/>
    </xf>
    <xf numFmtId="0" fontId="17" fillId="0" borderId="1" xfId="49" applyFont="1" applyBorder="1" applyAlignment="1">
      <alignment horizontal="center" vertical="center"/>
    </xf>
    <xf numFmtId="14" fontId="10" fillId="0" borderId="2" xfId="49" applyNumberFormat="1" applyFont="1" applyFill="1" applyBorder="1" applyAlignment="1">
      <alignment horizontal="center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0" fillId="0" borderId="15" xfId="49" applyBorder="1" applyAlignment="1">
      <alignment horizontal="center" vertical="center" wrapText="1"/>
    </xf>
    <xf numFmtId="0" fontId="0" fillId="0" borderId="13" xfId="49" applyBorder="1" applyAlignment="1">
      <alignment horizontal="center" vertical="center" wrapText="1"/>
    </xf>
    <xf numFmtId="0" fontId="0" fillId="0" borderId="16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180" fontId="0" fillId="0" borderId="14" xfId="49" applyNumberFormat="1" applyBorder="1" applyAlignment="1">
      <alignment horizontal="center" vertical="center" wrapText="1"/>
    </xf>
    <xf numFmtId="180" fontId="0" fillId="0" borderId="17" xfId="49" applyNumberFormat="1" applyBorder="1" applyAlignment="1">
      <alignment horizontal="center" vertical="center" wrapText="1"/>
    </xf>
    <xf numFmtId="180" fontId="0" fillId="0" borderId="10" xfId="49" applyNumberFormat="1" applyBorder="1" applyAlignment="1">
      <alignment horizontal="center" vertical="center" wrapText="1"/>
    </xf>
    <xf numFmtId="0" fontId="0" fillId="4" borderId="2" xfId="49" applyFill="1" applyBorder="1" applyAlignment="1">
      <alignment horizontal="center" vertical="center" wrapText="1"/>
    </xf>
    <xf numFmtId="0" fontId="0" fillId="4" borderId="1" xfId="49" applyFill="1" applyBorder="1" applyAlignment="1">
      <alignment horizontal="center" vertical="center" wrapText="1"/>
    </xf>
    <xf numFmtId="178" fontId="0" fillId="4" borderId="2" xfId="49" applyNumberFormat="1" applyFill="1" applyBorder="1" applyAlignment="1">
      <alignment horizontal="center" vertical="center" wrapText="1"/>
    </xf>
    <xf numFmtId="178" fontId="0" fillId="4" borderId="1" xfId="49" applyNumberFormat="1" applyFill="1" applyBorder="1" applyAlignment="1">
      <alignment horizontal="center" vertical="center" wrapText="1"/>
    </xf>
    <xf numFmtId="180" fontId="0" fillId="4" borderId="2" xfId="49" applyNumberFormat="1" applyFill="1" applyBorder="1" applyAlignment="1">
      <alignment horizontal="center" vertical="center" wrapText="1"/>
    </xf>
    <xf numFmtId="180" fontId="0" fillId="4" borderId="1" xfId="49" applyNumberFormat="1" applyFill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0" fontId="0" fillId="0" borderId="8" xfId="49" applyBorder="1" applyAlignment="1">
      <alignment horizontal="center" vertical="center" wrapText="1"/>
    </xf>
    <xf numFmtId="0" fontId="19" fillId="0" borderId="2" xfId="49" applyFont="1" applyBorder="1" applyAlignment="1">
      <alignment horizontal="center" vertical="center" wrapText="1"/>
    </xf>
    <xf numFmtId="0" fontId="0" fillId="0" borderId="7" xfId="49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/>
    </xf>
    <xf numFmtId="179" fontId="19" fillId="0" borderId="1" xfId="49" applyNumberFormat="1" applyFont="1" applyBorder="1" applyAlignment="1">
      <alignment horizontal="center" vertical="center" wrapText="1"/>
    </xf>
    <xf numFmtId="177" fontId="19" fillId="0" borderId="1" xfId="49" applyNumberFormat="1" applyFont="1" applyBorder="1" applyAlignment="1">
      <alignment horizontal="center" vertical="center" wrapText="1"/>
    </xf>
    <xf numFmtId="184" fontId="19" fillId="0" borderId="1" xfId="49" applyNumberFormat="1" applyFont="1" applyBorder="1" applyAlignment="1">
      <alignment horizontal="center" vertical="center" wrapText="1"/>
    </xf>
    <xf numFmtId="0" fontId="19" fillId="0" borderId="11" xfId="49" applyFont="1" applyBorder="1" applyAlignment="1">
      <alignment horizontal="center" vertical="center" wrapText="1"/>
    </xf>
    <xf numFmtId="9" fontId="0" fillId="0" borderId="11" xfId="49" applyNumberFormat="1" applyBorder="1" applyAlignment="1">
      <alignment horizontal="center" vertical="center" wrapText="1"/>
    </xf>
    <xf numFmtId="0" fontId="0" fillId="0" borderId="11" xfId="49" applyBorder="1" applyAlignment="1">
      <alignment horizontal="center" vertical="center" wrapText="1"/>
    </xf>
    <xf numFmtId="0" fontId="19" fillId="0" borderId="5" xfId="49" applyFont="1" applyBorder="1" applyAlignment="1">
      <alignment horizontal="center" vertical="center" wrapText="1"/>
    </xf>
    <xf numFmtId="177" fontId="0" fillId="0" borderId="11" xfId="49" applyNumberFormat="1" applyBorder="1" applyAlignment="1">
      <alignment horizontal="center" vertical="center" wrapText="1"/>
    </xf>
    <xf numFmtId="9" fontId="0" fillId="0" borderId="1" xfId="49" applyNumberFormat="1" applyBorder="1" applyAlignment="1">
      <alignment horizontal="center" vertical="center" wrapText="1"/>
    </xf>
    <xf numFmtId="177" fontId="0" fillId="0" borderId="1" xfId="49" applyNumberFormat="1" applyBorder="1" applyAlignment="1">
      <alignment horizontal="center" vertical="center" wrapText="1"/>
    </xf>
    <xf numFmtId="9" fontId="0" fillId="0" borderId="2" xfId="49" applyNumberFormat="1" applyBorder="1" applyAlignment="1">
      <alignment horizontal="center" vertical="center" wrapText="1"/>
    </xf>
    <xf numFmtId="177" fontId="0" fillId="0" borderId="2" xfId="49" applyNumberFormat="1" applyBorder="1" applyAlignment="1">
      <alignment horizontal="center" vertical="center" wrapText="1"/>
    </xf>
    <xf numFmtId="0" fontId="19" fillId="0" borderId="2" xfId="49" applyFont="1" applyBorder="1" applyAlignment="1">
      <alignment horizontal="center" vertical="center"/>
    </xf>
    <xf numFmtId="0" fontId="19" fillId="0" borderId="18" xfId="49" applyFont="1" applyBorder="1" applyAlignment="1">
      <alignment horizontal="center" vertical="center" wrapText="1"/>
    </xf>
    <xf numFmtId="0" fontId="19" fillId="0" borderId="7" xfId="49" applyFont="1" applyBorder="1" applyAlignment="1">
      <alignment horizontal="center" vertical="center" wrapText="1"/>
    </xf>
    <xf numFmtId="0" fontId="19" fillId="0" borderId="6" xfId="49" applyFont="1" applyBorder="1" applyAlignment="1">
      <alignment horizontal="center" vertical="center" wrapText="1"/>
    </xf>
    <xf numFmtId="0" fontId="20" fillId="0" borderId="2" xfId="49" applyFont="1" applyBorder="1" applyAlignment="1">
      <alignment horizontal="left" vertical="center" wrapText="1"/>
    </xf>
    <xf numFmtId="0" fontId="7" fillId="0" borderId="1" xfId="49" applyFont="1" applyBorder="1" applyAlignment="1">
      <alignment horizontal="left" vertical="center" wrapText="1"/>
    </xf>
    <xf numFmtId="177" fontId="14" fillId="0" borderId="1" xfId="49" applyNumberFormat="1" applyFont="1" applyBorder="1" applyAlignment="1">
      <alignment horizontal="center" vertical="center" wrapText="1"/>
    </xf>
    <xf numFmtId="188" fontId="19" fillId="0" borderId="1" xfId="49" applyNumberFormat="1" applyFont="1" applyBorder="1" applyAlignment="1">
      <alignment horizontal="center" vertical="center" wrapText="1"/>
    </xf>
    <xf numFmtId="180" fontId="19" fillId="0" borderId="1" xfId="49" applyNumberFormat="1" applyFont="1" applyBorder="1" applyAlignment="1">
      <alignment horizontal="center" vertical="center" wrapText="1"/>
    </xf>
    <xf numFmtId="177" fontId="0" fillId="0" borderId="5" xfId="49" applyNumberFormat="1" applyBorder="1" applyAlignment="1">
      <alignment horizontal="center" vertical="center" wrapText="1"/>
    </xf>
    <xf numFmtId="9" fontId="19" fillId="0" borderId="11" xfId="49" applyNumberFormat="1" applyFont="1" applyBorder="1" applyAlignment="1">
      <alignment horizontal="center" vertical="center" wrapText="1"/>
    </xf>
    <xf numFmtId="0" fontId="0" fillId="0" borderId="5" xfId="49" applyBorder="1" applyAlignment="1">
      <alignment horizontal="center" vertical="center" wrapText="1"/>
    </xf>
    <xf numFmtId="177" fontId="0" fillId="4" borderId="11" xfId="49" applyNumberFormat="1" applyFill="1" applyBorder="1" applyAlignment="1">
      <alignment horizontal="center" vertical="center" wrapText="1"/>
    </xf>
    <xf numFmtId="177" fontId="0" fillId="4" borderId="5" xfId="49" applyNumberFormat="1" applyFill="1" applyBorder="1" applyAlignment="1">
      <alignment horizontal="center" vertical="center" wrapText="1"/>
    </xf>
    <xf numFmtId="9" fontId="19" fillId="0" borderId="1" xfId="49" applyNumberFormat="1" applyFont="1" applyBorder="1" applyAlignment="1">
      <alignment horizontal="center" vertical="center" wrapText="1"/>
    </xf>
    <xf numFmtId="177" fontId="0" fillId="4" borderId="1" xfId="49" applyNumberFormat="1" applyFill="1" applyBorder="1" applyAlignment="1">
      <alignment horizontal="center" vertical="center" wrapText="1"/>
    </xf>
    <xf numFmtId="9" fontId="19" fillId="0" borderId="2" xfId="49" applyNumberFormat="1" applyFont="1" applyBorder="1" applyAlignment="1">
      <alignment horizontal="center" vertical="center" wrapText="1"/>
    </xf>
    <xf numFmtId="177" fontId="0" fillId="4" borderId="2" xfId="49" applyNumberFormat="1" applyFill="1" applyBorder="1" applyAlignment="1">
      <alignment horizontal="center" vertical="center" wrapText="1"/>
    </xf>
    <xf numFmtId="180" fontId="19" fillId="0" borderId="2" xfId="49" applyNumberFormat="1" applyFont="1" applyBorder="1" applyAlignment="1">
      <alignment horizontal="center" vertical="center" wrapText="1"/>
    </xf>
    <xf numFmtId="0" fontId="19" fillId="0" borderId="11" xfId="49" applyFont="1" applyBorder="1" applyAlignment="1">
      <alignment horizontal="left" vertical="center" wrapText="1"/>
    </xf>
    <xf numFmtId="0" fontId="19" fillId="0" borderId="5" xfId="49" applyFont="1" applyBorder="1" applyAlignment="1">
      <alignment horizontal="left" vertical="center" wrapText="1"/>
    </xf>
    <xf numFmtId="0" fontId="19" fillId="0" borderId="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3980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showGridLines="0" zoomScale="70" zoomScaleNormal="70" zoomScalePageLayoutView="80" workbookViewId="0">
      <selection activeCell="R4" sqref="R4"/>
    </sheetView>
  </sheetViews>
  <sheetFormatPr defaultColWidth="9" defaultRowHeight="13.5"/>
  <cols>
    <col min="1" max="1" width="5.33333333333333" style="141" customWidth="1"/>
    <col min="2" max="2" width="8.775" style="141" customWidth="1"/>
    <col min="3" max="3" width="8.10833333333333" style="141" customWidth="1"/>
    <col min="4" max="5" width="8.44166666666667" style="141" customWidth="1"/>
    <col min="6" max="6" width="3.33333333333333" style="141" customWidth="1"/>
    <col min="7" max="7" width="3.44166666666667" style="141" customWidth="1"/>
    <col min="8" max="8" width="7.10833333333333" style="141" customWidth="1"/>
    <col min="9" max="9" width="3.775" style="141" customWidth="1"/>
    <col min="10" max="10" width="6.775" style="141" customWidth="1"/>
    <col min="11" max="11" width="7.44166666666667" style="141" customWidth="1"/>
    <col min="12" max="12" width="6.88333333333333" style="141" customWidth="1"/>
    <col min="13" max="13" width="8.44166666666667" style="141" customWidth="1"/>
    <col min="14" max="14" width="4.775" style="141" customWidth="1"/>
    <col min="15" max="15" width="5.55" style="187" customWidth="1"/>
    <col min="16" max="16384" width="9" style="141"/>
  </cols>
  <sheetData>
    <row r="1" ht="20.25" customHeight="1" spans="1:15">
      <c r="A1" s="188"/>
      <c r="B1" s="189"/>
      <c r="C1" s="190" t="s">
        <v>0</v>
      </c>
      <c r="D1" s="191"/>
      <c r="E1" s="191"/>
      <c r="F1" s="191"/>
      <c r="G1" s="191"/>
      <c r="H1" s="191"/>
      <c r="I1" s="191"/>
      <c r="J1" s="191"/>
      <c r="K1" s="191"/>
      <c r="L1" s="208" t="s">
        <v>1</v>
      </c>
      <c r="M1" s="209"/>
      <c r="N1" s="210" t="s">
        <v>2</v>
      </c>
      <c r="O1" s="211"/>
    </row>
    <row r="2" ht="20.25" customHeight="1" spans="1:15">
      <c r="A2" s="189"/>
      <c r="B2" s="189"/>
      <c r="C2" s="192" t="s">
        <v>3</v>
      </c>
      <c r="D2" s="193"/>
      <c r="E2" s="193"/>
      <c r="F2" s="193"/>
      <c r="G2" s="193"/>
      <c r="H2" s="193"/>
      <c r="I2" s="193"/>
      <c r="J2" s="193"/>
      <c r="K2" s="193"/>
      <c r="L2" s="208" t="s">
        <v>4</v>
      </c>
      <c r="M2" s="209"/>
      <c r="N2" s="210" t="s">
        <v>5</v>
      </c>
      <c r="O2" s="211"/>
    </row>
    <row r="3" ht="20.25" customHeight="1" spans="1:15">
      <c r="A3" s="189"/>
      <c r="B3" s="189"/>
      <c r="C3" s="193"/>
      <c r="D3" s="193"/>
      <c r="E3" s="193"/>
      <c r="F3" s="193"/>
      <c r="G3" s="193"/>
      <c r="H3" s="193"/>
      <c r="I3" s="193"/>
      <c r="J3" s="193"/>
      <c r="K3" s="193"/>
      <c r="L3" s="212" t="s">
        <v>6</v>
      </c>
      <c r="M3" s="213"/>
      <c r="N3" s="214">
        <v>41010</v>
      </c>
      <c r="O3" s="215"/>
    </row>
    <row r="4" ht="18" customHeight="1" spans="1:15">
      <c r="A4" s="194" t="s">
        <v>7</v>
      </c>
      <c r="B4" s="195"/>
      <c r="C4" s="195"/>
      <c r="D4" s="195" t="s">
        <v>8</v>
      </c>
      <c r="E4" s="195"/>
      <c r="F4" s="195"/>
      <c r="G4" s="195"/>
      <c r="H4" s="196" t="s">
        <v>9</v>
      </c>
      <c r="I4" s="196"/>
      <c r="J4" s="196"/>
      <c r="K4" s="216"/>
      <c r="L4" s="194" t="s">
        <v>10</v>
      </c>
      <c r="M4" s="195"/>
      <c r="N4" s="194" t="s">
        <v>11</v>
      </c>
      <c r="O4" s="195"/>
    </row>
    <row r="5" ht="18" customHeight="1" spans="1:15">
      <c r="A5" s="194" t="str">
        <f>IFERROR(VLOOKUP(MID(D5,5,4),对应信息!A:B,2,0),"")</f>
        <v/>
      </c>
      <c r="B5" s="195"/>
      <c r="C5" s="195"/>
      <c r="D5" s="197"/>
      <c r="E5" s="198"/>
      <c r="F5" s="198"/>
      <c r="G5" s="199"/>
      <c r="H5" s="200"/>
      <c r="I5" s="217"/>
      <c r="J5" s="217"/>
      <c r="K5" s="218"/>
      <c r="L5" s="194"/>
      <c r="M5" s="195"/>
      <c r="N5" s="194"/>
      <c r="O5" s="195"/>
    </row>
    <row r="6" ht="18" customHeight="1" spans="1:15">
      <c r="A6" s="194" t="s">
        <v>12</v>
      </c>
      <c r="B6" s="195"/>
      <c r="C6" s="194"/>
      <c r="D6" s="195"/>
      <c r="E6" s="194" t="s">
        <v>13</v>
      </c>
      <c r="F6" s="195"/>
      <c r="G6" s="195"/>
      <c r="H6" s="201"/>
      <c r="I6" s="219"/>
      <c r="J6" s="219"/>
      <c r="K6" s="219"/>
      <c r="L6" s="194" t="s">
        <v>14</v>
      </c>
      <c r="M6" s="195"/>
      <c r="N6" s="194"/>
      <c r="O6" s="195"/>
    </row>
    <row r="7" ht="19.5" customHeight="1" spans="1:15">
      <c r="A7" s="195" t="s">
        <v>15</v>
      </c>
      <c r="B7" s="194" t="s">
        <v>16</v>
      </c>
      <c r="C7" s="195"/>
      <c r="D7" s="195"/>
      <c r="E7" s="194" t="s">
        <v>17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</row>
    <row r="8" ht="19.5" customHeight="1" spans="1:15">
      <c r="A8" s="194">
        <v>1</v>
      </c>
      <c r="B8" s="194" t="s">
        <v>18</v>
      </c>
      <c r="C8" s="194" t="s">
        <v>19</v>
      </c>
      <c r="D8" s="195"/>
      <c r="E8" s="194" t="s">
        <v>20</v>
      </c>
      <c r="F8" s="195"/>
      <c r="G8" s="195"/>
      <c r="H8" s="194" t="s">
        <v>21</v>
      </c>
      <c r="I8" s="195"/>
      <c r="J8" s="195"/>
      <c r="K8" s="195"/>
      <c r="L8" s="195"/>
      <c r="M8" s="195"/>
      <c r="N8" s="195"/>
      <c r="O8" s="195"/>
    </row>
    <row r="9" ht="19.5" customHeight="1" spans="1:15">
      <c r="A9" s="195"/>
      <c r="B9" s="195"/>
      <c r="C9" s="195"/>
      <c r="D9" s="195"/>
      <c r="E9" s="194" t="s">
        <v>22</v>
      </c>
      <c r="F9" s="195"/>
      <c r="G9" s="195"/>
      <c r="H9" s="194" t="s">
        <v>23</v>
      </c>
      <c r="I9" s="195"/>
      <c r="J9" s="195"/>
      <c r="K9" s="202" t="s">
        <v>24</v>
      </c>
      <c r="L9" s="205"/>
      <c r="M9" s="194" t="s">
        <v>24</v>
      </c>
      <c r="N9" s="195"/>
      <c r="O9" s="195"/>
    </row>
    <row r="10" ht="19.5" customHeight="1" spans="1:15">
      <c r="A10" s="195"/>
      <c r="B10" s="195"/>
      <c r="C10" s="195"/>
      <c r="D10" s="195"/>
      <c r="E10" s="194" t="s">
        <v>25</v>
      </c>
      <c r="F10" s="195"/>
      <c r="G10" s="195"/>
      <c r="H10" s="202" t="str">
        <f>波长示值误差与重复性校验!B4</f>
        <v>807.4</v>
      </c>
      <c r="I10" s="205"/>
      <c r="J10" s="205"/>
      <c r="K10" s="202" t="str">
        <f>波长示值误差与重复性校验!B2</f>
        <v>656.1</v>
      </c>
      <c r="L10" s="205"/>
      <c r="M10" s="202" t="str">
        <f>波长示值误差与重复性校验!B3</f>
        <v>486</v>
      </c>
      <c r="N10" s="205"/>
      <c r="O10" s="205"/>
    </row>
    <row r="11" ht="19.5" customHeight="1" spans="1:15">
      <c r="A11" s="195"/>
      <c r="B11" s="195"/>
      <c r="C11" s="195"/>
      <c r="D11" s="195"/>
      <c r="E11" s="194" t="s">
        <v>26</v>
      </c>
      <c r="F11" s="195"/>
      <c r="G11" s="195"/>
      <c r="H11" s="203">
        <f>波长示值误差与重复性校验!C4</f>
        <v>0</v>
      </c>
      <c r="I11" s="206"/>
      <c r="J11" s="206"/>
      <c r="K11" s="203">
        <f>波长示值误差与重复性校验!C2</f>
        <v>0</v>
      </c>
      <c r="L11" s="206"/>
      <c r="M11" s="203">
        <f>波长示值误差与重复性校验!C3</f>
        <v>0</v>
      </c>
      <c r="N11" s="206"/>
      <c r="O11" s="206"/>
    </row>
    <row r="12" ht="19.5" customHeight="1" spans="1:15">
      <c r="A12" s="195"/>
      <c r="B12" s="195"/>
      <c r="C12" s="195"/>
      <c r="D12" s="195"/>
      <c r="E12" s="195"/>
      <c r="F12" s="195"/>
      <c r="G12" s="195"/>
      <c r="H12" s="203">
        <f>波长示值误差与重复性校验!D4</f>
        <v>0</v>
      </c>
      <c r="I12" s="206"/>
      <c r="J12" s="206"/>
      <c r="K12" s="203">
        <f>波长示值误差与重复性校验!D2</f>
        <v>0</v>
      </c>
      <c r="L12" s="206"/>
      <c r="M12" s="203">
        <f>波长示值误差与重复性校验!D3</f>
        <v>0</v>
      </c>
      <c r="N12" s="206"/>
      <c r="O12" s="206"/>
    </row>
    <row r="13" ht="19.5" customHeight="1" spans="1:15">
      <c r="A13" s="195"/>
      <c r="B13" s="195"/>
      <c r="C13" s="195"/>
      <c r="D13" s="195"/>
      <c r="E13" s="195"/>
      <c r="F13" s="195"/>
      <c r="G13" s="195"/>
      <c r="H13" s="203">
        <f>波长示值误差与重复性校验!E4</f>
        <v>0</v>
      </c>
      <c r="I13" s="206"/>
      <c r="J13" s="206"/>
      <c r="K13" s="203">
        <f>波长示值误差与重复性校验!E2</f>
        <v>0</v>
      </c>
      <c r="L13" s="206"/>
      <c r="M13" s="203">
        <f>波长示值误差与重复性校验!E3</f>
        <v>0</v>
      </c>
      <c r="N13" s="206"/>
      <c r="O13" s="206"/>
    </row>
    <row r="14" ht="19.5" customHeight="1" spans="1:15">
      <c r="A14" s="195"/>
      <c r="B14" s="195"/>
      <c r="C14" s="195"/>
      <c r="D14" s="195"/>
      <c r="E14" s="194" t="s">
        <v>27</v>
      </c>
      <c r="F14" s="195"/>
      <c r="G14" s="195"/>
      <c r="H14" s="203" t="str">
        <f>波长示值误差与重复性校验!F4</f>
        <v/>
      </c>
      <c r="I14" s="206"/>
      <c r="J14" s="206"/>
      <c r="K14" s="203" t="str">
        <f>波长示值误差与重复性校验!F2</f>
        <v/>
      </c>
      <c r="L14" s="206"/>
      <c r="M14" s="203" t="str">
        <f>波长示值误差与重复性校验!F3</f>
        <v/>
      </c>
      <c r="N14" s="206"/>
      <c r="O14" s="206"/>
    </row>
    <row r="15" ht="19.5" customHeight="1" spans="1:15">
      <c r="A15" s="195"/>
      <c r="B15" s="195"/>
      <c r="C15" s="195"/>
      <c r="D15" s="195"/>
      <c r="E15" s="194" t="s">
        <v>28</v>
      </c>
      <c r="F15" s="195"/>
      <c r="G15" s="195"/>
      <c r="H15" s="203" t="str">
        <f>波长示值误差与重复性校验!G4</f>
        <v/>
      </c>
      <c r="I15" s="206"/>
      <c r="J15" s="206"/>
      <c r="K15" s="203" t="str">
        <f>波长示值误差与重复性校验!G2</f>
        <v/>
      </c>
      <c r="L15" s="206"/>
      <c r="M15" s="203" t="str">
        <f>波长示值误差与重复性校验!G3</f>
        <v/>
      </c>
      <c r="N15" s="206"/>
      <c r="O15" s="206"/>
    </row>
    <row r="16" ht="19.5" customHeight="1" spans="1:15">
      <c r="A16" s="195"/>
      <c r="B16" s="195"/>
      <c r="C16" s="195"/>
      <c r="D16" s="195"/>
      <c r="E16" s="194" t="s">
        <v>29</v>
      </c>
      <c r="F16" s="195"/>
      <c r="G16" s="195"/>
      <c r="H16" s="204">
        <f>波长示值误差与重复性校验!H4</f>
        <v>0</v>
      </c>
      <c r="I16" s="207"/>
      <c r="J16" s="207"/>
      <c r="K16" s="203">
        <f>波长示值误差与重复性校验!H2</f>
        <v>0</v>
      </c>
      <c r="L16" s="206"/>
      <c r="M16" s="204">
        <f>波长示值误差与重复性校验!H3</f>
        <v>0</v>
      </c>
      <c r="N16" s="207"/>
      <c r="O16" s="207"/>
    </row>
    <row r="17" ht="19.5" customHeight="1" spans="1:15">
      <c r="A17" s="195"/>
      <c r="B17" s="194" t="s">
        <v>30</v>
      </c>
      <c r="C17" s="194" t="s">
        <v>31</v>
      </c>
      <c r="D17" s="195"/>
      <c r="E17" s="194" t="s">
        <v>22</v>
      </c>
      <c r="F17" s="195"/>
      <c r="G17" s="195"/>
      <c r="H17" s="194" t="s">
        <v>32</v>
      </c>
      <c r="I17" s="195"/>
      <c r="J17" s="195"/>
      <c r="K17" s="195"/>
      <c r="L17" s="195"/>
      <c r="M17" s="195"/>
      <c r="N17" s="195"/>
      <c r="O17" s="195"/>
    </row>
    <row r="18" ht="19.5" customHeight="1" spans="1:15">
      <c r="A18" s="195"/>
      <c r="B18" s="195"/>
      <c r="C18" s="195"/>
      <c r="D18" s="195"/>
      <c r="E18" s="194" t="s">
        <v>25</v>
      </c>
      <c r="F18" s="195"/>
      <c r="G18" s="195"/>
      <c r="H18" s="202" t="str">
        <f>波长示值误差与重复性校验!B5</f>
        <v>640.7</v>
      </c>
      <c r="I18" s="205"/>
      <c r="J18" s="202" t="str">
        <f>波长示值误差与重复性校验!B6</f>
        <v>536.8</v>
      </c>
      <c r="K18" s="202" t="str">
        <f>波长示值误差与重复性校验!B7</f>
        <v>416.5</v>
      </c>
      <c r="L18" s="202" t="str">
        <f>波长示值误差与重复性校验!B8</f>
        <v>361.0</v>
      </c>
      <c r="M18" s="202" t="str">
        <f>波长示值误差与重复性校验!B9</f>
        <v>287.4</v>
      </c>
      <c r="N18" s="202" t="str">
        <f>波长示值误差与重复性校验!B10</f>
        <v>241.0</v>
      </c>
      <c r="O18" s="205"/>
    </row>
    <row r="19" ht="19.5" hidden="1" customHeight="1" spans="1:15">
      <c r="A19" s="195"/>
      <c r="B19" s="195"/>
      <c r="C19" s="195"/>
      <c r="D19" s="195"/>
      <c r="E19" s="195"/>
      <c r="F19" s="195"/>
      <c r="G19" s="195"/>
      <c r="H19" s="205"/>
      <c r="I19" s="205"/>
      <c r="J19" s="205"/>
      <c r="K19" s="205"/>
      <c r="L19" s="205"/>
      <c r="M19" s="205"/>
      <c r="N19" s="205"/>
      <c r="O19" s="205"/>
    </row>
    <row r="20" ht="19.5" customHeight="1" spans="1:15">
      <c r="A20" s="195"/>
      <c r="B20" s="195"/>
      <c r="C20" s="195"/>
      <c r="D20" s="195"/>
      <c r="E20" s="194" t="s">
        <v>26</v>
      </c>
      <c r="F20" s="195"/>
      <c r="G20" s="195"/>
      <c r="H20" s="203">
        <f>波长示值误差与重复性校验!C5</f>
        <v>0</v>
      </c>
      <c r="I20" s="206"/>
      <c r="J20" s="203">
        <f>波长示值误差与重复性校验!C6</f>
        <v>0</v>
      </c>
      <c r="K20" s="203">
        <f>波长示值误差与重复性校验!C7</f>
        <v>0</v>
      </c>
      <c r="L20" s="203">
        <f>波长示值误差与重复性校验!C8</f>
        <v>0</v>
      </c>
      <c r="M20" s="203">
        <f>波长示值误差与重复性校验!C9</f>
        <v>0</v>
      </c>
      <c r="N20" s="203">
        <f>波长示值误差与重复性校验!C10</f>
        <v>0</v>
      </c>
      <c r="O20" s="206"/>
    </row>
    <row r="21" ht="19.5" hidden="1" customHeight="1" spans="1:15">
      <c r="A21" s="195"/>
      <c r="B21" s="195"/>
      <c r="C21" s="195"/>
      <c r="D21" s="195"/>
      <c r="E21" s="195"/>
      <c r="F21" s="195"/>
      <c r="G21" s="195"/>
      <c r="H21" s="206"/>
      <c r="I21" s="206"/>
      <c r="J21" s="206"/>
      <c r="K21" s="206"/>
      <c r="L21" s="206"/>
      <c r="M21" s="206"/>
      <c r="N21" s="206"/>
      <c r="O21" s="206"/>
    </row>
    <row r="22" ht="19.5" customHeight="1" spans="1:15">
      <c r="A22" s="195"/>
      <c r="B22" s="195"/>
      <c r="C22" s="195"/>
      <c r="D22" s="195"/>
      <c r="E22" s="195"/>
      <c r="F22" s="195"/>
      <c r="G22" s="195"/>
      <c r="H22" s="203">
        <f>波长示值误差与重复性校验!D5</f>
        <v>0</v>
      </c>
      <c r="I22" s="206"/>
      <c r="J22" s="203">
        <f>波长示值误差与重复性校验!D6</f>
        <v>0</v>
      </c>
      <c r="K22" s="203">
        <f>波长示值误差与重复性校验!D7</f>
        <v>0</v>
      </c>
      <c r="L22" s="203">
        <f>波长示值误差与重复性校验!D8</f>
        <v>0</v>
      </c>
      <c r="M22" s="203">
        <f>波长示值误差与重复性校验!D9</f>
        <v>0</v>
      </c>
      <c r="N22" s="203">
        <f>波长示值误差与重复性校验!D10</f>
        <v>0</v>
      </c>
      <c r="O22" s="206"/>
    </row>
    <row r="23" ht="19.5" hidden="1" customHeight="1" spans="1:15">
      <c r="A23" s="195"/>
      <c r="B23" s="195"/>
      <c r="C23" s="195"/>
      <c r="D23" s="195"/>
      <c r="E23" s="195"/>
      <c r="F23" s="195"/>
      <c r="G23" s="195"/>
      <c r="H23" s="206"/>
      <c r="I23" s="206"/>
      <c r="J23" s="206"/>
      <c r="K23" s="206"/>
      <c r="L23" s="206"/>
      <c r="M23" s="206"/>
      <c r="N23" s="206"/>
      <c r="O23" s="206"/>
    </row>
    <row r="24" ht="19.5" customHeight="1" spans="1:15">
      <c r="A24" s="195"/>
      <c r="B24" s="195"/>
      <c r="C24" s="195"/>
      <c r="D24" s="195"/>
      <c r="E24" s="195"/>
      <c r="F24" s="195"/>
      <c r="G24" s="195"/>
      <c r="H24" s="203">
        <f>波长示值误差与重复性校验!E5</f>
        <v>0</v>
      </c>
      <c r="I24" s="206"/>
      <c r="J24" s="203">
        <f>波长示值误差与重复性校验!E6</f>
        <v>0</v>
      </c>
      <c r="K24" s="203">
        <f>波长示值误差与重复性校验!E7</f>
        <v>0</v>
      </c>
      <c r="L24" s="203">
        <f>波长示值误差与重复性校验!E8</f>
        <v>0</v>
      </c>
      <c r="M24" s="203">
        <f>波长示值误差与重复性校验!E9</f>
        <v>0</v>
      </c>
      <c r="N24" s="203">
        <f>波长示值误差与重复性校验!E10</f>
        <v>0</v>
      </c>
      <c r="O24" s="206"/>
    </row>
    <row r="25" ht="19.5" hidden="1" customHeight="1" spans="1:15">
      <c r="A25" s="195"/>
      <c r="B25" s="195"/>
      <c r="C25" s="195"/>
      <c r="D25" s="195"/>
      <c r="E25" s="195"/>
      <c r="F25" s="195"/>
      <c r="G25" s="195"/>
      <c r="H25" s="206"/>
      <c r="I25" s="206"/>
      <c r="J25" s="206"/>
      <c r="K25" s="206"/>
      <c r="L25" s="206"/>
      <c r="M25" s="206"/>
      <c r="N25" s="206"/>
      <c r="O25" s="206"/>
    </row>
    <row r="26" ht="19.5" customHeight="1" spans="1:15">
      <c r="A26" s="195"/>
      <c r="B26" s="195"/>
      <c r="C26" s="195"/>
      <c r="D26" s="195"/>
      <c r="E26" s="194" t="s">
        <v>27</v>
      </c>
      <c r="F26" s="195"/>
      <c r="G26" s="195"/>
      <c r="H26" s="203" t="str">
        <f>波长示值误差与重复性校验!F5</f>
        <v/>
      </c>
      <c r="I26" s="206"/>
      <c r="J26" s="203" t="str">
        <f>波长示值误差与重复性校验!F6</f>
        <v/>
      </c>
      <c r="K26" s="203" t="str">
        <f>波长示值误差与重复性校验!F7</f>
        <v/>
      </c>
      <c r="L26" s="203" t="str">
        <f>波长示值误差与重复性校验!F8</f>
        <v/>
      </c>
      <c r="M26" s="203" t="str">
        <f>波长示值误差与重复性校验!F9</f>
        <v/>
      </c>
      <c r="N26" s="203" t="str">
        <f>波长示值误差与重复性校验!F10</f>
        <v/>
      </c>
      <c r="O26" s="206"/>
    </row>
    <row r="27" ht="19.5" hidden="1" customHeight="1" spans="1:15">
      <c r="A27" s="195"/>
      <c r="B27" s="195"/>
      <c r="C27" s="195"/>
      <c r="D27" s="195"/>
      <c r="E27" s="195"/>
      <c r="F27" s="195"/>
      <c r="G27" s="195"/>
      <c r="H27" s="206"/>
      <c r="I27" s="206"/>
      <c r="J27" s="206"/>
      <c r="K27" s="206"/>
      <c r="L27" s="206"/>
      <c r="M27" s="206"/>
      <c r="N27" s="206"/>
      <c r="O27" s="206"/>
    </row>
    <row r="28" ht="19.5" customHeight="1" spans="1:15">
      <c r="A28" s="195"/>
      <c r="B28" s="195"/>
      <c r="C28" s="195"/>
      <c r="D28" s="195"/>
      <c r="E28" s="194" t="s">
        <v>28</v>
      </c>
      <c r="F28" s="195"/>
      <c r="G28" s="195"/>
      <c r="H28" s="203" t="str">
        <f>波长示值误差与重复性校验!G5</f>
        <v/>
      </c>
      <c r="I28" s="206"/>
      <c r="J28" s="203" t="str">
        <f>波长示值误差与重复性校验!G6</f>
        <v/>
      </c>
      <c r="K28" s="203" t="str">
        <f>波长示值误差与重复性校验!G7</f>
        <v/>
      </c>
      <c r="L28" s="203" t="str">
        <f>波长示值误差与重复性校验!G8</f>
        <v/>
      </c>
      <c r="M28" s="203" t="str">
        <f>波长示值误差与重复性校验!G9</f>
        <v/>
      </c>
      <c r="N28" s="203" t="str">
        <f>波长示值误差与重复性校验!G10</f>
        <v/>
      </c>
      <c r="O28" s="220"/>
    </row>
    <row r="29" ht="18" hidden="1" customHeight="1" spans="1:15">
      <c r="A29" s="195"/>
      <c r="B29" s="195"/>
      <c r="C29" s="195"/>
      <c r="D29" s="195"/>
      <c r="E29" s="195"/>
      <c r="F29" s="195"/>
      <c r="G29" s="195"/>
      <c r="H29" s="206"/>
      <c r="I29" s="206"/>
      <c r="J29" s="206"/>
      <c r="K29" s="206"/>
      <c r="L29" s="206"/>
      <c r="M29" s="206"/>
      <c r="N29" s="221"/>
      <c r="O29" s="222"/>
    </row>
    <row r="30" ht="19.5" customHeight="1" spans="1:15">
      <c r="A30" s="195"/>
      <c r="B30" s="195"/>
      <c r="C30" s="195"/>
      <c r="D30" s="195"/>
      <c r="E30" s="194" t="s">
        <v>29</v>
      </c>
      <c r="F30" s="195"/>
      <c r="G30" s="195"/>
      <c r="H30" s="204">
        <f>波长示值误差与重复性校验!H5</f>
        <v>0</v>
      </c>
      <c r="I30" s="207"/>
      <c r="J30" s="204">
        <f>波长示值误差与重复性校验!H6</f>
        <v>0</v>
      </c>
      <c r="K30" s="204">
        <f>波长示值误差与重复性校验!H7</f>
        <v>0</v>
      </c>
      <c r="L30" s="204">
        <f>波长示值误差与重复性校验!H8</f>
        <v>0</v>
      </c>
      <c r="M30" s="204">
        <f>波长示值误差与重复性校验!H9</f>
        <v>0</v>
      </c>
      <c r="N30" s="204">
        <f>波长示值误差与重复性校验!H10</f>
        <v>0</v>
      </c>
      <c r="O30" s="207"/>
    </row>
    <row r="31" ht="19.5" hidden="1" customHeight="1" spans="1:15">
      <c r="A31" s="195"/>
      <c r="B31" s="195"/>
      <c r="C31" s="195"/>
      <c r="D31" s="195"/>
      <c r="E31" s="195"/>
      <c r="F31" s="195"/>
      <c r="G31" s="195"/>
      <c r="H31" s="207"/>
      <c r="I31" s="207"/>
      <c r="J31" s="207"/>
      <c r="K31" s="207"/>
      <c r="L31" s="207"/>
      <c r="M31" s="207"/>
      <c r="N31" s="207"/>
      <c r="O31" s="207"/>
    </row>
    <row r="32" ht="19.5" customHeight="1" spans="1:15">
      <c r="A32" s="194">
        <v>2</v>
      </c>
      <c r="B32" s="194" t="s">
        <v>33</v>
      </c>
      <c r="C32" s="194" t="s">
        <v>34</v>
      </c>
      <c r="D32" s="195"/>
      <c r="E32" s="194" t="s">
        <v>22</v>
      </c>
      <c r="F32" s="195"/>
      <c r="G32" s="195"/>
      <c r="H32" s="194" t="s">
        <v>35</v>
      </c>
      <c r="I32" s="195"/>
      <c r="J32" s="195"/>
      <c r="K32" s="195"/>
      <c r="L32" s="195"/>
      <c r="M32" s="195"/>
      <c r="N32" s="195"/>
      <c r="O32" s="195"/>
    </row>
    <row r="33" ht="19.5" customHeight="1" spans="1:15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</row>
    <row r="34" ht="19.5" customHeight="1" spans="1:15">
      <c r="A34" s="195"/>
      <c r="B34" s="195"/>
      <c r="C34" s="195"/>
      <c r="D34" s="195"/>
      <c r="E34" s="194" t="s">
        <v>36</v>
      </c>
      <c r="F34" s="195"/>
      <c r="G34" s="194" t="s">
        <v>37</v>
      </c>
      <c r="H34" s="195"/>
      <c r="I34" s="194">
        <f>透射比示值误差与重复性校验!B6</f>
        <v>635</v>
      </c>
      <c r="J34" s="195"/>
      <c r="K34" s="195"/>
      <c r="L34" s="194">
        <f>透射比示值误差与重复性校验!B7</f>
        <v>546</v>
      </c>
      <c r="M34" s="195"/>
      <c r="N34" s="194">
        <f>透射比示值误差与重复性校验!B8</f>
        <v>440</v>
      </c>
      <c r="O34" s="195"/>
    </row>
    <row r="35" ht="19.5" customHeight="1" spans="1:15">
      <c r="A35" s="195"/>
      <c r="B35" s="195"/>
      <c r="C35" s="195"/>
      <c r="D35" s="195"/>
      <c r="E35" s="194" t="s">
        <v>38</v>
      </c>
      <c r="F35" s="195"/>
      <c r="G35" s="194" t="s">
        <v>39</v>
      </c>
      <c r="H35" s="195"/>
      <c r="I35" s="202">
        <f>透射比示值误差与重复性校验!C6</f>
        <v>7.57</v>
      </c>
      <c r="J35" s="205"/>
      <c r="K35" s="205"/>
      <c r="L35" s="202">
        <f>透射比示值误差与重复性校验!C7</f>
        <v>10.1</v>
      </c>
      <c r="M35" s="205"/>
      <c r="N35" s="202">
        <f>透射比示值误差与重复性校验!C8</f>
        <v>10.07</v>
      </c>
      <c r="O35" s="205"/>
    </row>
    <row r="36" ht="19.5" customHeight="1" spans="1:15">
      <c r="A36" s="195"/>
      <c r="B36" s="195"/>
      <c r="C36" s="195"/>
      <c r="D36" s="195"/>
      <c r="E36" s="195"/>
      <c r="F36" s="195"/>
      <c r="G36" s="194" t="s">
        <v>40</v>
      </c>
      <c r="H36" s="195"/>
      <c r="I36" s="203">
        <f>透射比示值误差与重复性校验!D6</f>
        <v>0</v>
      </c>
      <c r="J36" s="206"/>
      <c r="K36" s="206"/>
      <c r="L36" s="203">
        <f>透射比示值误差与重复性校验!D7</f>
        <v>0</v>
      </c>
      <c r="M36" s="206"/>
      <c r="N36" s="203">
        <f>透射比示值误差与重复性校验!D8</f>
        <v>0</v>
      </c>
      <c r="O36" s="206"/>
    </row>
    <row r="37" ht="19.5" customHeight="1" spans="1:15">
      <c r="A37" s="195"/>
      <c r="B37" s="195"/>
      <c r="C37" s="195"/>
      <c r="D37" s="195"/>
      <c r="E37" s="195"/>
      <c r="F37" s="195"/>
      <c r="G37" s="195"/>
      <c r="H37" s="195"/>
      <c r="I37" s="203">
        <f>透射比示值误差与重复性校验!E6</f>
        <v>0</v>
      </c>
      <c r="J37" s="206"/>
      <c r="K37" s="206"/>
      <c r="L37" s="203">
        <f>透射比示值误差与重复性校验!E7</f>
        <v>0</v>
      </c>
      <c r="M37" s="206"/>
      <c r="N37" s="203">
        <f>透射比示值误差与重复性校验!E8</f>
        <v>0</v>
      </c>
      <c r="O37" s="206"/>
    </row>
    <row r="38" ht="19.5" customHeight="1" spans="1:15">
      <c r="A38" s="195"/>
      <c r="B38" s="195"/>
      <c r="C38" s="195"/>
      <c r="D38" s="195"/>
      <c r="E38" s="195"/>
      <c r="F38" s="195"/>
      <c r="G38" s="195"/>
      <c r="H38" s="195"/>
      <c r="I38" s="203">
        <f>透射比示值误差与重复性校验!F6</f>
        <v>0</v>
      </c>
      <c r="J38" s="206"/>
      <c r="K38" s="206"/>
      <c r="L38" s="203">
        <f>透射比示值误差与重复性校验!F7</f>
        <v>0</v>
      </c>
      <c r="M38" s="206"/>
      <c r="N38" s="203">
        <f>透射比示值误差与重复性校验!F8</f>
        <v>0</v>
      </c>
      <c r="O38" s="206"/>
    </row>
    <row r="39" ht="19.5" customHeight="1" spans="1:15">
      <c r="A39" s="195"/>
      <c r="B39" s="195"/>
      <c r="C39" s="195"/>
      <c r="D39" s="195"/>
      <c r="E39" s="195"/>
      <c r="F39" s="195"/>
      <c r="G39" s="194" t="s">
        <v>41</v>
      </c>
      <c r="H39" s="195"/>
      <c r="I39" s="203" t="str">
        <f>透射比示值误差与重复性校验!G6</f>
        <v/>
      </c>
      <c r="J39" s="206"/>
      <c r="K39" s="206"/>
      <c r="L39" s="203" t="str">
        <f>透射比示值误差与重复性校验!G7</f>
        <v/>
      </c>
      <c r="M39" s="206"/>
      <c r="N39" s="203" t="str">
        <f>透射比示值误差与重复性校验!G8</f>
        <v/>
      </c>
      <c r="O39" s="206"/>
    </row>
    <row r="40" ht="19.5" customHeight="1" spans="1:15">
      <c r="A40" s="195"/>
      <c r="B40" s="195"/>
      <c r="C40" s="195"/>
      <c r="D40" s="195"/>
      <c r="E40" s="195"/>
      <c r="F40" s="195"/>
      <c r="G40" s="194" t="s">
        <v>42</v>
      </c>
      <c r="H40" s="195"/>
      <c r="I40" s="203" t="str">
        <f>透射比示值误差与重复性校验!H6</f>
        <v/>
      </c>
      <c r="J40" s="206"/>
      <c r="K40" s="206"/>
      <c r="L40" s="203" t="str">
        <f>透射比示值误差与重复性校验!H7</f>
        <v/>
      </c>
      <c r="M40" s="206"/>
      <c r="N40" s="203" t="str">
        <f>透射比示值误差与重复性校验!H8</f>
        <v/>
      </c>
      <c r="O40" s="206"/>
    </row>
    <row r="41" ht="19.5" customHeight="1" spans="1:15">
      <c r="A41" s="195"/>
      <c r="B41" s="195"/>
      <c r="C41" s="195"/>
      <c r="D41" s="195"/>
      <c r="E41" s="195"/>
      <c r="F41" s="195"/>
      <c r="G41" s="194" t="s">
        <v>43</v>
      </c>
      <c r="H41" s="195"/>
      <c r="I41" s="203">
        <f>透射比示值误差与重复性校验!I6</f>
        <v>0</v>
      </c>
      <c r="J41" s="206"/>
      <c r="K41" s="206"/>
      <c r="L41" s="203">
        <f>透射比示值误差与重复性校验!I7</f>
        <v>0</v>
      </c>
      <c r="M41" s="206"/>
      <c r="N41" s="203">
        <f>透射比示值误差与重复性校验!I8</f>
        <v>0</v>
      </c>
      <c r="O41" s="206"/>
    </row>
    <row r="42" ht="19.5" customHeight="1" spans="1:15">
      <c r="A42" s="195"/>
      <c r="B42" s="195"/>
      <c r="C42" s="195"/>
      <c r="D42" s="195"/>
      <c r="E42" s="194" t="s">
        <v>44</v>
      </c>
      <c r="F42" s="195"/>
      <c r="G42" s="194" t="s">
        <v>39</v>
      </c>
      <c r="H42" s="195"/>
      <c r="I42" s="202">
        <f>透射比示值误差与重复性校验!C9</f>
        <v>18.98</v>
      </c>
      <c r="J42" s="205"/>
      <c r="K42" s="205"/>
      <c r="L42" s="202">
        <f>透射比示值误差与重复性校验!C10</f>
        <v>20.09</v>
      </c>
      <c r="M42" s="205"/>
      <c r="N42" s="202">
        <f>透射比示值误差与重复性校验!C11</f>
        <v>20.91</v>
      </c>
      <c r="O42" s="205"/>
    </row>
    <row r="43" ht="19.5" customHeight="1" spans="1:15">
      <c r="A43" s="195"/>
      <c r="B43" s="195"/>
      <c r="C43" s="195"/>
      <c r="D43" s="195"/>
      <c r="E43" s="195"/>
      <c r="F43" s="195"/>
      <c r="G43" s="194" t="s">
        <v>40</v>
      </c>
      <c r="H43" s="195"/>
      <c r="I43" s="203">
        <f>透射比示值误差与重复性校验!D9</f>
        <v>0</v>
      </c>
      <c r="J43" s="206"/>
      <c r="K43" s="206"/>
      <c r="L43" s="203">
        <f>透射比示值误差与重复性校验!D10</f>
        <v>0</v>
      </c>
      <c r="M43" s="206"/>
      <c r="N43" s="203">
        <f>透射比示值误差与重复性校验!D11</f>
        <v>0</v>
      </c>
      <c r="O43" s="206"/>
    </row>
    <row r="44" ht="19.5" customHeight="1" spans="1:15">
      <c r="A44" s="195"/>
      <c r="B44" s="195"/>
      <c r="C44" s="195"/>
      <c r="D44" s="195"/>
      <c r="E44" s="195"/>
      <c r="F44" s="195"/>
      <c r="G44" s="195"/>
      <c r="H44" s="195"/>
      <c r="I44" s="203">
        <f>透射比示值误差与重复性校验!E9</f>
        <v>0</v>
      </c>
      <c r="J44" s="206"/>
      <c r="K44" s="206"/>
      <c r="L44" s="203">
        <f>透射比示值误差与重复性校验!E10</f>
        <v>0</v>
      </c>
      <c r="M44" s="206"/>
      <c r="N44" s="203">
        <f>透射比示值误差与重复性校验!E11</f>
        <v>0</v>
      </c>
      <c r="O44" s="206"/>
    </row>
    <row r="45" ht="19.5" customHeight="1" spans="1:15">
      <c r="A45" s="195"/>
      <c r="B45" s="195"/>
      <c r="C45" s="195"/>
      <c r="D45" s="195"/>
      <c r="E45" s="195"/>
      <c r="F45" s="195"/>
      <c r="G45" s="195"/>
      <c r="H45" s="195"/>
      <c r="I45" s="203">
        <f>透射比示值误差与重复性校验!F9</f>
        <v>0</v>
      </c>
      <c r="J45" s="206"/>
      <c r="K45" s="206"/>
      <c r="L45" s="203">
        <f>透射比示值误差与重复性校验!F10</f>
        <v>0</v>
      </c>
      <c r="M45" s="206"/>
      <c r="N45" s="203">
        <f>透射比示值误差与重复性校验!F11</f>
        <v>0</v>
      </c>
      <c r="O45" s="206"/>
    </row>
    <row r="46" ht="19.5" customHeight="1" spans="1:15">
      <c r="A46" s="195"/>
      <c r="B46" s="195"/>
      <c r="C46" s="195"/>
      <c r="D46" s="195"/>
      <c r="E46" s="195"/>
      <c r="F46" s="195"/>
      <c r="G46" s="194" t="s">
        <v>41</v>
      </c>
      <c r="H46" s="195"/>
      <c r="I46" s="203" t="str">
        <f>透射比示值误差与重复性校验!G9</f>
        <v/>
      </c>
      <c r="J46" s="206"/>
      <c r="K46" s="206"/>
      <c r="L46" s="203" t="str">
        <f>透射比示值误差与重复性校验!G10</f>
        <v/>
      </c>
      <c r="M46" s="206"/>
      <c r="N46" s="203" t="str">
        <f>透射比示值误差与重复性校验!G11</f>
        <v/>
      </c>
      <c r="O46" s="206"/>
    </row>
    <row r="47" ht="19.5" customHeight="1" spans="1:15">
      <c r="A47" s="195"/>
      <c r="B47" s="195"/>
      <c r="C47" s="195"/>
      <c r="D47" s="195"/>
      <c r="E47" s="195"/>
      <c r="F47" s="195"/>
      <c r="G47" s="194" t="s">
        <v>42</v>
      </c>
      <c r="H47" s="195"/>
      <c r="I47" s="203" t="str">
        <f>透射比示值误差与重复性校验!H9</f>
        <v/>
      </c>
      <c r="J47" s="206"/>
      <c r="K47" s="206"/>
      <c r="L47" s="203" t="str">
        <f>透射比示值误差与重复性校验!H10</f>
        <v/>
      </c>
      <c r="M47" s="206"/>
      <c r="N47" s="203" t="str">
        <f>透射比示值误差与重复性校验!H11</f>
        <v/>
      </c>
      <c r="O47" s="206"/>
    </row>
    <row r="48" ht="19.5" customHeight="1" spans="1:15">
      <c r="A48" s="195"/>
      <c r="B48" s="195"/>
      <c r="C48" s="195"/>
      <c r="D48" s="195"/>
      <c r="E48" s="195"/>
      <c r="F48" s="195"/>
      <c r="G48" s="194" t="s">
        <v>43</v>
      </c>
      <c r="H48" s="195"/>
      <c r="I48" s="202">
        <f>透射比示值误差与重复性校验!I9</f>
        <v>0</v>
      </c>
      <c r="J48" s="205"/>
      <c r="K48" s="205"/>
      <c r="L48" s="203">
        <f>透射比示值误差与重复性校验!I10</f>
        <v>0</v>
      </c>
      <c r="M48" s="206"/>
      <c r="N48" s="202">
        <f>透射比示值误差与重复性校验!I11</f>
        <v>0</v>
      </c>
      <c r="O48" s="205"/>
    </row>
    <row r="49" ht="19.5" customHeight="1" spans="1:15">
      <c r="A49" s="194">
        <v>2</v>
      </c>
      <c r="B49" s="194" t="s">
        <v>33</v>
      </c>
      <c r="C49" s="194" t="s">
        <v>45</v>
      </c>
      <c r="D49" s="195"/>
      <c r="E49" s="194" t="s">
        <v>46</v>
      </c>
      <c r="F49" s="195"/>
      <c r="G49" s="194" t="s">
        <v>39</v>
      </c>
      <c r="H49" s="195"/>
      <c r="I49" s="202">
        <f>透射比示值误差与重复性校验!C12</f>
        <v>29.96</v>
      </c>
      <c r="J49" s="205"/>
      <c r="K49" s="205"/>
      <c r="L49" s="202">
        <f>透射比示值误差与重复性校验!C13</f>
        <v>30.43</v>
      </c>
      <c r="M49" s="205"/>
      <c r="N49" s="202">
        <f>透射比示值误差与重复性校验!C14</f>
        <v>28.88</v>
      </c>
      <c r="O49" s="205"/>
    </row>
    <row r="50" ht="19.5" customHeight="1" spans="1:15">
      <c r="A50" s="195"/>
      <c r="B50" s="195"/>
      <c r="C50" s="195"/>
      <c r="D50" s="195"/>
      <c r="E50" s="195"/>
      <c r="F50" s="195"/>
      <c r="G50" s="194" t="s">
        <v>40</v>
      </c>
      <c r="H50" s="195"/>
      <c r="I50" s="203">
        <f>透射比示值误差与重复性校验!D12</f>
        <v>0</v>
      </c>
      <c r="J50" s="206"/>
      <c r="K50" s="206"/>
      <c r="L50" s="203">
        <f>透射比示值误差与重复性校验!D13</f>
        <v>0</v>
      </c>
      <c r="M50" s="206"/>
      <c r="N50" s="203">
        <f>透射比示值误差与重复性校验!D14</f>
        <v>0</v>
      </c>
      <c r="O50" s="206"/>
    </row>
    <row r="51" ht="19.5" customHeight="1" spans="1:15">
      <c r="A51" s="195"/>
      <c r="B51" s="195"/>
      <c r="C51" s="195"/>
      <c r="D51" s="195"/>
      <c r="E51" s="195"/>
      <c r="F51" s="195"/>
      <c r="G51" s="195"/>
      <c r="H51" s="195"/>
      <c r="I51" s="203">
        <f>透射比示值误差与重复性校验!E12</f>
        <v>0</v>
      </c>
      <c r="J51" s="206"/>
      <c r="K51" s="206"/>
      <c r="L51" s="203">
        <f>透射比示值误差与重复性校验!E13</f>
        <v>0</v>
      </c>
      <c r="M51" s="206"/>
      <c r="N51" s="203">
        <f>透射比示值误差与重复性校验!E14</f>
        <v>0</v>
      </c>
      <c r="O51" s="206"/>
    </row>
    <row r="52" ht="19.5" customHeight="1" spans="1:15">
      <c r="A52" s="195"/>
      <c r="B52" s="195"/>
      <c r="C52" s="195"/>
      <c r="D52" s="195"/>
      <c r="E52" s="195"/>
      <c r="F52" s="195"/>
      <c r="G52" s="195"/>
      <c r="H52" s="195"/>
      <c r="I52" s="203">
        <f>透射比示值误差与重复性校验!F12</f>
        <v>0</v>
      </c>
      <c r="J52" s="206"/>
      <c r="K52" s="206"/>
      <c r="L52" s="203">
        <f>透射比示值误差与重复性校验!F13</f>
        <v>0</v>
      </c>
      <c r="M52" s="206"/>
      <c r="N52" s="203">
        <f>透射比示值误差与重复性校验!F14</f>
        <v>0</v>
      </c>
      <c r="O52" s="206"/>
    </row>
    <row r="53" ht="19.5" customHeight="1" spans="1:15">
      <c r="A53" s="195"/>
      <c r="B53" s="195"/>
      <c r="C53" s="195"/>
      <c r="D53" s="195"/>
      <c r="E53" s="195"/>
      <c r="F53" s="195"/>
      <c r="G53" s="194" t="s">
        <v>41</v>
      </c>
      <c r="H53" s="195"/>
      <c r="I53" s="203" t="str">
        <f>透射比示值误差与重复性校验!G12</f>
        <v/>
      </c>
      <c r="J53" s="206"/>
      <c r="K53" s="206"/>
      <c r="L53" s="203" t="str">
        <f>透射比示值误差与重复性校验!G13</f>
        <v/>
      </c>
      <c r="M53" s="206"/>
      <c r="N53" s="203" t="str">
        <f>透射比示值误差与重复性校验!G14</f>
        <v/>
      </c>
      <c r="O53" s="206"/>
    </row>
    <row r="54" ht="19.5" customHeight="1" spans="1:15">
      <c r="A54" s="195"/>
      <c r="B54" s="195"/>
      <c r="C54" s="195"/>
      <c r="D54" s="195"/>
      <c r="E54" s="195"/>
      <c r="F54" s="195"/>
      <c r="G54" s="194" t="s">
        <v>42</v>
      </c>
      <c r="H54" s="195"/>
      <c r="I54" s="203" t="str">
        <f>透射比示值误差与重复性校验!H12</f>
        <v/>
      </c>
      <c r="J54" s="206"/>
      <c r="K54" s="206"/>
      <c r="L54" s="203" t="str">
        <f>透射比示值误差与重复性校验!H13</f>
        <v/>
      </c>
      <c r="M54" s="206"/>
      <c r="N54" s="203" t="str">
        <f>透射比示值误差与重复性校验!H14</f>
        <v/>
      </c>
      <c r="O54" s="206"/>
    </row>
    <row r="55" ht="19.5" customHeight="1" spans="1:15">
      <c r="A55" s="195"/>
      <c r="B55" s="195"/>
      <c r="C55" s="195"/>
      <c r="D55" s="195"/>
      <c r="E55" s="195"/>
      <c r="F55" s="195"/>
      <c r="G55" s="194" t="s">
        <v>43</v>
      </c>
      <c r="H55" s="195"/>
      <c r="I55" s="203">
        <f>透射比示值误差与重复性校验!I12</f>
        <v>0</v>
      </c>
      <c r="J55" s="206"/>
      <c r="K55" s="206"/>
      <c r="L55" s="203">
        <f>透射比示值误差与重复性校验!I13</f>
        <v>0</v>
      </c>
      <c r="M55" s="206"/>
      <c r="N55" s="203">
        <f>透射比示值误差与重复性校验!I14</f>
        <v>0</v>
      </c>
      <c r="O55" s="206"/>
    </row>
    <row r="56" ht="19.5" customHeight="1" spans="1:15">
      <c r="A56" s="194">
        <v>3</v>
      </c>
      <c r="B56" s="194" t="s">
        <v>47</v>
      </c>
      <c r="C56" s="194" t="s">
        <v>48</v>
      </c>
      <c r="D56" s="195"/>
      <c r="E56" s="194" t="s">
        <v>22</v>
      </c>
      <c r="F56" s="195"/>
      <c r="G56" s="195"/>
      <c r="H56" s="194" t="s">
        <v>49</v>
      </c>
      <c r="I56" s="195"/>
      <c r="J56" s="195"/>
      <c r="K56" s="195"/>
      <c r="L56" s="195"/>
      <c r="M56" s="195"/>
      <c r="N56" s="195"/>
      <c r="O56" s="195"/>
    </row>
    <row r="57" ht="19.5" customHeight="1" spans="1:15">
      <c r="A57" s="195"/>
      <c r="B57" s="195"/>
      <c r="C57" s="195"/>
      <c r="D57" s="195"/>
      <c r="E57" s="194" t="s">
        <v>50</v>
      </c>
      <c r="F57" s="195"/>
      <c r="G57" s="195"/>
      <c r="H57" s="194">
        <f>透射比示值误差与重复性校验!B2</f>
        <v>350</v>
      </c>
      <c r="I57" s="195"/>
      <c r="J57" s="194">
        <f>透射比示值误差与重复性校验!B3</f>
        <v>313</v>
      </c>
      <c r="K57" s="195"/>
      <c r="L57" s="223">
        <f>透射比示值误差与重复性校验!B4</f>
        <v>257</v>
      </c>
      <c r="M57" s="224"/>
      <c r="N57" s="223">
        <f>透射比示值误差与重复性校验!B5</f>
        <v>235</v>
      </c>
      <c r="O57" s="224"/>
    </row>
    <row r="58" ht="19.5" customHeight="1" spans="1:15">
      <c r="A58" s="195"/>
      <c r="B58" s="195"/>
      <c r="C58" s="195"/>
      <c r="D58" s="195"/>
      <c r="E58" s="195"/>
      <c r="F58" s="195"/>
      <c r="G58" s="195"/>
      <c r="H58" s="202">
        <f>透射比示值误差与重复性校验!C2</f>
        <v>23.2</v>
      </c>
      <c r="I58" s="205"/>
      <c r="J58" s="202">
        <f>透射比示值误差与重复性校验!C3</f>
        <v>51.58</v>
      </c>
      <c r="K58" s="205"/>
      <c r="L58" s="225">
        <f>透射比示值误差与重复性校验!C4</f>
        <v>14.06</v>
      </c>
      <c r="M58" s="226"/>
      <c r="N58" s="225">
        <f>透射比示值误差与重复性校验!C5</f>
        <v>18.42</v>
      </c>
      <c r="O58" s="226"/>
    </row>
    <row r="59" ht="19.5" customHeight="1" spans="1:15">
      <c r="A59" s="195"/>
      <c r="B59" s="195"/>
      <c r="C59" s="195"/>
      <c r="D59" s="195"/>
      <c r="E59" s="194" t="s">
        <v>51</v>
      </c>
      <c r="F59" s="195"/>
      <c r="G59" s="195"/>
      <c r="H59" s="203">
        <f>透射比示值误差与重复性校验!D2</f>
        <v>0</v>
      </c>
      <c r="I59" s="206"/>
      <c r="J59" s="203">
        <f>透射比示值误差与重复性校验!D3</f>
        <v>0</v>
      </c>
      <c r="K59" s="206"/>
      <c r="L59" s="227">
        <f>透射比示值误差与重复性校验!D4</f>
        <v>0</v>
      </c>
      <c r="M59" s="228"/>
      <c r="N59" s="227">
        <f>透射比示值误差与重复性校验!D5</f>
        <v>0</v>
      </c>
      <c r="O59" s="228"/>
    </row>
    <row r="60" ht="19.5" customHeight="1" spans="1:15">
      <c r="A60" s="195"/>
      <c r="B60" s="195"/>
      <c r="C60" s="195"/>
      <c r="D60" s="195"/>
      <c r="E60" s="195"/>
      <c r="F60" s="195"/>
      <c r="G60" s="195"/>
      <c r="H60" s="203">
        <f>透射比示值误差与重复性校验!E2</f>
        <v>0</v>
      </c>
      <c r="I60" s="206"/>
      <c r="J60" s="203">
        <f>透射比示值误差与重复性校验!E3</f>
        <v>0</v>
      </c>
      <c r="K60" s="206"/>
      <c r="L60" s="227">
        <f>透射比示值误差与重复性校验!E4</f>
        <v>0</v>
      </c>
      <c r="M60" s="228"/>
      <c r="N60" s="227">
        <f>透射比示值误差与重复性校验!E5</f>
        <v>0</v>
      </c>
      <c r="O60" s="228"/>
    </row>
    <row r="61" ht="19.5" customHeight="1" spans="1:15">
      <c r="A61" s="195"/>
      <c r="B61" s="195"/>
      <c r="C61" s="195"/>
      <c r="D61" s="195"/>
      <c r="E61" s="195"/>
      <c r="F61" s="195"/>
      <c r="G61" s="195"/>
      <c r="H61" s="203">
        <f>透射比示值误差与重复性校验!F2</f>
        <v>0</v>
      </c>
      <c r="I61" s="206"/>
      <c r="J61" s="203">
        <f>透射比示值误差与重复性校验!F3</f>
        <v>0</v>
      </c>
      <c r="K61" s="206"/>
      <c r="L61" s="227">
        <f>透射比示值误差与重复性校验!F4</f>
        <v>0</v>
      </c>
      <c r="M61" s="228"/>
      <c r="N61" s="227">
        <f>透射比示值误差与重复性校验!F5</f>
        <v>0</v>
      </c>
      <c r="O61" s="228"/>
    </row>
    <row r="62" ht="19.5" customHeight="1" spans="1:15">
      <c r="A62" s="195"/>
      <c r="B62" s="195"/>
      <c r="C62" s="195"/>
      <c r="D62" s="195"/>
      <c r="E62" s="194" t="s">
        <v>41</v>
      </c>
      <c r="F62" s="195"/>
      <c r="G62" s="195"/>
      <c r="H62" s="203" t="str">
        <f>透射比示值误差与重复性校验!G2</f>
        <v/>
      </c>
      <c r="I62" s="206"/>
      <c r="J62" s="203" t="str">
        <f>透射比示值误差与重复性校验!G3</f>
        <v/>
      </c>
      <c r="K62" s="206"/>
      <c r="L62" s="203" t="str">
        <f>透射比示值误差与重复性校验!G4</f>
        <v/>
      </c>
      <c r="M62" s="206"/>
      <c r="N62" s="203" t="str">
        <f>透射比示值误差与重复性校验!G5</f>
        <v/>
      </c>
      <c r="O62" s="206"/>
    </row>
    <row r="63" ht="19.5" customHeight="1" spans="1:15">
      <c r="A63" s="195"/>
      <c r="B63" s="195"/>
      <c r="C63" s="195"/>
      <c r="D63" s="195"/>
      <c r="E63" s="194" t="s">
        <v>42</v>
      </c>
      <c r="F63" s="195"/>
      <c r="G63" s="195"/>
      <c r="H63" s="203" t="str">
        <f>透射比示值误差与重复性校验!H2</f>
        <v/>
      </c>
      <c r="I63" s="206"/>
      <c r="J63" s="203" t="str">
        <f>透射比示值误差与重复性校验!H3</f>
        <v/>
      </c>
      <c r="K63" s="206"/>
      <c r="L63" s="203" t="str">
        <f>透射比示值误差与重复性校验!H4</f>
        <v/>
      </c>
      <c r="M63" s="206"/>
      <c r="N63" s="203" t="str">
        <f>透射比示值误差与重复性校验!H5</f>
        <v/>
      </c>
      <c r="O63" s="206"/>
    </row>
    <row r="64" ht="19.5" customHeight="1" spans="1:15">
      <c r="A64" s="195"/>
      <c r="B64" s="195"/>
      <c r="C64" s="195"/>
      <c r="D64" s="195"/>
      <c r="E64" s="194" t="s">
        <v>43</v>
      </c>
      <c r="F64" s="195"/>
      <c r="G64" s="195"/>
      <c r="H64" s="202">
        <f>透射比示值误差与重复性校验!I2</f>
        <v>0</v>
      </c>
      <c r="I64" s="205"/>
      <c r="J64" s="202">
        <f>透射比示值误差与重复性校验!I3</f>
        <v>0</v>
      </c>
      <c r="K64" s="205"/>
      <c r="L64" s="202">
        <f>透射比示值误差与重复性校验!I4</f>
        <v>0</v>
      </c>
      <c r="M64" s="205"/>
      <c r="N64" s="202">
        <f>透射比示值误差与重复性校验!I5</f>
        <v>0</v>
      </c>
      <c r="O64" s="205"/>
    </row>
    <row r="65" ht="30" customHeight="1" spans="1:15">
      <c r="A65" s="195">
        <v>4</v>
      </c>
      <c r="B65" s="229" t="s">
        <v>52</v>
      </c>
      <c r="C65" s="230"/>
      <c r="D65" s="195"/>
      <c r="E65" s="231" t="s">
        <v>53</v>
      </c>
      <c r="F65" s="229"/>
      <c r="G65" s="229"/>
      <c r="H65" s="231"/>
      <c r="I65" s="229"/>
      <c r="J65" s="194">
        <v>1</v>
      </c>
      <c r="K65" s="194">
        <v>2</v>
      </c>
      <c r="L65" s="194">
        <v>3</v>
      </c>
      <c r="M65" s="223" t="s">
        <v>17</v>
      </c>
      <c r="N65" s="224"/>
      <c r="O65" s="224"/>
    </row>
    <row r="66" ht="30" hidden="1" customHeight="1" spans="1:15">
      <c r="A66" s="195"/>
      <c r="B66" s="229"/>
      <c r="C66" s="232"/>
      <c r="D66" s="195"/>
      <c r="E66" s="229"/>
      <c r="F66" s="229"/>
      <c r="G66" s="229"/>
      <c r="H66" s="229"/>
      <c r="I66" s="229"/>
      <c r="J66" s="195"/>
      <c r="K66" s="195"/>
      <c r="L66" s="195"/>
      <c r="M66" s="224"/>
      <c r="N66" s="224"/>
      <c r="O66" s="224"/>
    </row>
    <row r="67" ht="30" customHeight="1" spans="1:15">
      <c r="A67" s="195"/>
      <c r="B67" s="229"/>
      <c r="C67" s="233" t="s">
        <v>54</v>
      </c>
      <c r="D67" s="195" t="s">
        <v>55</v>
      </c>
      <c r="E67" s="229" t="s">
        <v>56</v>
      </c>
      <c r="F67" s="229"/>
      <c r="G67" s="229"/>
      <c r="H67" s="195" t="s">
        <v>57</v>
      </c>
      <c r="I67" s="195"/>
      <c r="J67" s="252">
        <f>杂散光校验!C2</f>
        <v>0</v>
      </c>
      <c r="K67" s="243">
        <f>杂散光校验!D2</f>
        <v>0</v>
      </c>
      <c r="L67" s="252">
        <f>杂散光校验!E2</f>
        <v>0</v>
      </c>
      <c r="M67" s="224" t="str">
        <f>杂散光校验!G2</f>
        <v>未检测</v>
      </c>
      <c r="N67" s="224"/>
      <c r="O67" s="224"/>
    </row>
    <row r="68" ht="30" hidden="1" customHeight="1" spans="1:15">
      <c r="A68" s="195"/>
      <c r="B68" s="229"/>
      <c r="C68" s="233"/>
      <c r="D68" s="195"/>
      <c r="E68" s="229"/>
      <c r="F68" s="229"/>
      <c r="G68" s="229"/>
      <c r="H68" s="195"/>
      <c r="I68" s="195"/>
      <c r="J68" s="252"/>
      <c r="K68" s="243"/>
      <c r="L68" s="252"/>
      <c r="M68" s="224"/>
      <c r="N68" s="224"/>
      <c r="O68" s="224"/>
    </row>
    <row r="69" ht="30" customHeight="1" spans="1:15">
      <c r="A69" s="195"/>
      <c r="B69" s="229"/>
      <c r="C69" s="233" t="s">
        <v>58</v>
      </c>
      <c r="D69" s="195" t="s">
        <v>59</v>
      </c>
      <c r="E69" s="229" t="s">
        <v>60</v>
      </c>
      <c r="F69" s="229"/>
      <c r="G69" s="229"/>
      <c r="H69" s="195"/>
      <c r="I69" s="195"/>
      <c r="J69" s="252">
        <f>杂散光校验!C3</f>
        <v>0</v>
      </c>
      <c r="K69" s="243">
        <f>杂散光校验!D3</f>
        <v>0</v>
      </c>
      <c r="L69" s="252">
        <f>杂散光校验!E3</f>
        <v>0</v>
      </c>
      <c r="M69" s="224" t="str">
        <f>杂散光校验!G3</f>
        <v>未检测</v>
      </c>
      <c r="N69" s="224"/>
      <c r="O69" s="224"/>
    </row>
    <row r="70" ht="30" hidden="1" customHeight="1" spans="1:15">
      <c r="A70" s="195"/>
      <c r="B70" s="229"/>
      <c r="C70" s="233"/>
      <c r="D70" s="195"/>
      <c r="E70" s="229"/>
      <c r="F70" s="229"/>
      <c r="G70" s="229"/>
      <c r="H70" s="195"/>
      <c r="I70" s="195"/>
      <c r="J70" s="252"/>
      <c r="K70" s="243"/>
      <c r="L70" s="252"/>
      <c r="M70" s="224"/>
      <c r="N70" s="224"/>
      <c r="O70" s="224"/>
    </row>
    <row r="71" ht="30" customHeight="1" spans="1:15">
      <c r="A71" s="195">
        <v>5</v>
      </c>
      <c r="B71" s="229" t="s">
        <v>61</v>
      </c>
      <c r="C71" s="195" t="s">
        <v>62</v>
      </c>
      <c r="D71" s="195"/>
      <c r="E71" s="195"/>
      <c r="F71" s="195"/>
      <c r="G71" s="195"/>
      <c r="H71" s="195" t="s">
        <v>63</v>
      </c>
      <c r="I71" s="195"/>
      <c r="J71" s="195"/>
      <c r="K71" s="195"/>
      <c r="L71" s="195"/>
      <c r="M71" s="253">
        <f>基线平直度检验!B2</f>
        <v>0</v>
      </c>
      <c r="N71" s="253"/>
      <c r="O71" s="253"/>
    </row>
    <row r="72" ht="23.4" hidden="1" customHeight="1" spans="1:15">
      <c r="A72" s="195"/>
      <c r="B72" s="229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253"/>
      <c r="N72" s="253"/>
      <c r="O72" s="253"/>
    </row>
    <row r="73" ht="30" customHeight="1" spans="1:15">
      <c r="A73" s="229">
        <v>6</v>
      </c>
      <c r="B73" s="229" t="s">
        <v>64</v>
      </c>
      <c r="C73" s="195" t="s">
        <v>65</v>
      </c>
      <c r="D73" s="195"/>
      <c r="E73" s="195"/>
      <c r="F73" s="195"/>
      <c r="G73" s="195"/>
      <c r="H73" s="195" t="s">
        <v>51</v>
      </c>
      <c r="I73" s="195"/>
      <c r="J73" s="195"/>
      <c r="K73" s="195"/>
      <c r="L73" s="195"/>
      <c r="M73" s="254">
        <f>基线暗噪声检验!B2</f>
        <v>0</v>
      </c>
      <c r="N73" s="254"/>
      <c r="O73" s="254"/>
    </row>
    <row r="74" ht="30" hidden="1" customHeight="1" spans="1:15">
      <c r="A74" s="229"/>
      <c r="B74" s="229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254"/>
      <c r="N74" s="254"/>
      <c r="O74" s="254"/>
    </row>
    <row r="75" ht="30" customHeight="1" spans="1:15">
      <c r="A75" s="229">
        <v>7</v>
      </c>
      <c r="B75" s="229" t="s">
        <v>66</v>
      </c>
      <c r="C75" s="195" t="s">
        <v>67</v>
      </c>
      <c r="D75" s="195"/>
      <c r="E75" s="229" t="s">
        <v>68</v>
      </c>
      <c r="F75" s="229"/>
      <c r="G75" s="229"/>
      <c r="H75" s="234" t="s">
        <v>69</v>
      </c>
      <c r="I75" s="234"/>
      <c r="J75" s="234"/>
      <c r="K75" s="234"/>
      <c r="L75" s="234"/>
      <c r="M75" s="234"/>
      <c r="N75" s="234"/>
      <c r="O75" s="234"/>
    </row>
    <row r="76" ht="20.25" customHeight="1" spans="1:15">
      <c r="A76" s="229"/>
      <c r="B76" s="229"/>
      <c r="C76" s="195"/>
      <c r="D76" s="195"/>
      <c r="E76" s="229" t="s">
        <v>70</v>
      </c>
      <c r="F76" s="229"/>
      <c r="G76" s="229"/>
      <c r="H76" s="235">
        <f>光谱带宽与仪器最小光谱带宽!D2</f>
        <v>0</v>
      </c>
      <c r="I76" s="235"/>
      <c r="J76" s="235"/>
      <c r="K76" s="235"/>
      <c r="L76" s="235"/>
      <c r="M76" s="234"/>
      <c r="N76" s="234"/>
      <c r="O76" s="234"/>
    </row>
    <row r="77" ht="20.25" customHeight="1" spans="1:15">
      <c r="A77" s="229"/>
      <c r="B77" s="229"/>
      <c r="C77" s="195"/>
      <c r="D77" s="195"/>
      <c r="E77" s="195" t="s">
        <v>71</v>
      </c>
      <c r="F77" s="195"/>
      <c r="G77" s="195"/>
      <c r="H77" s="236">
        <f>光谱带宽与仪器最小光谱带宽!E2</f>
        <v>-100</v>
      </c>
      <c r="I77" s="236"/>
      <c r="J77" s="236"/>
      <c r="K77" s="236"/>
      <c r="L77" s="236"/>
      <c r="M77" s="234"/>
      <c r="N77" s="234"/>
      <c r="O77" s="234"/>
    </row>
    <row r="78" ht="30" customHeight="1" spans="1:15">
      <c r="A78" s="237">
        <v>8</v>
      </c>
      <c r="B78" s="237" t="s">
        <v>72</v>
      </c>
      <c r="C78" s="238">
        <v>1</v>
      </c>
      <c r="D78" s="239" t="s">
        <v>73</v>
      </c>
      <c r="E78" s="237" t="s">
        <v>51</v>
      </c>
      <c r="F78" s="240"/>
      <c r="G78" s="240"/>
      <c r="H78" s="241">
        <f>噪声检验!C2</f>
        <v>0</v>
      </c>
      <c r="I78" s="255"/>
      <c r="J78" s="256">
        <v>0</v>
      </c>
      <c r="K78" s="239" t="s">
        <v>59</v>
      </c>
      <c r="L78" s="257"/>
      <c r="M78" s="239" t="s">
        <v>57</v>
      </c>
      <c r="N78" s="258">
        <f>噪声检验!C3</f>
        <v>0</v>
      </c>
      <c r="O78" s="259"/>
    </row>
    <row r="79" ht="30" hidden="1" customHeight="1" spans="1:15">
      <c r="A79" s="229"/>
      <c r="B79" s="229"/>
      <c r="C79" s="242"/>
      <c r="D79" s="195"/>
      <c r="E79" s="229"/>
      <c r="F79" s="229"/>
      <c r="G79" s="229"/>
      <c r="H79" s="243"/>
      <c r="I79" s="243"/>
      <c r="J79" s="260"/>
      <c r="K79" s="195"/>
      <c r="L79" s="195"/>
      <c r="M79" s="195"/>
      <c r="N79" s="261"/>
      <c r="O79" s="261"/>
    </row>
    <row r="80" ht="30" customHeight="1" spans="1:15">
      <c r="A80" s="229"/>
      <c r="B80" s="231" t="s">
        <v>74</v>
      </c>
      <c r="C80" s="244">
        <v>1</v>
      </c>
      <c r="D80" s="194" t="s">
        <v>73</v>
      </c>
      <c r="E80" s="231" t="s">
        <v>51</v>
      </c>
      <c r="F80" s="229"/>
      <c r="G80" s="229"/>
      <c r="H80" s="245">
        <f>噪声检验!C4</f>
        <v>0</v>
      </c>
      <c r="I80" s="243"/>
      <c r="J80" s="262">
        <v>0</v>
      </c>
      <c r="K80" s="194" t="s">
        <v>59</v>
      </c>
      <c r="L80" s="195"/>
      <c r="M80" s="194" t="s">
        <v>57</v>
      </c>
      <c r="N80" s="263">
        <f>噪声检验!C5</f>
        <v>0</v>
      </c>
      <c r="O80" s="261"/>
    </row>
    <row r="81" ht="30" hidden="1" customHeight="1" spans="1:15">
      <c r="A81" s="229"/>
      <c r="B81" s="229"/>
      <c r="C81" s="242"/>
      <c r="D81" s="195"/>
      <c r="E81" s="229"/>
      <c r="F81" s="229"/>
      <c r="G81" s="229"/>
      <c r="H81" s="243"/>
      <c r="I81" s="243"/>
      <c r="J81" s="260"/>
      <c r="K81" s="195"/>
      <c r="L81" s="195"/>
      <c r="M81" s="195"/>
      <c r="N81" s="261"/>
      <c r="O81" s="261"/>
    </row>
    <row r="82" ht="45" customHeight="1" spans="1:15">
      <c r="A82" s="229"/>
      <c r="B82" s="231" t="s">
        <v>75</v>
      </c>
      <c r="C82" s="244">
        <v>1</v>
      </c>
      <c r="D82" s="194" t="s">
        <v>76</v>
      </c>
      <c r="E82" s="231" t="s">
        <v>51</v>
      </c>
      <c r="F82" s="229"/>
      <c r="G82" s="229"/>
      <c r="H82" s="203">
        <f>波长边缘噪声!C2</f>
        <v>0</v>
      </c>
      <c r="I82" s="206"/>
      <c r="J82" s="262">
        <v>0</v>
      </c>
      <c r="K82" s="194" t="s">
        <v>77</v>
      </c>
      <c r="L82" s="195"/>
      <c r="M82" s="194" t="s">
        <v>57</v>
      </c>
      <c r="N82" s="203">
        <f>波长边缘噪声!C3</f>
        <v>0</v>
      </c>
      <c r="O82" s="206"/>
    </row>
    <row r="83" ht="45" hidden="1" customHeight="1" spans="1:15">
      <c r="A83" s="229"/>
      <c r="B83" s="229"/>
      <c r="C83" s="242"/>
      <c r="D83" s="195"/>
      <c r="E83" s="229"/>
      <c r="F83" s="229"/>
      <c r="G83" s="229"/>
      <c r="H83" s="206"/>
      <c r="I83" s="206"/>
      <c r="J83" s="260"/>
      <c r="K83" s="195"/>
      <c r="L83" s="195"/>
      <c r="M83" s="195"/>
      <c r="N83" s="206"/>
      <c r="O83" s="206"/>
    </row>
    <row r="84" ht="30" customHeight="1" spans="1:15">
      <c r="A84" s="229"/>
      <c r="B84" s="231" t="s">
        <v>78</v>
      </c>
      <c r="C84" s="244">
        <v>1</v>
      </c>
      <c r="D84" s="194" t="s">
        <v>76</v>
      </c>
      <c r="E84" s="231" t="s">
        <v>51</v>
      </c>
      <c r="F84" s="229"/>
      <c r="G84" s="229"/>
      <c r="H84" s="203">
        <f>波长边缘噪声!C4</f>
        <v>0</v>
      </c>
      <c r="I84" s="206"/>
      <c r="J84" s="262">
        <v>0</v>
      </c>
      <c r="K84" s="194" t="s">
        <v>77</v>
      </c>
      <c r="L84" s="195"/>
      <c r="M84" s="194" t="s">
        <v>57</v>
      </c>
      <c r="N84" s="203">
        <f>波长边缘噪声!C5</f>
        <v>0</v>
      </c>
      <c r="O84" s="206"/>
    </row>
    <row r="85" ht="30" hidden="1" customHeight="1" spans="1:15">
      <c r="A85" s="229"/>
      <c r="B85" s="229"/>
      <c r="C85" s="242"/>
      <c r="D85" s="195"/>
      <c r="E85" s="229"/>
      <c r="F85" s="229"/>
      <c r="G85" s="229"/>
      <c r="H85" s="206"/>
      <c r="I85" s="206"/>
      <c r="J85" s="260"/>
      <c r="K85" s="195"/>
      <c r="L85" s="195"/>
      <c r="M85" s="195"/>
      <c r="N85" s="206"/>
      <c r="O85" s="206"/>
    </row>
    <row r="86" ht="24.75" customHeight="1" spans="1:15">
      <c r="A86" s="231">
        <v>9</v>
      </c>
      <c r="B86" s="231" t="s">
        <v>79</v>
      </c>
      <c r="C86" s="231" t="s">
        <v>80</v>
      </c>
      <c r="D86" s="229"/>
      <c r="E86" s="229"/>
      <c r="F86" s="229"/>
      <c r="G86" s="229"/>
      <c r="H86" s="246" t="s">
        <v>51</v>
      </c>
      <c r="I86" s="233"/>
      <c r="J86" s="233"/>
      <c r="K86" s="233"/>
      <c r="L86" s="233"/>
      <c r="M86" s="264">
        <f>漂移检验!C2</f>
        <v>0</v>
      </c>
      <c r="N86" s="254"/>
      <c r="O86" s="254"/>
    </row>
    <row r="87" ht="24.75" hidden="1" customHeight="1" spans="1:15">
      <c r="A87" s="229"/>
      <c r="B87" s="229"/>
      <c r="C87" s="229"/>
      <c r="D87" s="229"/>
      <c r="E87" s="229"/>
      <c r="F87" s="229"/>
      <c r="G87" s="229"/>
      <c r="H87" s="233"/>
      <c r="I87" s="233"/>
      <c r="J87" s="233"/>
      <c r="K87" s="233"/>
      <c r="L87" s="233"/>
      <c r="M87" s="254"/>
      <c r="N87" s="254"/>
      <c r="O87" s="254"/>
    </row>
    <row r="88" ht="21.75" customHeight="1" spans="1:15">
      <c r="A88" s="231">
        <v>10</v>
      </c>
      <c r="B88" s="231" t="s">
        <v>81</v>
      </c>
      <c r="C88" s="231" t="s">
        <v>82</v>
      </c>
      <c r="D88" s="194" t="s">
        <v>53</v>
      </c>
      <c r="E88" s="195"/>
      <c r="F88" s="231" t="s">
        <v>83</v>
      </c>
      <c r="G88" s="229"/>
      <c r="H88" s="229"/>
      <c r="I88" s="229"/>
      <c r="J88" s="229"/>
      <c r="K88" s="229"/>
      <c r="L88" s="194" t="s">
        <v>84</v>
      </c>
      <c r="M88" s="194" t="s">
        <v>85</v>
      </c>
      <c r="N88" s="223" t="s">
        <v>86</v>
      </c>
      <c r="O88" s="224"/>
    </row>
    <row r="89" ht="21.75" customHeight="1" spans="1:15">
      <c r="A89" s="229"/>
      <c r="B89" s="229"/>
      <c r="C89" s="229"/>
      <c r="D89" s="195"/>
      <c r="E89" s="195"/>
      <c r="F89" s="229"/>
      <c r="G89" s="229"/>
      <c r="H89" s="229"/>
      <c r="I89" s="229"/>
      <c r="J89" s="229"/>
      <c r="K89" s="229"/>
      <c r="L89" s="195"/>
      <c r="M89" s="195"/>
      <c r="N89" s="224"/>
      <c r="O89" s="224"/>
    </row>
    <row r="90" ht="21.75" customHeight="1" spans="1:15">
      <c r="A90" s="229"/>
      <c r="B90" s="229"/>
      <c r="C90" s="229"/>
      <c r="D90" s="194" t="s">
        <v>87</v>
      </c>
      <c r="E90" s="195"/>
      <c r="F90" s="231" t="s">
        <v>88</v>
      </c>
      <c r="G90" s="229"/>
      <c r="H90" s="229"/>
      <c r="I90" s="229"/>
      <c r="J90" s="229"/>
      <c r="K90" s="229"/>
      <c r="L90" s="231"/>
      <c r="M90" s="231"/>
      <c r="N90" s="231"/>
      <c r="O90" s="229"/>
    </row>
    <row r="91" ht="21.75" hidden="1" customHeight="1" spans="1:15">
      <c r="A91" s="229"/>
      <c r="B91" s="229"/>
      <c r="C91" s="229"/>
      <c r="D91" s="195"/>
      <c r="E91" s="195"/>
      <c r="F91" s="229"/>
      <c r="G91" s="229"/>
      <c r="H91" s="229"/>
      <c r="I91" s="229"/>
      <c r="J91" s="229"/>
      <c r="K91" s="229"/>
      <c r="L91" s="229"/>
      <c r="M91" s="229"/>
      <c r="N91" s="229"/>
      <c r="O91" s="229"/>
    </row>
    <row r="92" ht="21.75" customHeight="1" spans="1:15">
      <c r="A92" s="229"/>
      <c r="B92" s="229"/>
      <c r="C92" s="229"/>
      <c r="D92" s="195"/>
      <c r="E92" s="195"/>
      <c r="F92" s="231" t="s">
        <v>89</v>
      </c>
      <c r="G92" s="229"/>
      <c r="H92" s="229"/>
      <c r="I92" s="229"/>
      <c r="J92" s="229"/>
      <c r="K92" s="229"/>
      <c r="L92" s="201"/>
      <c r="M92" s="201"/>
      <c r="N92" s="201"/>
      <c r="O92" s="219"/>
    </row>
    <row r="93" ht="21.75" hidden="1" customHeight="1" spans="1:15">
      <c r="A93" s="229"/>
      <c r="B93" s="229"/>
      <c r="C93" s="229"/>
      <c r="D93" s="195"/>
      <c r="E93" s="195"/>
      <c r="F93" s="229"/>
      <c r="G93" s="229"/>
      <c r="H93" s="229"/>
      <c r="I93" s="229"/>
      <c r="J93" s="229"/>
      <c r="K93" s="229"/>
      <c r="L93" s="219"/>
      <c r="M93" s="219"/>
      <c r="N93" s="219"/>
      <c r="O93" s="219"/>
    </row>
    <row r="94" ht="21.75" customHeight="1" spans="1:15">
      <c r="A94" s="229"/>
      <c r="B94" s="229"/>
      <c r="C94" s="229"/>
      <c r="D94" s="195"/>
      <c r="E94" s="195"/>
      <c r="F94" s="231" t="s">
        <v>90</v>
      </c>
      <c r="G94" s="229"/>
      <c r="H94" s="229"/>
      <c r="I94" s="229"/>
      <c r="J94" s="229"/>
      <c r="K94" s="229"/>
      <c r="L94" s="231"/>
      <c r="M94" s="231"/>
      <c r="N94" s="231"/>
      <c r="O94" s="229"/>
    </row>
    <row r="95" ht="21.75" hidden="1" customHeight="1" spans="1:15">
      <c r="A95" s="229"/>
      <c r="B95" s="229"/>
      <c r="C95" s="229"/>
      <c r="D95" s="195"/>
      <c r="E95" s="195"/>
      <c r="F95" s="229"/>
      <c r="G95" s="229"/>
      <c r="H95" s="229"/>
      <c r="I95" s="229"/>
      <c r="J95" s="229"/>
      <c r="K95" s="229"/>
      <c r="L95" s="229"/>
      <c r="M95" s="229"/>
      <c r="N95" s="229"/>
      <c r="O95" s="229"/>
    </row>
    <row r="96" ht="21.75" customHeight="1" spans="1:15">
      <c r="A96" s="229"/>
      <c r="B96" s="229"/>
      <c r="C96" s="229"/>
      <c r="D96" s="195"/>
      <c r="E96" s="195"/>
      <c r="F96" s="231" t="s">
        <v>91</v>
      </c>
      <c r="G96" s="229"/>
      <c r="H96" s="229"/>
      <c r="I96" s="229"/>
      <c r="J96" s="229"/>
      <c r="K96" s="229"/>
      <c r="L96" s="231"/>
      <c r="M96" s="231"/>
      <c r="N96" s="231"/>
      <c r="O96" s="229"/>
    </row>
    <row r="97" ht="21.75" hidden="1" customHeight="1" spans="1:15">
      <c r="A97" s="229"/>
      <c r="B97" s="229"/>
      <c r="C97" s="229"/>
      <c r="D97" s="195"/>
      <c r="E97" s="195"/>
      <c r="F97" s="229"/>
      <c r="G97" s="229"/>
      <c r="H97" s="229"/>
      <c r="I97" s="229"/>
      <c r="J97" s="229"/>
      <c r="K97" s="229"/>
      <c r="L97" s="229"/>
      <c r="M97" s="229"/>
      <c r="N97" s="229"/>
      <c r="O97" s="229"/>
    </row>
    <row r="98" ht="30" customHeight="1" spans="1:15">
      <c r="A98" s="231">
        <v>11</v>
      </c>
      <c r="B98" s="231" t="s">
        <v>92</v>
      </c>
      <c r="C98" s="231" t="s">
        <v>93</v>
      </c>
      <c r="D98" s="229"/>
      <c r="E98" s="229"/>
      <c r="F98" s="231" t="s">
        <v>94</v>
      </c>
      <c r="G98" s="229"/>
      <c r="H98" s="229"/>
      <c r="I98" s="229"/>
      <c r="J98" s="229"/>
      <c r="K98" s="229"/>
      <c r="L98" s="231" t="s">
        <v>95</v>
      </c>
      <c r="M98" s="229"/>
      <c r="N98" s="229"/>
      <c r="O98" s="229"/>
    </row>
    <row r="99" ht="30" hidden="1" customHeight="1" spans="1:15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</row>
    <row r="100" ht="30" customHeight="1" spans="1:15">
      <c r="A100" s="231">
        <v>12</v>
      </c>
      <c r="B100" s="231" t="s">
        <v>96</v>
      </c>
      <c r="C100" s="231" t="s">
        <v>97</v>
      </c>
      <c r="D100" s="229"/>
      <c r="E100" s="229"/>
      <c r="F100" s="231" t="s">
        <v>98</v>
      </c>
      <c r="G100" s="229"/>
      <c r="H100" s="229"/>
      <c r="I100" s="229"/>
      <c r="J100" s="229"/>
      <c r="K100" s="229"/>
      <c r="L100" s="231" t="s">
        <v>99</v>
      </c>
      <c r="M100" s="229"/>
      <c r="N100" s="231"/>
      <c r="O100" s="229"/>
    </row>
    <row r="101" ht="30" customHeight="1" spans="1:15">
      <c r="A101" s="229"/>
      <c r="B101" s="229"/>
      <c r="C101" s="231" t="s">
        <v>100</v>
      </c>
      <c r="D101" s="229"/>
      <c r="E101" s="229"/>
      <c r="F101" s="229"/>
      <c r="G101" s="229"/>
      <c r="H101" s="229"/>
      <c r="I101" s="229"/>
      <c r="J101" s="229"/>
      <c r="K101" s="229"/>
      <c r="L101" s="231" t="s">
        <v>99</v>
      </c>
      <c r="M101" s="229"/>
      <c r="N101" s="231"/>
      <c r="O101" s="229"/>
    </row>
    <row r="102" ht="30" customHeight="1" spans="1:15">
      <c r="A102" s="231">
        <v>13</v>
      </c>
      <c r="B102" s="231" t="s">
        <v>101</v>
      </c>
      <c r="C102" s="231" t="s">
        <v>102</v>
      </c>
      <c r="D102" s="229"/>
      <c r="E102" s="229"/>
      <c r="F102" s="231" t="s">
        <v>103</v>
      </c>
      <c r="G102" s="229"/>
      <c r="H102" s="229"/>
      <c r="I102" s="229"/>
      <c r="J102" s="229"/>
      <c r="K102" s="229"/>
      <c r="L102" s="231" t="s">
        <v>104</v>
      </c>
      <c r="M102" s="229"/>
      <c r="N102" s="231"/>
      <c r="O102" s="229"/>
    </row>
    <row r="103" ht="30" hidden="1" customHeight="1" spans="1:15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</row>
    <row r="104" ht="30" customHeight="1" spans="1:15">
      <c r="A104" s="231">
        <v>14</v>
      </c>
      <c r="B104" s="231" t="s">
        <v>105</v>
      </c>
      <c r="C104" s="231" t="s">
        <v>106</v>
      </c>
      <c r="D104" s="229"/>
      <c r="E104" s="229"/>
      <c r="F104" s="231" t="s">
        <v>107</v>
      </c>
      <c r="G104" s="229"/>
      <c r="H104" s="229"/>
      <c r="I104" s="229"/>
      <c r="J104" s="229"/>
      <c r="K104" s="229"/>
      <c r="L104" s="231" t="s">
        <v>108</v>
      </c>
      <c r="M104" s="229"/>
      <c r="N104" s="231"/>
      <c r="O104" s="229"/>
    </row>
    <row r="105" ht="30" hidden="1" customHeight="1" spans="1:15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</row>
    <row r="106" ht="30" customHeight="1" spans="1:15">
      <c r="A106" s="229">
        <v>15</v>
      </c>
      <c r="B106" s="247" t="s">
        <v>109</v>
      </c>
      <c r="C106" s="248"/>
      <c r="D106" s="247" t="s">
        <v>110</v>
      </c>
      <c r="E106" s="249"/>
      <c r="F106" s="248"/>
      <c r="G106" s="247" t="s">
        <v>111</v>
      </c>
      <c r="H106" s="249"/>
      <c r="I106" s="248"/>
      <c r="J106" s="229" t="str">
        <f>IFERROR(MID(样品池准确度与重复性校验!A1,SEARCH("样品池 1 (%) =",样品池准确度与重复性校验!A1)+LEN("样品池 1 (%) ="),SEARCH(CHAR(10),样品池准确度与重复性校验!A1,SEARCH("样品池 1 (%) =",样品池准确度与重复性校验!A1))-SEARCH("样品池 1 (%) =",样品池准确度与重复性校验!A1)-LEN("样品池 1 (%) =")),"")</f>
        <v/>
      </c>
      <c r="K106" s="229"/>
      <c r="L106" s="229" t="s">
        <v>43</v>
      </c>
      <c r="M106" s="229" t="str">
        <f>IFERROR(MID(样品池准确度与重复性校验!A1,SEARCH("最大值与最小值差值为：",样品池准确度与重复性校验!A1)+LEN("最大值与最小值差值为："),FIND(CHAR(10),样品池准确度与重复性校验!A1,SEARCH("最大值与最小值差值为：",样品池准确度与重复性校验!A1))-SEARCH("最大值与最小值差值为：",样品池准确度与重复性校验!A1)-LEN("最大值与最小值差值为：")),"")</f>
        <v/>
      </c>
      <c r="N106" s="229"/>
      <c r="O106" s="229"/>
    </row>
    <row r="107" ht="77.25" customHeight="1" spans="1:15">
      <c r="A107" s="237">
        <v>16</v>
      </c>
      <c r="B107" s="239" t="s">
        <v>112</v>
      </c>
      <c r="C107" s="237" t="s">
        <v>113</v>
      </c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65" t="s">
        <v>114</v>
      </c>
      <c r="O107" s="266"/>
    </row>
    <row r="108" ht="30" customHeight="1" spans="1:15">
      <c r="A108" s="229"/>
      <c r="B108" s="195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67"/>
      <c r="O108" s="267"/>
    </row>
    <row r="109" ht="27.75" customHeight="1" spans="1:15">
      <c r="A109" s="231" t="s">
        <v>115</v>
      </c>
      <c r="B109" s="229"/>
      <c r="C109" s="231" t="s">
        <v>116</v>
      </c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</row>
    <row r="110" ht="14.25" customHeight="1" spans="1:15">
      <c r="A110" s="194" t="s">
        <v>117</v>
      </c>
      <c r="B110" s="195"/>
      <c r="C110" s="250" t="s">
        <v>118</v>
      </c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</row>
    <row r="111" ht="14.25" customHeight="1" spans="1:15">
      <c r="A111" s="195"/>
      <c r="B111" s="195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</row>
    <row r="112" ht="27" customHeight="1" spans="1:15">
      <c r="A112" s="195"/>
      <c r="B112" s="195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</row>
  </sheetData>
  <mergeCells count="399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B7:D7"/>
    <mergeCell ref="E7:O7"/>
    <mergeCell ref="E8:G8"/>
    <mergeCell ref="H8:O8"/>
    <mergeCell ref="E9:G9"/>
    <mergeCell ref="H9:J9"/>
    <mergeCell ref="K9:L9"/>
    <mergeCell ref="M9:O9"/>
    <mergeCell ref="E10:G10"/>
    <mergeCell ref="H10:J10"/>
    <mergeCell ref="K10:L10"/>
    <mergeCell ref="M10:O10"/>
    <mergeCell ref="H11:J11"/>
    <mergeCell ref="K11:L11"/>
    <mergeCell ref="M11:O11"/>
    <mergeCell ref="H12:J12"/>
    <mergeCell ref="K12:L12"/>
    <mergeCell ref="M12:O12"/>
    <mergeCell ref="H13:J13"/>
    <mergeCell ref="K13:L13"/>
    <mergeCell ref="M13:O13"/>
    <mergeCell ref="E14:G14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O17"/>
    <mergeCell ref="E34:F34"/>
    <mergeCell ref="G34:H34"/>
    <mergeCell ref="I34:K34"/>
    <mergeCell ref="L34:M34"/>
    <mergeCell ref="N34:O34"/>
    <mergeCell ref="G35:H35"/>
    <mergeCell ref="I35:K35"/>
    <mergeCell ref="L35:M35"/>
    <mergeCell ref="N35:O35"/>
    <mergeCell ref="I36:K36"/>
    <mergeCell ref="L36:M36"/>
    <mergeCell ref="N36:O36"/>
    <mergeCell ref="I37:K37"/>
    <mergeCell ref="L37:M37"/>
    <mergeCell ref="N37:O37"/>
    <mergeCell ref="I38:K38"/>
    <mergeCell ref="L38:M38"/>
    <mergeCell ref="N38:O38"/>
    <mergeCell ref="G39:H39"/>
    <mergeCell ref="I39:K39"/>
    <mergeCell ref="L39:M39"/>
    <mergeCell ref="N39:O39"/>
    <mergeCell ref="G40:H40"/>
    <mergeCell ref="I40:K40"/>
    <mergeCell ref="L40:M40"/>
    <mergeCell ref="N40:O40"/>
    <mergeCell ref="G41:H41"/>
    <mergeCell ref="I41:K41"/>
    <mergeCell ref="L41:M41"/>
    <mergeCell ref="N41:O41"/>
    <mergeCell ref="G42:H42"/>
    <mergeCell ref="I42:K42"/>
    <mergeCell ref="L42:M42"/>
    <mergeCell ref="N42:O42"/>
    <mergeCell ref="I43:K43"/>
    <mergeCell ref="L43:M43"/>
    <mergeCell ref="N43:O43"/>
    <mergeCell ref="I44:K44"/>
    <mergeCell ref="L44:M44"/>
    <mergeCell ref="N44:O44"/>
    <mergeCell ref="I45:K45"/>
    <mergeCell ref="L45:M45"/>
    <mergeCell ref="N45:O45"/>
    <mergeCell ref="G46:H46"/>
    <mergeCell ref="I46:K46"/>
    <mergeCell ref="L46:M46"/>
    <mergeCell ref="N46:O46"/>
    <mergeCell ref="G47:H47"/>
    <mergeCell ref="I47:K47"/>
    <mergeCell ref="L47:M47"/>
    <mergeCell ref="N47:O47"/>
    <mergeCell ref="G48:H48"/>
    <mergeCell ref="I48:K48"/>
    <mergeCell ref="L48:M48"/>
    <mergeCell ref="N48:O48"/>
    <mergeCell ref="G49:H49"/>
    <mergeCell ref="I49:K49"/>
    <mergeCell ref="L49:M49"/>
    <mergeCell ref="N49:O49"/>
    <mergeCell ref="I50:K50"/>
    <mergeCell ref="L50:M50"/>
    <mergeCell ref="N50:O50"/>
    <mergeCell ref="I51:K51"/>
    <mergeCell ref="L51:M51"/>
    <mergeCell ref="N51:O51"/>
    <mergeCell ref="I52:K52"/>
    <mergeCell ref="L52:M52"/>
    <mergeCell ref="N52:O52"/>
    <mergeCell ref="G53:H53"/>
    <mergeCell ref="I53:K53"/>
    <mergeCell ref="L53:M53"/>
    <mergeCell ref="N53:O53"/>
    <mergeCell ref="G54:H54"/>
    <mergeCell ref="I54:K54"/>
    <mergeCell ref="L54:M54"/>
    <mergeCell ref="N54:O54"/>
    <mergeCell ref="G55:H55"/>
    <mergeCell ref="I55:K55"/>
    <mergeCell ref="L55:M55"/>
    <mergeCell ref="N55:O55"/>
    <mergeCell ref="E56:G56"/>
    <mergeCell ref="H56:O56"/>
    <mergeCell ref="H57:I57"/>
    <mergeCell ref="J57:K57"/>
    <mergeCell ref="L57:M57"/>
    <mergeCell ref="N57:O57"/>
    <mergeCell ref="H58:I58"/>
    <mergeCell ref="J58:K58"/>
    <mergeCell ref="L58:M58"/>
    <mergeCell ref="N58:O58"/>
    <mergeCell ref="H59:I59"/>
    <mergeCell ref="J59:K59"/>
    <mergeCell ref="L59:M59"/>
    <mergeCell ref="N59:O59"/>
    <mergeCell ref="H60:I60"/>
    <mergeCell ref="J60:K60"/>
    <mergeCell ref="L60:M60"/>
    <mergeCell ref="N60:O60"/>
    <mergeCell ref="H61:I61"/>
    <mergeCell ref="J61:K61"/>
    <mergeCell ref="L61:M61"/>
    <mergeCell ref="N61:O61"/>
    <mergeCell ref="E62:G62"/>
    <mergeCell ref="H62:I62"/>
    <mergeCell ref="J62:K62"/>
    <mergeCell ref="L62:M62"/>
    <mergeCell ref="N62:O62"/>
    <mergeCell ref="E63:G63"/>
    <mergeCell ref="H63:I63"/>
    <mergeCell ref="J63:K63"/>
    <mergeCell ref="L63:M63"/>
    <mergeCell ref="N63:O63"/>
    <mergeCell ref="E64:G64"/>
    <mergeCell ref="H64:I64"/>
    <mergeCell ref="J64:K64"/>
    <mergeCell ref="L64:M64"/>
    <mergeCell ref="N64:O64"/>
    <mergeCell ref="E75:G75"/>
    <mergeCell ref="H75:L75"/>
    <mergeCell ref="E76:G76"/>
    <mergeCell ref="H76:L76"/>
    <mergeCell ref="E77:G77"/>
    <mergeCell ref="H77:L77"/>
    <mergeCell ref="C100:E100"/>
    <mergeCell ref="L100:M100"/>
    <mergeCell ref="N100:O100"/>
    <mergeCell ref="C101:E101"/>
    <mergeCell ref="L101:M101"/>
    <mergeCell ref="N101:O101"/>
    <mergeCell ref="B106:C106"/>
    <mergeCell ref="D106:F106"/>
    <mergeCell ref="G106:I106"/>
    <mergeCell ref="J106:K106"/>
    <mergeCell ref="M106:O106"/>
    <mergeCell ref="A109:B109"/>
    <mergeCell ref="C109:O109"/>
    <mergeCell ref="A8:A31"/>
    <mergeCell ref="A32:A48"/>
    <mergeCell ref="A49:A55"/>
    <mergeCell ref="A56:A64"/>
    <mergeCell ref="A65:A70"/>
    <mergeCell ref="A71:A72"/>
    <mergeCell ref="A73:A74"/>
    <mergeCell ref="A75:A77"/>
    <mergeCell ref="A78:A85"/>
    <mergeCell ref="A86:A87"/>
    <mergeCell ref="A88:A97"/>
    <mergeCell ref="A98:A99"/>
    <mergeCell ref="A100:A101"/>
    <mergeCell ref="A102:A103"/>
    <mergeCell ref="A104:A105"/>
    <mergeCell ref="A107:A108"/>
    <mergeCell ref="B8:B16"/>
    <mergeCell ref="B17:B31"/>
    <mergeCell ref="B32:B48"/>
    <mergeCell ref="B49:B55"/>
    <mergeCell ref="B56:B64"/>
    <mergeCell ref="B65:B70"/>
    <mergeCell ref="B71:B72"/>
    <mergeCell ref="B73:B74"/>
    <mergeCell ref="B75:B77"/>
    <mergeCell ref="B78:B79"/>
    <mergeCell ref="B80:B81"/>
    <mergeCell ref="B82:B83"/>
    <mergeCell ref="B84:B85"/>
    <mergeCell ref="B86:B87"/>
    <mergeCell ref="B88:B97"/>
    <mergeCell ref="B98:B99"/>
    <mergeCell ref="B100:B101"/>
    <mergeCell ref="B102:B103"/>
    <mergeCell ref="B104:B105"/>
    <mergeCell ref="B107:B108"/>
    <mergeCell ref="C67:C68"/>
    <mergeCell ref="C69:C70"/>
    <mergeCell ref="C78:C79"/>
    <mergeCell ref="C80:C81"/>
    <mergeCell ref="C82:C83"/>
    <mergeCell ref="C84:C85"/>
    <mergeCell ref="C88:C97"/>
    <mergeCell ref="D67:D68"/>
    <mergeCell ref="D69:D70"/>
    <mergeCell ref="D78:D79"/>
    <mergeCell ref="D80:D81"/>
    <mergeCell ref="D82:D83"/>
    <mergeCell ref="D84:D85"/>
    <mergeCell ref="J18:J19"/>
    <mergeCell ref="J20:J21"/>
    <mergeCell ref="J22:J23"/>
    <mergeCell ref="J24:J25"/>
    <mergeCell ref="J26:J27"/>
    <mergeCell ref="J28:J29"/>
    <mergeCell ref="J30:J31"/>
    <mergeCell ref="J65:J66"/>
    <mergeCell ref="J67:J68"/>
    <mergeCell ref="J69:J70"/>
    <mergeCell ref="J78:J79"/>
    <mergeCell ref="J80:J81"/>
    <mergeCell ref="J82:J83"/>
    <mergeCell ref="J84:J85"/>
    <mergeCell ref="K18:K19"/>
    <mergeCell ref="K20:K21"/>
    <mergeCell ref="K22:K23"/>
    <mergeCell ref="K24:K25"/>
    <mergeCell ref="K26:K27"/>
    <mergeCell ref="K28:K29"/>
    <mergeCell ref="K30:K31"/>
    <mergeCell ref="K65:K66"/>
    <mergeCell ref="K67:K68"/>
    <mergeCell ref="K69:K70"/>
    <mergeCell ref="L18:L19"/>
    <mergeCell ref="L20:L21"/>
    <mergeCell ref="L22:L23"/>
    <mergeCell ref="L24:L25"/>
    <mergeCell ref="L26:L27"/>
    <mergeCell ref="L28:L29"/>
    <mergeCell ref="L30:L31"/>
    <mergeCell ref="L65:L66"/>
    <mergeCell ref="L67:L68"/>
    <mergeCell ref="L69:L70"/>
    <mergeCell ref="L88:L89"/>
    <mergeCell ref="L90:L91"/>
    <mergeCell ref="L92:L93"/>
    <mergeCell ref="L94:L95"/>
    <mergeCell ref="L96:L97"/>
    <mergeCell ref="M18:M19"/>
    <mergeCell ref="M20:M21"/>
    <mergeCell ref="M22:M23"/>
    <mergeCell ref="M24:M25"/>
    <mergeCell ref="M26:M27"/>
    <mergeCell ref="M28:M29"/>
    <mergeCell ref="M30:M31"/>
    <mergeCell ref="M78:M79"/>
    <mergeCell ref="M80:M81"/>
    <mergeCell ref="M82:M83"/>
    <mergeCell ref="M84:M85"/>
    <mergeCell ref="M88:M89"/>
    <mergeCell ref="M90:M91"/>
    <mergeCell ref="M92:M93"/>
    <mergeCell ref="M94:M95"/>
    <mergeCell ref="M96:M97"/>
    <mergeCell ref="M67:O68"/>
    <mergeCell ref="M69:O70"/>
    <mergeCell ref="M65:O66"/>
    <mergeCell ref="H32:O33"/>
    <mergeCell ref="H30:I31"/>
    <mergeCell ref="N30:O31"/>
    <mergeCell ref="G36:H38"/>
    <mergeCell ref="H28:I29"/>
    <mergeCell ref="N28:O29"/>
    <mergeCell ref="C2:K3"/>
    <mergeCell ref="H20:I21"/>
    <mergeCell ref="N20:O21"/>
    <mergeCell ref="H22:I23"/>
    <mergeCell ref="N22:O23"/>
    <mergeCell ref="H24:I25"/>
    <mergeCell ref="N24:O25"/>
    <mergeCell ref="E11:G13"/>
    <mergeCell ref="E28:G29"/>
    <mergeCell ref="E35:F41"/>
    <mergeCell ref="E32:G33"/>
    <mergeCell ref="E30:G31"/>
    <mergeCell ref="H26:I27"/>
    <mergeCell ref="N26:O27"/>
    <mergeCell ref="H18:I19"/>
    <mergeCell ref="N18:O19"/>
    <mergeCell ref="E18:G19"/>
    <mergeCell ref="E26:G27"/>
    <mergeCell ref="A1:B3"/>
    <mergeCell ref="C8:D16"/>
    <mergeCell ref="C17:D31"/>
    <mergeCell ref="E20:G25"/>
    <mergeCell ref="N107:O108"/>
    <mergeCell ref="C107:M108"/>
    <mergeCell ref="C110:O112"/>
    <mergeCell ref="L102:M103"/>
    <mergeCell ref="N102:O103"/>
    <mergeCell ref="C102:E103"/>
    <mergeCell ref="F102:K103"/>
    <mergeCell ref="L104:M105"/>
    <mergeCell ref="N104:O105"/>
    <mergeCell ref="F104:K105"/>
    <mergeCell ref="C104:E105"/>
    <mergeCell ref="C56:D64"/>
    <mergeCell ref="C32:D48"/>
    <mergeCell ref="F100:K101"/>
    <mergeCell ref="C49:D55"/>
    <mergeCell ref="E49:F55"/>
    <mergeCell ref="N94:O95"/>
    <mergeCell ref="N92:O93"/>
    <mergeCell ref="N90:O91"/>
    <mergeCell ref="E42:F48"/>
    <mergeCell ref="G43:H45"/>
    <mergeCell ref="N96:O97"/>
    <mergeCell ref="L98:O99"/>
    <mergeCell ref="F96:K97"/>
    <mergeCell ref="C98:E99"/>
    <mergeCell ref="D90:E97"/>
    <mergeCell ref="D88:E89"/>
    <mergeCell ref="N88:O89"/>
    <mergeCell ref="H84:I85"/>
    <mergeCell ref="N84:O85"/>
    <mergeCell ref="M86:O87"/>
    <mergeCell ref="E80:G81"/>
    <mergeCell ref="E82:G83"/>
    <mergeCell ref="C73:G74"/>
    <mergeCell ref="H73:L74"/>
    <mergeCell ref="C75:D77"/>
    <mergeCell ref="C71:G72"/>
    <mergeCell ref="H71:L72"/>
    <mergeCell ref="H82:I83"/>
    <mergeCell ref="N82:O83"/>
    <mergeCell ref="F98:K99"/>
    <mergeCell ref="A110:B112"/>
    <mergeCell ref="E78:G79"/>
    <mergeCell ref="K84:L85"/>
    <mergeCell ref="K82:L83"/>
    <mergeCell ref="C86:G87"/>
    <mergeCell ref="H86:L87"/>
    <mergeCell ref="E84:G85"/>
    <mergeCell ref="C65:D66"/>
    <mergeCell ref="E65:G66"/>
    <mergeCell ref="F88:K89"/>
    <mergeCell ref="F90:K91"/>
    <mergeCell ref="F92:K93"/>
    <mergeCell ref="F94:K95"/>
    <mergeCell ref="M71:O72"/>
    <mergeCell ref="M73:O74"/>
    <mergeCell ref="M75:O77"/>
    <mergeCell ref="H80:I81"/>
    <mergeCell ref="N80:O81"/>
    <mergeCell ref="H78:I79"/>
    <mergeCell ref="N78:O79"/>
    <mergeCell ref="K80:L81"/>
    <mergeCell ref="K78:L79"/>
    <mergeCell ref="H65:I66"/>
    <mergeCell ref="G50:H52"/>
    <mergeCell ref="E59:G61"/>
    <mergeCell ref="E57:G58"/>
    <mergeCell ref="H67:I70"/>
    <mergeCell ref="E67:G68"/>
    <mergeCell ref="E69:G70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J6" sqref="J6"/>
    </sheetView>
  </sheetViews>
  <sheetFormatPr defaultColWidth="8.88333333333333" defaultRowHeight="13.5"/>
  <cols>
    <col min="1" max="1" width="18.3333333333333" style="181" customWidth="1"/>
    <col min="2" max="2" width="19.3333333333333" style="181" customWidth="1"/>
    <col min="3" max="3" width="21.4416666666667" style="181" customWidth="1"/>
    <col min="4" max="4" width="7.88333333333333" style="181" customWidth="1"/>
    <col min="5" max="7" width="14.1083333333333" style="181" customWidth="1"/>
    <col min="8" max="12" width="11" style="181" customWidth="1"/>
    <col min="13" max="13" width="16.3333333333333" style="181" customWidth="1"/>
    <col min="14" max="14" width="11" style="181" customWidth="1"/>
    <col min="15" max="15" width="20.1083333333333" style="181" customWidth="1"/>
    <col min="16" max="16" width="16.3333333333333" style="135" customWidth="1"/>
    <col min="17" max="16384" width="8.88333333333333" style="181"/>
  </cols>
  <sheetData>
    <row r="1" s="114" customFormat="1" ht="32.25" customHeight="1" spans="1:18">
      <c r="A1" s="125" t="s">
        <v>119</v>
      </c>
      <c r="B1" s="125" t="s">
        <v>120</v>
      </c>
      <c r="C1" s="125" t="s">
        <v>121</v>
      </c>
      <c r="D1" s="125"/>
      <c r="E1" s="182" t="s">
        <v>122</v>
      </c>
      <c r="F1" s="182" t="s">
        <v>123</v>
      </c>
      <c r="G1" s="182" t="s">
        <v>123</v>
      </c>
      <c r="H1" s="182" t="s">
        <v>124</v>
      </c>
      <c r="I1" s="182" t="s">
        <v>125</v>
      </c>
      <c r="J1" s="182" t="s">
        <v>125</v>
      </c>
      <c r="K1" s="182" t="s">
        <v>126</v>
      </c>
      <c r="L1" s="182" t="s">
        <v>126</v>
      </c>
      <c r="M1" s="182" t="s">
        <v>127</v>
      </c>
      <c r="N1" s="182" t="s">
        <v>128</v>
      </c>
      <c r="O1" s="182" t="s">
        <v>129</v>
      </c>
      <c r="P1" s="185" t="s">
        <v>130</v>
      </c>
      <c r="Q1" s="182" t="s">
        <v>131</v>
      </c>
      <c r="R1" s="182" t="s">
        <v>132</v>
      </c>
    </row>
    <row r="2" spans="1:18">
      <c r="A2" s="100" t="s">
        <v>24</v>
      </c>
      <c r="B2" s="100">
        <v>656.1</v>
      </c>
      <c r="C2" s="100">
        <v>656.1</v>
      </c>
      <c r="D2" s="100"/>
      <c r="E2" s="100" t="s">
        <v>133</v>
      </c>
      <c r="F2" s="102" t="s">
        <v>134</v>
      </c>
      <c r="G2" s="102">
        <v>0</v>
      </c>
      <c r="H2" s="100"/>
      <c r="I2" s="100" t="s">
        <v>135</v>
      </c>
      <c r="J2" s="100">
        <v>0</v>
      </c>
      <c r="K2" s="102" t="s">
        <v>136</v>
      </c>
      <c r="L2" s="100">
        <v>0</v>
      </c>
      <c r="M2" s="100"/>
      <c r="N2" s="100">
        <v>1</v>
      </c>
      <c r="P2" s="186">
        <v>0.2</v>
      </c>
      <c r="Q2" s="186"/>
      <c r="R2" s="100"/>
    </row>
    <row r="3" spans="1:18">
      <c r="A3" s="100" t="s">
        <v>137</v>
      </c>
      <c r="B3" s="100">
        <v>253.7</v>
      </c>
      <c r="C3" s="100">
        <v>253.7</v>
      </c>
      <c r="D3" s="100"/>
      <c r="E3" s="100" t="s">
        <v>138</v>
      </c>
      <c r="F3" s="102" t="s">
        <v>24</v>
      </c>
      <c r="G3" s="102">
        <v>1</v>
      </c>
      <c r="H3" s="100" t="s">
        <v>139</v>
      </c>
      <c r="I3" s="100" t="s">
        <v>140</v>
      </c>
      <c r="J3" s="100">
        <v>1</v>
      </c>
      <c r="K3" s="102" t="s">
        <v>141</v>
      </c>
      <c r="L3" s="100">
        <v>1</v>
      </c>
      <c r="M3" s="181">
        <v>0.02</v>
      </c>
      <c r="N3" s="100">
        <v>2</v>
      </c>
      <c r="O3" s="100">
        <v>1</v>
      </c>
      <c r="P3" s="186">
        <v>0.5</v>
      </c>
      <c r="Q3" s="100">
        <v>1</v>
      </c>
      <c r="R3" s="100">
        <v>0.5</v>
      </c>
    </row>
    <row r="4" spans="1:18">
      <c r="A4" s="100" t="s">
        <v>142</v>
      </c>
      <c r="B4" s="100" t="s">
        <v>143</v>
      </c>
      <c r="C4" s="100" t="s">
        <v>143</v>
      </c>
      <c r="D4" s="100"/>
      <c r="E4" s="100"/>
      <c r="F4" s="102" t="s">
        <v>144</v>
      </c>
      <c r="G4" s="102">
        <v>2</v>
      </c>
      <c r="H4" s="100"/>
      <c r="I4" s="100" t="s">
        <v>145</v>
      </c>
      <c r="J4" s="100">
        <v>2</v>
      </c>
      <c r="K4" s="102" t="s">
        <v>146</v>
      </c>
      <c r="L4" s="100">
        <v>2</v>
      </c>
      <c r="M4" s="100">
        <v>0.1</v>
      </c>
      <c r="N4" s="100">
        <v>3</v>
      </c>
      <c r="O4" s="100">
        <v>2</v>
      </c>
      <c r="P4" s="137" t="s">
        <v>147</v>
      </c>
      <c r="Q4" s="100">
        <v>2</v>
      </c>
      <c r="R4" s="100">
        <v>1</v>
      </c>
    </row>
    <row r="5" spans="1:18">
      <c r="A5" s="100" t="s">
        <v>23</v>
      </c>
      <c r="B5" s="100" t="s">
        <v>148</v>
      </c>
      <c r="C5" s="100" t="s">
        <v>148</v>
      </c>
      <c r="D5" s="100"/>
      <c r="E5" s="100"/>
      <c r="F5" s="100"/>
      <c r="G5" s="100"/>
      <c r="H5" s="100"/>
      <c r="I5" s="100" t="s">
        <v>149</v>
      </c>
      <c r="J5" s="100">
        <v>3</v>
      </c>
      <c r="K5" s="102" t="s">
        <v>150</v>
      </c>
      <c r="L5" s="100">
        <v>3</v>
      </c>
      <c r="M5" s="100">
        <v>0.2</v>
      </c>
      <c r="N5" s="100">
        <v>4</v>
      </c>
      <c r="O5" s="100"/>
      <c r="P5" s="137" t="s">
        <v>151</v>
      </c>
      <c r="Q5" s="100">
        <v>3</v>
      </c>
      <c r="R5" s="100">
        <v>2</v>
      </c>
    </row>
    <row r="6" spans="1:18">
      <c r="A6" s="100" t="s">
        <v>38</v>
      </c>
      <c r="B6" s="100" t="s">
        <v>152</v>
      </c>
      <c r="C6" s="100"/>
      <c r="D6" s="100"/>
      <c r="E6" s="100"/>
      <c r="F6" s="100"/>
      <c r="G6" s="100"/>
      <c r="H6" s="100"/>
      <c r="I6" s="100" t="s">
        <v>153</v>
      </c>
      <c r="J6" s="100">
        <v>4</v>
      </c>
      <c r="K6" s="100"/>
      <c r="L6" s="100"/>
      <c r="M6" s="100">
        <v>0.5</v>
      </c>
      <c r="N6" s="100">
        <v>5</v>
      </c>
      <c r="O6" s="100"/>
      <c r="P6" s="137" t="s">
        <v>154</v>
      </c>
      <c r="Q6" s="100">
        <v>4</v>
      </c>
      <c r="R6" s="100"/>
    </row>
    <row r="7" spans="1:18">
      <c r="A7" s="100" t="s">
        <v>44</v>
      </c>
      <c r="B7" s="100" t="s">
        <v>155</v>
      </c>
      <c r="C7" s="100"/>
      <c r="D7" s="100"/>
      <c r="E7" s="100"/>
      <c r="F7" s="100"/>
      <c r="G7" s="100"/>
      <c r="H7" s="100"/>
      <c r="I7" s="100"/>
      <c r="J7" s="100"/>
      <c r="K7" s="100" t="s">
        <v>156</v>
      </c>
      <c r="L7" s="100"/>
      <c r="M7" s="100">
        <v>1</v>
      </c>
      <c r="N7" s="100"/>
      <c r="O7" s="100"/>
      <c r="P7" s="186"/>
      <c r="Q7" s="100">
        <v>5</v>
      </c>
      <c r="R7" s="100"/>
    </row>
    <row r="8" spans="1:18">
      <c r="A8" s="100" t="s">
        <v>46</v>
      </c>
      <c r="B8" s="100" t="s">
        <v>157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>
        <v>2</v>
      </c>
      <c r="N8" s="100"/>
      <c r="O8" s="100"/>
      <c r="P8" s="186"/>
      <c r="Q8" s="100"/>
      <c r="R8" s="100"/>
    </row>
    <row r="9" spans="1:18">
      <c r="A9" s="183" t="s">
        <v>158</v>
      </c>
      <c r="B9" s="184">
        <v>350313257235</v>
      </c>
      <c r="C9" s="100" t="s">
        <v>159</v>
      </c>
      <c r="D9" s="184"/>
      <c r="E9" s="100"/>
      <c r="F9" s="100"/>
      <c r="G9" s="100"/>
      <c r="H9" s="100"/>
      <c r="I9" s="100"/>
      <c r="J9" s="100"/>
      <c r="K9" s="100"/>
      <c r="L9" s="100"/>
      <c r="M9" s="100">
        <v>5</v>
      </c>
      <c r="N9" s="100"/>
      <c r="O9" s="100"/>
      <c r="P9" s="186"/>
      <c r="Q9" s="100"/>
      <c r="R9" s="100"/>
    </row>
    <row r="10" spans="1:18">
      <c r="A10" s="100" t="s">
        <v>160</v>
      </c>
      <c r="B10" s="100">
        <v>220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86"/>
      <c r="Q10" s="100"/>
      <c r="R10" s="100"/>
    </row>
    <row r="11" spans="1:18">
      <c r="A11" s="100" t="s">
        <v>161</v>
      </c>
      <c r="B11" s="184">
        <v>340360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86"/>
      <c r="Q11" s="100"/>
      <c r="R11" s="100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zoomScale="85" zoomScaleNormal="85" workbookViewId="0">
      <pane ySplit="1" topLeftCell="A2" activePane="bottomLeft" state="frozen"/>
      <selection/>
      <selection pane="bottomLeft" activeCell="P80" sqref="P80"/>
    </sheetView>
  </sheetViews>
  <sheetFormatPr defaultColWidth="9" defaultRowHeight="13.5"/>
  <cols>
    <col min="1" max="1" width="10" style="19" customWidth="1"/>
    <col min="2" max="2" width="13.6666666666667" style="19" customWidth="1"/>
    <col min="3" max="3" width="7.88333333333333" style="19" customWidth="1"/>
    <col min="4" max="4" width="15.3333333333333" style="171" customWidth="1"/>
    <col min="9" max="9" width="17.2166666666667" customWidth="1"/>
    <col min="11" max="11" width="10" customWidth="1"/>
    <col min="14" max="14" width="10" style="19" customWidth="1"/>
    <col min="15" max="15" width="5.775" customWidth="1"/>
    <col min="16" max="16" width="36.6666666666667" style="19" customWidth="1"/>
    <col min="17" max="17" width="11.6666666666667" customWidth="1"/>
  </cols>
  <sheetData>
    <row r="1" spans="1:17">
      <c r="A1" s="172" t="s">
        <v>162</v>
      </c>
      <c r="B1" s="172" t="s">
        <v>163</v>
      </c>
      <c r="C1" s="172" t="s">
        <v>121</v>
      </c>
      <c r="D1" s="173" t="s">
        <v>26</v>
      </c>
      <c r="E1" s="173" t="s">
        <v>164</v>
      </c>
      <c r="F1" s="173" t="s">
        <v>165</v>
      </c>
      <c r="G1" s="173" t="s">
        <v>166</v>
      </c>
      <c r="H1" s="174" t="s">
        <v>9</v>
      </c>
      <c r="I1" s="178" t="s">
        <v>10</v>
      </c>
      <c r="J1" s="174" t="s">
        <v>11</v>
      </c>
      <c r="K1" s="174" t="s">
        <v>167</v>
      </c>
      <c r="L1" s="174" t="s">
        <v>168</v>
      </c>
      <c r="M1" s="174" t="s">
        <v>169</v>
      </c>
      <c r="N1" s="172" t="s">
        <v>170</v>
      </c>
      <c r="O1" s="173" t="s">
        <v>171</v>
      </c>
      <c r="P1" s="172" t="s">
        <v>172</v>
      </c>
      <c r="Q1" s="180"/>
    </row>
    <row r="2" spans="1:16">
      <c r="A2" s="175">
        <v>1001</v>
      </c>
      <c r="B2" s="175" t="str">
        <f ca="1" t="shared" ref="B2:B37" si="0">MID(CELL("filename"),FIND("[",CELL("filename"),1)+1,FIND(".",CELL("filename"),1)-FIND("[",CELL("filename"),1)-1)</f>
        <v>T500</v>
      </c>
      <c r="C2" s="99"/>
      <c r="D2" s="176" t="str">
        <f>波长示值误差与重复性校验!$C2&amp;";"&amp;波长示值误差与重复性校验!$D2&amp;";"&amp;波长示值误差与重复性校验!$E2</f>
        <v>;;</v>
      </c>
      <c r="E2" s="176" t="str">
        <f>波长示值误差与重复性校验!$F2</f>
        <v/>
      </c>
      <c r="F2" s="176" t="str">
        <f>波长示值误差与重复性校验!$G2</f>
        <v/>
      </c>
      <c r="G2" s="176">
        <f>波长示值误差与重复性校验!$H2</f>
        <v>0</v>
      </c>
      <c r="H2" s="176">
        <f>Report!$F$5</f>
        <v>0</v>
      </c>
      <c r="I2" s="179">
        <f ca="1" t="shared" ref="I2:I37" si="1">NOW()</f>
        <v>45881.6684606482</v>
      </c>
      <c r="J2" s="176">
        <f>Report!$N$5</f>
        <v>0</v>
      </c>
      <c r="K2" s="176"/>
      <c r="L2" s="176">
        <f>Report!$C$6</f>
        <v>0</v>
      </c>
      <c r="M2" s="176">
        <f>Report!$H$6</f>
        <v>0</v>
      </c>
      <c r="N2" s="99" t="str">
        <f>波长示值误差与重复性校验!$K2</f>
        <v>未检测</v>
      </c>
      <c r="O2" s="176"/>
      <c r="P2" s="102">
        <v>1001</v>
      </c>
    </row>
    <row r="3" spans="1:16">
      <c r="A3" s="99">
        <v>1002</v>
      </c>
      <c r="B3" s="175" t="str">
        <f ca="1" t="shared" si="0"/>
        <v>T500</v>
      </c>
      <c r="C3" s="99"/>
      <c r="D3" s="176" t="str">
        <f>波长示值误差与重复性校验!$C3&amp;";"&amp;波长示值误差与重复性校验!$D3&amp;";"&amp;波长示值误差与重复性校验!$E3</f>
        <v>;;</v>
      </c>
      <c r="E3" s="176" t="str">
        <f>波长示值误差与重复性校验!$F3</f>
        <v/>
      </c>
      <c r="F3" s="176" t="str">
        <f>波长示值误差与重复性校验!$G3</f>
        <v/>
      </c>
      <c r="G3" s="176">
        <f>波长示值误差与重复性校验!$H3</f>
        <v>0</v>
      </c>
      <c r="H3" s="176">
        <f>Report!$F$5</f>
        <v>0</v>
      </c>
      <c r="I3" s="179">
        <f ca="1" t="shared" si="1"/>
        <v>45881.6684606482</v>
      </c>
      <c r="J3" s="176">
        <f>Report!$N$5</f>
        <v>0</v>
      </c>
      <c r="K3" s="176"/>
      <c r="L3" s="176">
        <f>Report!$C$6</f>
        <v>0</v>
      </c>
      <c r="M3" s="176">
        <f>Report!$H$6</f>
        <v>0</v>
      </c>
      <c r="N3" s="99" t="str">
        <f>波长示值误差与重复性校验!$K3</f>
        <v>未检测</v>
      </c>
      <c r="O3" s="176"/>
      <c r="P3" s="102">
        <v>1002</v>
      </c>
    </row>
    <row r="4" spans="1:16">
      <c r="A4" s="99">
        <v>1003</v>
      </c>
      <c r="B4" s="175" t="str">
        <f ca="1" t="shared" si="0"/>
        <v>T500</v>
      </c>
      <c r="C4" s="99"/>
      <c r="D4" s="176" t="str">
        <f>波长示值误差与重复性校验!$C4&amp;";"&amp;波长示值误差与重复性校验!$D4&amp;";"&amp;波长示值误差与重复性校验!$E4</f>
        <v>;;</v>
      </c>
      <c r="E4" s="176" t="str">
        <f>波长示值误差与重复性校验!$F4</f>
        <v/>
      </c>
      <c r="F4" s="176" t="str">
        <f>波长示值误差与重复性校验!$G4</f>
        <v/>
      </c>
      <c r="G4" s="176">
        <f>波长示值误差与重复性校验!$H4</f>
        <v>0</v>
      </c>
      <c r="H4" s="176">
        <f>Report!$F$5</f>
        <v>0</v>
      </c>
      <c r="I4" s="179">
        <f ca="1" t="shared" si="1"/>
        <v>45881.6684606482</v>
      </c>
      <c r="J4" s="176">
        <f>Report!$N$5</f>
        <v>0</v>
      </c>
      <c r="K4" s="176"/>
      <c r="L4" s="176">
        <f>Report!$C$6</f>
        <v>0</v>
      </c>
      <c r="M4" s="176">
        <f>Report!$H$6</f>
        <v>0</v>
      </c>
      <c r="N4" s="99" t="str">
        <f>波长示值误差与重复性校验!$K4</f>
        <v>未检测</v>
      </c>
      <c r="O4" s="176"/>
      <c r="P4" s="102">
        <v>1003</v>
      </c>
    </row>
    <row r="5" spans="1:16">
      <c r="A5" s="99">
        <v>1008</v>
      </c>
      <c r="B5" s="175" t="str">
        <f ca="1" t="shared" si="0"/>
        <v>T500</v>
      </c>
      <c r="C5" s="99"/>
      <c r="D5" s="176" t="str">
        <f>波长示值误差与重复性校验!$C5&amp;";"&amp;波长示值误差与重复性校验!$D5&amp;";"&amp;波长示值误差与重复性校验!$E5</f>
        <v>;;</v>
      </c>
      <c r="E5" s="176" t="str">
        <f>波长示值误差与重复性校验!$F5</f>
        <v/>
      </c>
      <c r="F5" s="176" t="str">
        <f>波长示值误差与重复性校验!$G5</f>
        <v/>
      </c>
      <c r="G5" s="176">
        <f>波长示值误差与重复性校验!$H5</f>
        <v>0</v>
      </c>
      <c r="H5" s="176">
        <f>Report!$F$5</f>
        <v>0</v>
      </c>
      <c r="I5" s="179">
        <f ca="1" t="shared" si="1"/>
        <v>45881.6684606482</v>
      </c>
      <c r="J5" s="176">
        <f>Report!$N$5</f>
        <v>0</v>
      </c>
      <c r="K5" s="176"/>
      <c r="L5" s="176">
        <f>Report!$C$6</f>
        <v>0</v>
      </c>
      <c r="M5" s="176">
        <f>Report!$H$6</f>
        <v>0</v>
      </c>
      <c r="N5" s="99" t="str">
        <f>波长示值误差与重复性校验!$K5</f>
        <v>未检测</v>
      </c>
      <c r="O5" s="176"/>
      <c r="P5" s="102">
        <v>1004</v>
      </c>
    </row>
    <row r="6" spans="1:16">
      <c r="A6" s="99">
        <v>1009</v>
      </c>
      <c r="B6" s="175" t="str">
        <f ca="1" t="shared" si="0"/>
        <v>T500</v>
      </c>
      <c r="C6" s="99"/>
      <c r="D6" s="176" t="str">
        <f>波长示值误差与重复性校验!$C6&amp;";"&amp;波长示值误差与重复性校验!$D6&amp;";"&amp;波长示值误差与重复性校验!$E6</f>
        <v>;;</v>
      </c>
      <c r="E6" s="176" t="str">
        <f>波长示值误差与重复性校验!$F6</f>
        <v/>
      </c>
      <c r="F6" s="176" t="str">
        <f>波长示值误差与重复性校验!$G6</f>
        <v/>
      </c>
      <c r="G6" s="176">
        <f>波长示值误差与重复性校验!$H6</f>
        <v>0</v>
      </c>
      <c r="H6" s="176">
        <f>Report!$F$5</f>
        <v>0</v>
      </c>
      <c r="I6" s="179">
        <f ca="1" t="shared" si="1"/>
        <v>45881.6684606482</v>
      </c>
      <c r="J6" s="176">
        <f>Report!$N$5</f>
        <v>0</v>
      </c>
      <c r="K6" s="176"/>
      <c r="L6" s="176">
        <f>Report!$C$6</f>
        <v>0</v>
      </c>
      <c r="M6" s="176">
        <f>Report!$H$6</f>
        <v>0</v>
      </c>
      <c r="N6" s="99" t="str">
        <f>波长示值误差与重复性校验!$K6</f>
        <v>未检测</v>
      </c>
      <c r="O6" s="176"/>
      <c r="P6" s="102">
        <v>1004</v>
      </c>
    </row>
    <row r="7" spans="1:16">
      <c r="A7" s="99">
        <v>1010</v>
      </c>
      <c r="B7" s="175" t="str">
        <f ca="1" t="shared" si="0"/>
        <v>T500</v>
      </c>
      <c r="C7" s="99"/>
      <c r="D7" s="176" t="str">
        <f>波长示值误差与重复性校验!$C7&amp;";"&amp;波长示值误差与重复性校验!$D7&amp;";"&amp;波长示值误差与重复性校验!$E7</f>
        <v>;;</v>
      </c>
      <c r="E7" s="176" t="str">
        <f>波长示值误差与重复性校验!$F7</f>
        <v/>
      </c>
      <c r="F7" s="176" t="str">
        <f>波长示值误差与重复性校验!$G7</f>
        <v/>
      </c>
      <c r="G7" s="176">
        <f>波长示值误差与重复性校验!$H7</f>
        <v>0</v>
      </c>
      <c r="H7" s="176">
        <f>Report!$F$5</f>
        <v>0</v>
      </c>
      <c r="I7" s="179">
        <f ca="1" t="shared" si="1"/>
        <v>45881.6684606482</v>
      </c>
      <c r="J7" s="176">
        <f>Report!$N$5</f>
        <v>0</v>
      </c>
      <c r="K7" s="176"/>
      <c r="L7" s="176">
        <f>Report!$C$6</f>
        <v>0</v>
      </c>
      <c r="M7" s="176">
        <f>Report!$H$6</f>
        <v>0</v>
      </c>
      <c r="N7" s="99" t="str">
        <f>波长示值误差与重复性校验!$K7</f>
        <v>未检测</v>
      </c>
      <c r="O7" s="176"/>
      <c r="P7" s="102">
        <v>1004</v>
      </c>
    </row>
    <row r="8" spans="1:16">
      <c r="A8" s="99">
        <v>1011</v>
      </c>
      <c r="B8" s="175" t="str">
        <f ca="1" t="shared" si="0"/>
        <v>T500</v>
      </c>
      <c r="C8" s="99"/>
      <c r="D8" s="176" t="str">
        <f>波长示值误差与重复性校验!$C8&amp;";"&amp;波长示值误差与重复性校验!$D8&amp;";"&amp;波长示值误差与重复性校验!$E8</f>
        <v>;;</v>
      </c>
      <c r="E8" s="176" t="str">
        <f>波长示值误差与重复性校验!$F8</f>
        <v/>
      </c>
      <c r="F8" s="176" t="str">
        <f>波长示值误差与重复性校验!$G8</f>
        <v/>
      </c>
      <c r="G8" s="176">
        <f>波长示值误差与重复性校验!$H8</f>
        <v>0</v>
      </c>
      <c r="H8" s="176">
        <f>Report!$F$5</f>
        <v>0</v>
      </c>
      <c r="I8" s="179">
        <f ca="1" t="shared" si="1"/>
        <v>45881.6684606482</v>
      </c>
      <c r="J8" s="176">
        <f>Report!$N$5</f>
        <v>0</v>
      </c>
      <c r="K8" s="176"/>
      <c r="L8" s="176">
        <f>Report!$C$6</f>
        <v>0</v>
      </c>
      <c r="M8" s="176">
        <f>Report!$H$6</f>
        <v>0</v>
      </c>
      <c r="N8" s="99" t="str">
        <f>波长示值误差与重复性校验!$K8</f>
        <v>未检测</v>
      </c>
      <c r="O8" s="176"/>
      <c r="P8" s="102">
        <v>1004</v>
      </c>
    </row>
    <row r="9" spans="1:16">
      <c r="A9" s="99">
        <v>1012</v>
      </c>
      <c r="B9" s="175" t="str">
        <f ca="1" t="shared" si="0"/>
        <v>T500</v>
      </c>
      <c r="C9" s="99"/>
      <c r="D9" s="176" t="str">
        <f>波长示值误差与重复性校验!$C9&amp;";"&amp;波长示值误差与重复性校验!$D9&amp;";"&amp;波长示值误差与重复性校验!$E9</f>
        <v>;;</v>
      </c>
      <c r="E9" s="176" t="str">
        <f>波长示值误差与重复性校验!$F9</f>
        <v/>
      </c>
      <c r="F9" s="176" t="str">
        <f>波长示值误差与重复性校验!$G9</f>
        <v/>
      </c>
      <c r="G9" s="176">
        <f>波长示值误差与重复性校验!$H9</f>
        <v>0</v>
      </c>
      <c r="H9" s="176">
        <f>Report!$F$5</f>
        <v>0</v>
      </c>
      <c r="I9" s="179">
        <f ca="1" t="shared" si="1"/>
        <v>45881.6684606482</v>
      </c>
      <c r="J9" s="176">
        <f>Report!$N$5</f>
        <v>0</v>
      </c>
      <c r="K9" s="176"/>
      <c r="L9" s="176">
        <f>Report!$C$6</f>
        <v>0</v>
      </c>
      <c r="M9" s="176">
        <f>Report!$H$6</f>
        <v>0</v>
      </c>
      <c r="N9" s="99" t="str">
        <f>波长示值误差与重复性校验!$K9</f>
        <v>未检测</v>
      </c>
      <c r="O9" s="176"/>
      <c r="P9" s="102">
        <v>1004</v>
      </c>
    </row>
    <row r="10" spans="1:16">
      <c r="A10" s="99">
        <v>1013</v>
      </c>
      <c r="B10" s="175" t="str">
        <f ca="1" t="shared" si="0"/>
        <v>T500</v>
      </c>
      <c r="C10" s="99"/>
      <c r="D10" s="176" t="str">
        <f>波长示值误差与重复性校验!$C10&amp;";"&amp;波长示值误差与重复性校验!$D10&amp;";"&amp;波长示值误差与重复性校验!$E10</f>
        <v>;;</v>
      </c>
      <c r="E10" s="176" t="str">
        <f>波长示值误差与重复性校验!$F10</f>
        <v/>
      </c>
      <c r="F10" s="176" t="str">
        <f>波长示值误差与重复性校验!$G10</f>
        <v/>
      </c>
      <c r="G10" s="176">
        <f>波长示值误差与重复性校验!$H10</f>
        <v>0</v>
      </c>
      <c r="H10" s="176">
        <f>Report!$F$5</f>
        <v>0</v>
      </c>
      <c r="I10" s="179">
        <f ca="1" t="shared" si="1"/>
        <v>45881.6684606482</v>
      </c>
      <c r="J10" s="176">
        <f>Report!$N$5</f>
        <v>0</v>
      </c>
      <c r="K10" s="176"/>
      <c r="L10" s="176">
        <f>Report!$C$6</f>
        <v>0</v>
      </c>
      <c r="M10" s="176">
        <f>Report!$H$6</f>
        <v>0</v>
      </c>
      <c r="N10" s="99" t="str">
        <f>波长示值误差与重复性校验!$K10</f>
        <v>未检测</v>
      </c>
      <c r="O10" s="176"/>
      <c r="P10" s="102">
        <v>1004</v>
      </c>
    </row>
    <row r="11" spans="1:16">
      <c r="A11" s="99">
        <v>2001</v>
      </c>
      <c r="B11" s="175" t="str">
        <f ca="1" t="shared" si="0"/>
        <v>T500</v>
      </c>
      <c r="C11" s="99">
        <f>透射比示值误差与重复性校验!$C2</f>
        <v>23.2</v>
      </c>
      <c r="D11" s="176" t="str">
        <f>透射比示值误差与重复性校验!$D2&amp;";"&amp;透射比示值误差与重复性校验!$E2&amp;";"&amp;透射比示值误差与重复性校验!$F2</f>
        <v>;;</v>
      </c>
      <c r="E11" s="176" t="str">
        <f>透射比示值误差与重复性校验!$G2</f>
        <v/>
      </c>
      <c r="F11" s="176" t="str">
        <f>透射比示值误差与重复性校验!$H2</f>
        <v/>
      </c>
      <c r="G11" s="176">
        <f>透射比示值误差与重复性校验!$I2</f>
        <v>0</v>
      </c>
      <c r="H11" s="176">
        <f>Report!$F$5</f>
        <v>0</v>
      </c>
      <c r="I11" s="179">
        <f ca="1" t="shared" si="1"/>
        <v>45881.6684606482</v>
      </c>
      <c r="J11" s="176">
        <f>Report!$N$5</f>
        <v>0</v>
      </c>
      <c r="K11" s="176"/>
      <c r="L11" s="176">
        <f>Report!$C$6</f>
        <v>0</v>
      </c>
      <c r="M11" s="176">
        <f>Report!$H$6</f>
        <v>0</v>
      </c>
      <c r="N11" s="99" t="str">
        <f>透射比示值误差与重复性校验!$L2</f>
        <v>未检测</v>
      </c>
      <c r="O11" s="176"/>
      <c r="P11" s="99">
        <v>2001</v>
      </c>
    </row>
    <row r="12" spans="1:16">
      <c r="A12" s="99">
        <v>2002</v>
      </c>
      <c r="B12" s="175" t="str">
        <f ca="1" t="shared" si="0"/>
        <v>T500</v>
      </c>
      <c r="C12" s="99">
        <f>透射比示值误差与重复性校验!$C3</f>
        <v>51.58</v>
      </c>
      <c r="D12" s="176" t="str">
        <f>透射比示值误差与重复性校验!$D3&amp;";"&amp;透射比示值误差与重复性校验!$E3&amp;";"&amp;透射比示值误差与重复性校验!$F3</f>
        <v>;;</v>
      </c>
      <c r="E12" s="176" t="str">
        <f>透射比示值误差与重复性校验!$G3</f>
        <v/>
      </c>
      <c r="F12" s="176" t="str">
        <f>透射比示值误差与重复性校验!$H3</f>
        <v/>
      </c>
      <c r="G12" s="176">
        <f>透射比示值误差与重复性校验!$I3</f>
        <v>0</v>
      </c>
      <c r="H12" s="176">
        <f>Report!$F$5</f>
        <v>0</v>
      </c>
      <c r="I12" s="179">
        <f ca="1" t="shared" si="1"/>
        <v>45881.6684606482</v>
      </c>
      <c r="J12" s="176">
        <f>Report!$N$5</f>
        <v>0</v>
      </c>
      <c r="K12" s="176"/>
      <c r="L12" s="176">
        <f>Report!$C$6</f>
        <v>0</v>
      </c>
      <c r="M12" s="176">
        <f>Report!$H$6</f>
        <v>0</v>
      </c>
      <c r="N12" s="99" t="str">
        <f>透射比示值误差与重复性校验!$L3</f>
        <v>未检测</v>
      </c>
      <c r="O12" s="176"/>
      <c r="P12" s="99">
        <v>2001</v>
      </c>
    </row>
    <row r="13" spans="1:16">
      <c r="A13" s="99">
        <v>2003</v>
      </c>
      <c r="B13" s="175" t="str">
        <f ca="1" t="shared" si="0"/>
        <v>T500</v>
      </c>
      <c r="C13" s="99">
        <f>透射比示值误差与重复性校验!$C4</f>
        <v>14.06</v>
      </c>
      <c r="D13" s="176" t="str">
        <f>透射比示值误差与重复性校验!$D4&amp;";"&amp;透射比示值误差与重复性校验!$E4&amp;";"&amp;透射比示值误差与重复性校验!$F4</f>
        <v>;;</v>
      </c>
      <c r="E13" s="176" t="str">
        <f>透射比示值误差与重复性校验!$G4</f>
        <v/>
      </c>
      <c r="F13" s="176" t="str">
        <f>透射比示值误差与重复性校验!$H4</f>
        <v/>
      </c>
      <c r="G13" s="176">
        <f>透射比示值误差与重复性校验!$I4</f>
        <v>0</v>
      </c>
      <c r="H13" s="176">
        <f>Report!$F$5</f>
        <v>0</v>
      </c>
      <c r="I13" s="179">
        <f ca="1" t="shared" si="1"/>
        <v>45881.6684606482</v>
      </c>
      <c r="J13" s="176">
        <f>Report!$N$5</f>
        <v>0</v>
      </c>
      <c r="K13" s="176"/>
      <c r="L13" s="176">
        <f>Report!$C$6</f>
        <v>0</v>
      </c>
      <c r="M13" s="176">
        <f>Report!$H$6</f>
        <v>0</v>
      </c>
      <c r="N13" s="99" t="str">
        <f>透射比示值误差与重复性校验!$L4</f>
        <v>未检测</v>
      </c>
      <c r="O13" s="176"/>
      <c r="P13" s="99">
        <v>2001</v>
      </c>
    </row>
    <row r="14" spans="1:16">
      <c r="A14" s="99">
        <v>2004</v>
      </c>
      <c r="B14" s="175" t="str">
        <f ca="1" t="shared" si="0"/>
        <v>T500</v>
      </c>
      <c r="C14" s="99">
        <f>透射比示值误差与重复性校验!$C5</f>
        <v>18.42</v>
      </c>
      <c r="D14" s="176" t="str">
        <f>透射比示值误差与重复性校验!$D5&amp;";"&amp;透射比示值误差与重复性校验!$E5&amp;";"&amp;透射比示值误差与重复性校验!$F5</f>
        <v>;;</v>
      </c>
      <c r="E14" s="176" t="str">
        <f>透射比示值误差与重复性校验!$G5</f>
        <v/>
      </c>
      <c r="F14" s="176" t="str">
        <f>透射比示值误差与重复性校验!$H5</f>
        <v/>
      </c>
      <c r="G14" s="176">
        <f>透射比示值误差与重复性校验!$I5</f>
        <v>0</v>
      </c>
      <c r="H14" s="176">
        <f>Report!$F$5</f>
        <v>0</v>
      </c>
      <c r="I14" s="179">
        <f ca="1" t="shared" si="1"/>
        <v>45881.6684606482</v>
      </c>
      <c r="J14" s="176">
        <f>Report!$N$5</f>
        <v>0</v>
      </c>
      <c r="K14" s="176"/>
      <c r="L14" s="176">
        <f>Report!$C$6</f>
        <v>0</v>
      </c>
      <c r="M14" s="176">
        <f>Report!$H$6</f>
        <v>0</v>
      </c>
      <c r="N14" s="99" t="str">
        <f>透射比示值误差与重复性校验!$L5</f>
        <v>未检测</v>
      </c>
      <c r="O14" s="176"/>
      <c r="P14" s="99">
        <v>2001</v>
      </c>
    </row>
    <row r="15" spans="1:16">
      <c r="A15" s="99">
        <v>2005</v>
      </c>
      <c r="B15" s="175" t="str">
        <f ca="1" t="shared" si="0"/>
        <v>T500</v>
      </c>
      <c r="C15" s="99">
        <f>透射比示值误差与重复性校验!$C6</f>
        <v>7.57</v>
      </c>
      <c r="D15" s="176" t="str">
        <f>透射比示值误差与重复性校验!$D6&amp;";"&amp;透射比示值误差与重复性校验!$E6&amp;";"&amp;透射比示值误差与重复性校验!$F6</f>
        <v>;;</v>
      </c>
      <c r="E15" s="176" t="str">
        <f>透射比示值误差与重复性校验!$G6</f>
        <v/>
      </c>
      <c r="F15" s="176" t="str">
        <f>透射比示值误差与重复性校验!$H6</f>
        <v/>
      </c>
      <c r="G15" s="176">
        <f>透射比示值误差与重复性校验!$I6</f>
        <v>0</v>
      </c>
      <c r="H15" s="176">
        <f>Report!$F$5</f>
        <v>0</v>
      </c>
      <c r="I15" s="179">
        <f ca="1" t="shared" si="1"/>
        <v>45881.6684606482</v>
      </c>
      <c r="J15" s="176">
        <f>Report!$N$5</f>
        <v>0</v>
      </c>
      <c r="K15" s="176"/>
      <c r="L15" s="176">
        <f>Report!$C$6</f>
        <v>0</v>
      </c>
      <c r="M15" s="176">
        <f>Report!$H$6</f>
        <v>0</v>
      </c>
      <c r="N15" s="99" t="str">
        <f>透射比示值误差与重复性校验!$L6</f>
        <v>未检测</v>
      </c>
      <c r="O15" s="176"/>
      <c r="P15" s="99">
        <v>2002</v>
      </c>
    </row>
    <row r="16" spans="1:16">
      <c r="A16" s="99">
        <v>2006</v>
      </c>
      <c r="B16" s="175" t="str">
        <f ca="1" t="shared" si="0"/>
        <v>T500</v>
      </c>
      <c r="C16" s="99">
        <f>透射比示值误差与重复性校验!$C7</f>
        <v>10.1</v>
      </c>
      <c r="D16" s="176" t="str">
        <f>透射比示值误差与重复性校验!$D7&amp;";"&amp;透射比示值误差与重复性校验!$E7&amp;";"&amp;透射比示值误差与重复性校验!$F7</f>
        <v>;;</v>
      </c>
      <c r="E16" s="176" t="str">
        <f>透射比示值误差与重复性校验!$G7</f>
        <v/>
      </c>
      <c r="F16" s="176" t="str">
        <f>透射比示值误差与重复性校验!$H7</f>
        <v/>
      </c>
      <c r="G16" s="176">
        <f>透射比示值误差与重复性校验!$I7</f>
        <v>0</v>
      </c>
      <c r="H16" s="176">
        <f>Report!$F$5</f>
        <v>0</v>
      </c>
      <c r="I16" s="179">
        <f ca="1" t="shared" si="1"/>
        <v>45881.6684606482</v>
      </c>
      <c r="J16" s="176">
        <f>Report!$N$5</f>
        <v>0</v>
      </c>
      <c r="K16" s="176"/>
      <c r="L16" s="176">
        <f>Report!$C$6</f>
        <v>0</v>
      </c>
      <c r="M16" s="176">
        <f>Report!$H$6</f>
        <v>0</v>
      </c>
      <c r="N16" s="99" t="str">
        <f>透射比示值误差与重复性校验!$L7</f>
        <v>未检测</v>
      </c>
      <c r="O16" s="176"/>
      <c r="P16" s="99">
        <v>2002</v>
      </c>
    </row>
    <row r="17" spans="1:16">
      <c r="A17" s="99">
        <v>2007</v>
      </c>
      <c r="B17" s="175" t="str">
        <f ca="1" t="shared" si="0"/>
        <v>T500</v>
      </c>
      <c r="C17" s="99">
        <f>透射比示值误差与重复性校验!$C8</f>
        <v>10.07</v>
      </c>
      <c r="D17" s="176" t="str">
        <f>透射比示值误差与重复性校验!$D8&amp;";"&amp;透射比示值误差与重复性校验!$E8&amp;";"&amp;透射比示值误差与重复性校验!$F8</f>
        <v>;;</v>
      </c>
      <c r="E17" s="176" t="str">
        <f>透射比示值误差与重复性校验!$G8</f>
        <v/>
      </c>
      <c r="F17" s="176" t="str">
        <f>透射比示值误差与重复性校验!$H8</f>
        <v/>
      </c>
      <c r="G17" s="176">
        <f>透射比示值误差与重复性校验!$I8</f>
        <v>0</v>
      </c>
      <c r="H17" s="176">
        <f>Report!$F$5</f>
        <v>0</v>
      </c>
      <c r="I17" s="179">
        <f ca="1" t="shared" si="1"/>
        <v>45881.6684606482</v>
      </c>
      <c r="J17" s="176">
        <f>Report!$N$5</f>
        <v>0</v>
      </c>
      <c r="K17" s="176"/>
      <c r="L17" s="176">
        <f>Report!$C$6</f>
        <v>0</v>
      </c>
      <c r="M17" s="176">
        <f>Report!$H$6</f>
        <v>0</v>
      </c>
      <c r="N17" s="99" t="str">
        <f>透射比示值误差与重复性校验!$L8</f>
        <v>未检测</v>
      </c>
      <c r="O17" s="176"/>
      <c r="P17" s="99">
        <v>2002</v>
      </c>
    </row>
    <row r="18" spans="1:16">
      <c r="A18" s="99">
        <v>2008</v>
      </c>
      <c r="B18" s="175" t="str">
        <f ca="1" t="shared" si="0"/>
        <v>T500</v>
      </c>
      <c r="C18" s="99">
        <f>透射比示值误差与重复性校验!$C9</f>
        <v>18.98</v>
      </c>
      <c r="D18" s="176" t="str">
        <f>透射比示值误差与重复性校验!$D9&amp;";"&amp;透射比示值误差与重复性校验!$E9&amp;";"&amp;透射比示值误差与重复性校验!$F9</f>
        <v>;;</v>
      </c>
      <c r="E18" s="176" t="str">
        <f>透射比示值误差与重复性校验!$G9</f>
        <v/>
      </c>
      <c r="F18" s="176" t="str">
        <f>透射比示值误差与重复性校验!$H9</f>
        <v/>
      </c>
      <c r="G18" s="176">
        <f>透射比示值误差与重复性校验!$I9</f>
        <v>0</v>
      </c>
      <c r="H18" s="176">
        <f>Report!$F$5</f>
        <v>0</v>
      </c>
      <c r="I18" s="179">
        <f ca="1" t="shared" si="1"/>
        <v>45881.6684606482</v>
      </c>
      <c r="J18" s="176">
        <f>Report!$N$5</f>
        <v>0</v>
      </c>
      <c r="K18" s="176"/>
      <c r="L18" s="176">
        <f>Report!$C$6</f>
        <v>0</v>
      </c>
      <c r="M18" s="176">
        <f>Report!$H$6</f>
        <v>0</v>
      </c>
      <c r="N18" s="99" t="str">
        <f>透射比示值误差与重复性校验!$L9</f>
        <v>未检测</v>
      </c>
      <c r="O18" s="176"/>
      <c r="P18" s="101">
        <v>2003</v>
      </c>
    </row>
    <row r="19" spans="1:16">
      <c r="A19" s="99">
        <v>2009</v>
      </c>
      <c r="B19" s="175" t="str">
        <f ca="1" t="shared" si="0"/>
        <v>T500</v>
      </c>
      <c r="C19" s="99">
        <f>透射比示值误差与重复性校验!$C10</f>
        <v>20.09</v>
      </c>
      <c r="D19" s="176" t="str">
        <f>透射比示值误差与重复性校验!$D10&amp;";"&amp;透射比示值误差与重复性校验!$E10&amp;";"&amp;透射比示值误差与重复性校验!$F10</f>
        <v>;;</v>
      </c>
      <c r="E19" s="176" t="str">
        <f>透射比示值误差与重复性校验!$G10</f>
        <v/>
      </c>
      <c r="F19" s="176" t="str">
        <f>透射比示值误差与重复性校验!$H10</f>
        <v/>
      </c>
      <c r="G19" s="176">
        <f>透射比示值误差与重复性校验!$I10</f>
        <v>0</v>
      </c>
      <c r="H19" s="176">
        <f>Report!$F$5</f>
        <v>0</v>
      </c>
      <c r="I19" s="179">
        <f ca="1" t="shared" si="1"/>
        <v>45881.6684606482</v>
      </c>
      <c r="J19" s="176">
        <f>Report!$N$5</f>
        <v>0</v>
      </c>
      <c r="K19" s="176"/>
      <c r="L19" s="176">
        <f>Report!$C$6</f>
        <v>0</v>
      </c>
      <c r="M19" s="176">
        <f>Report!$H$6</f>
        <v>0</v>
      </c>
      <c r="N19" s="99" t="str">
        <f>透射比示值误差与重复性校验!$L10</f>
        <v>未检测</v>
      </c>
      <c r="O19" s="176"/>
      <c r="P19" s="101">
        <v>2003</v>
      </c>
    </row>
    <row r="20" spans="1:16">
      <c r="A20" s="99">
        <v>2010</v>
      </c>
      <c r="B20" s="175" t="str">
        <f ca="1" t="shared" si="0"/>
        <v>T500</v>
      </c>
      <c r="C20" s="99">
        <f>透射比示值误差与重复性校验!$C11</f>
        <v>20.91</v>
      </c>
      <c r="D20" s="176" t="str">
        <f>透射比示值误差与重复性校验!$D11&amp;";"&amp;透射比示值误差与重复性校验!$E11&amp;";"&amp;透射比示值误差与重复性校验!$F11</f>
        <v>;;</v>
      </c>
      <c r="E20" s="176" t="str">
        <f>透射比示值误差与重复性校验!$G11</f>
        <v/>
      </c>
      <c r="F20" s="176" t="str">
        <f>透射比示值误差与重复性校验!$H11</f>
        <v/>
      </c>
      <c r="G20" s="176">
        <f>透射比示值误差与重复性校验!$I11</f>
        <v>0</v>
      </c>
      <c r="H20" s="176">
        <f>Report!$F$5</f>
        <v>0</v>
      </c>
      <c r="I20" s="179">
        <f ca="1" t="shared" si="1"/>
        <v>45881.6684606482</v>
      </c>
      <c r="J20" s="176">
        <f>Report!$N$5</f>
        <v>0</v>
      </c>
      <c r="K20" s="176"/>
      <c r="L20" s="176">
        <f>Report!$C$6</f>
        <v>0</v>
      </c>
      <c r="M20" s="176">
        <f>Report!$H$6</f>
        <v>0</v>
      </c>
      <c r="N20" s="99" t="str">
        <f>透射比示值误差与重复性校验!$L11</f>
        <v>未检测</v>
      </c>
      <c r="O20" s="176"/>
      <c r="P20" s="101">
        <v>2003</v>
      </c>
    </row>
    <row r="21" spans="1:16">
      <c r="A21" s="99">
        <v>2011</v>
      </c>
      <c r="B21" s="175" t="str">
        <f ca="1" t="shared" si="0"/>
        <v>T500</v>
      </c>
      <c r="C21" s="99">
        <f>透射比示值误差与重复性校验!$C12</f>
        <v>29.96</v>
      </c>
      <c r="D21" s="176" t="str">
        <f>透射比示值误差与重复性校验!$D12&amp;";"&amp;透射比示值误差与重复性校验!$E12&amp;";"&amp;透射比示值误差与重复性校验!$F12</f>
        <v>;;</v>
      </c>
      <c r="E21" s="176" t="str">
        <f>透射比示值误差与重复性校验!$G12</f>
        <v/>
      </c>
      <c r="F21" s="176" t="str">
        <f>透射比示值误差与重复性校验!$H12</f>
        <v/>
      </c>
      <c r="G21" s="176">
        <f>透射比示值误差与重复性校验!$I12</f>
        <v>0</v>
      </c>
      <c r="H21" s="176">
        <f>Report!$F$5</f>
        <v>0</v>
      </c>
      <c r="I21" s="179">
        <f ca="1" t="shared" si="1"/>
        <v>45881.6684606482</v>
      </c>
      <c r="J21" s="176">
        <f>Report!$N$5</f>
        <v>0</v>
      </c>
      <c r="K21" s="176"/>
      <c r="L21" s="176">
        <f>Report!$C$6</f>
        <v>0</v>
      </c>
      <c r="M21" s="176">
        <f>Report!$H$6</f>
        <v>0</v>
      </c>
      <c r="N21" s="99" t="str">
        <f>透射比示值误差与重复性校验!$L12</f>
        <v>未检测</v>
      </c>
      <c r="O21" s="176"/>
      <c r="P21" s="99">
        <v>2004</v>
      </c>
    </row>
    <row r="22" spans="1:16">
      <c r="A22" s="99">
        <v>2012</v>
      </c>
      <c r="B22" s="175" t="str">
        <f ca="1" t="shared" si="0"/>
        <v>T500</v>
      </c>
      <c r="C22" s="99">
        <f>透射比示值误差与重复性校验!$C13</f>
        <v>30.43</v>
      </c>
      <c r="D22" s="176" t="str">
        <f>透射比示值误差与重复性校验!$D13&amp;";"&amp;透射比示值误差与重复性校验!$E13&amp;";"&amp;透射比示值误差与重复性校验!$F13</f>
        <v>;;</v>
      </c>
      <c r="E22" s="176" t="str">
        <f>透射比示值误差与重复性校验!$G13</f>
        <v/>
      </c>
      <c r="F22" s="176" t="str">
        <f>透射比示值误差与重复性校验!$H13</f>
        <v/>
      </c>
      <c r="G22" s="176">
        <f>透射比示值误差与重复性校验!$I13</f>
        <v>0</v>
      </c>
      <c r="H22" s="176">
        <f>Report!$F$5</f>
        <v>0</v>
      </c>
      <c r="I22" s="179">
        <f ca="1" t="shared" si="1"/>
        <v>45881.6684606482</v>
      </c>
      <c r="J22" s="176">
        <f>Report!$N$5</f>
        <v>0</v>
      </c>
      <c r="K22" s="176"/>
      <c r="L22" s="176">
        <f>Report!$C$6</f>
        <v>0</v>
      </c>
      <c r="M22" s="176">
        <f>Report!$H$6</f>
        <v>0</v>
      </c>
      <c r="N22" s="99" t="str">
        <f>透射比示值误差与重复性校验!$L13</f>
        <v>未检测</v>
      </c>
      <c r="O22" s="176"/>
      <c r="P22" s="99">
        <v>2004</v>
      </c>
    </row>
    <row r="23" spans="1:16">
      <c r="A23" s="99">
        <v>2013</v>
      </c>
      <c r="B23" s="175" t="str">
        <f ca="1" t="shared" si="0"/>
        <v>T500</v>
      </c>
      <c r="C23" s="99">
        <f>透射比示值误差与重复性校验!$C14</f>
        <v>28.88</v>
      </c>
      <c r="D23" s="176" t="str">
        <f>透射比示值误差与重复性校验!$D14&amp;";"&amp;透射比示值误差与重复性校验!$E14&amp;";"&amp;透射比示值误差与重复性校验!$F14</f>
        <v>;;</v>
      </c>
      <c r="E23" s="176" t="str">
        <f>透射比示值误差与重复性校验!$G14</f>
        <v/>
      </c>
      <c r="F23" s="176" t="str">
        <f>透射比示值误差与重复性校验!$H14</f>
        <v/>
      </c>
      <c r="G23" s="176">
        <f>透射比示值误差与重复性校验!$I14</f>
        <v>0</v>
      </c>
      <c r="H23" s="176">
        <f>Report!$F$5</f>
        <v>0</v>
      </c>
      <c r="I23" s="179">
        <f ca="1" t="shared" si="1"/>
        <v>45881.6684606482</v>
      </c>
      <c r="J23" s="176">
        <f>Report!$N$5</f>
        <v>0</v>
      </c>
      <c r="K23" s="176"/>
      <c r="L23" s="176">
        <f>Report!$C$6</f>
        <v>0</v>
      </c>
      <c r="M23" s="176">
        <f>Report!$H$6</f>
        <v>0</v>
      </c>
      <c r="N23" s="99" t="str">
        <f>透射比示值误差与重复性校验!$L14</f>
        <v>未检测</v>
      </c>
      <c r="O23" s="176"/>
      <c r="P23" s="99">
        <v>2004</v>
      </c>
    </row>
    <row r="24" spans="1:16">
      <c r="A24" s="99">
        <v>3001</v>
      </c>
      <c r="B24" s="175" t="str">
        <f ca="1" t="shared" si="0"/>
        <v>T500</v>
      </c>
      <c r="C24" s="99">
        <f>杂散光校验!$B2</f>
        <v>220</v>
      </c>
      <c r="D24" s="177" t="str">
        <f>杂散光校验!$C2&amp;";"&amp;杂散光校验!$D2&amp;";"&amp;杂散光校验!$E2</f>
        <v>;;</v>
      </c>
      <c r="E24" s="176"/>
      <c r="F24" s="176"/>
      <c r="G24" s="176"/>
      <c r="H24" s="176">
        <f>Report!$F$5</f>
        <v>0</v>
      </c>
      <c r="I24" s="179">
        <f ca="1" t="shared" si="1"/>
        <v>45881.6684606482</v>
      </c>
      <c r="J24" s="176">
        <f>Report!$N$5</f>
        <v>0</v>
      </c>
      <c r="K24" s="176"/>
      <c r="L24" s="176">
        <f>Report!$C$6</f>
        <v>0</v>
      </c>
      <c r="M24" s="176">
        <f>Report!$H$6</f>
        <v>0</v>
      </c>
      <c r="N24" s="99" t="str">
        <f>杂散光校验!$G2</f>
        <v>未检测</v>
      </c>
      <c r="O24" s="176"/>
      <c r="P24" s="99">
        <v>3001</v>
      </c>
    </row>
    <row r="25" spans="1:16">
      <c r="A25" s="99">
        <v>3002</v>
      </c>
      <c r="B25" s="175" t="str">
        <f ca="1" t="shared" si="0"/>
        <v>T500</v>
      </c>
      <c r="C25" s="99">
        <f>杂散光校验!$B3</f>
        <v>360</v>
      </c>
      <c r="D25" s="177" t="str">
        <f>杂散光校验!$C3&amp;";"&amp;杂散光校验!$D3&amp;";"&amp;杂散光校验!$E3</f>
        <v>;;</v>
      </c>
      <c r="E25" s="176"/>
      <c r="F25" s="176"/>
      <c r="G25" s="176"/>
      <c r="H25" s="176">
        <f>Report!$F$5</f>
        <v>0</v>
      </c>
      <c r="I25" s="179">
        <f ca="1" t="shared" si="1"/>
        <v>45881.6684606482</v>
      </c>
      <c r="J25" s="176">
        <f>Report!$N$5</f>
        <v>0</v>
      </c>
      <c r="K25" s="176"/>
      <c r="L25" s="176">
        <f>Report!$C$6</f>
        <v>0</v>
      </c>
      <c r="M25" s="176">
        <f>Report!$H$6</f>
        <v>0</v>
      </c>
      <c r="N25" s="99" t="str">
        <f>杂散光校验!$G3</f>
        <v>未检测</v>
      </c>
      <c r="O25" s="176"/>
      <c r="P25" s="99">
        <v>3002</v>
      </c>
    </row>
    <row r="26" spans="1:16">
      <c r="A26" s="99">
        <v>4001</v>
      </c>
      <c r="B26" s="175" t="str">
        <f ca="1" t="shared" si="0"/>
        <v>T500</v>
      </c>
      <c r="C26" s="99"/>
      <c r="D26" s="176">
        <f>基线平直度检验!$B$2</f>
        <v>0</v>
      </c>
      <c r="E26" s="176"/>
      <c r="F26" s="176"/>
      <c r="G26" s="176"/>
      <c r="H26" s="176">
        <f>Report!$F$5</f>
        <v>0</v>
      </c>
      <c r="I26" s="179">
        <f ca="1" t="shared" si="1"/>
        <v>45881.6684606482</v>
      </c>
      <c r="J26" s="176">
        <f>Report!$N$5</f>
        <v>0</v>
      </c>
      <c r="K26" s="176"/>
      <c r="L26" s="176">
        <f>Report!$C$6</f>
        <v>0</v>
      </c>
      <c r="M26" s="176">
        <f>Report!$H$6</f>
        <v>0</v>
      </c>
      <c r="N26" s="99" t="str">
        <f>基线平直度检验!$D$2</f>
        <v>未检测</v>
      </c>
      <c r="O26" s="176"/>
      <c r="P26" s="99">
        <v>4001</v>
      </c>
    </row>
    <row r="27" spans="1:16">
      <c r="A27" s="99">
        <v>5001</v>
      </c>
      <c r="B27" s="175" t="str">
        <f ca="1" t="shared" si="0"/>
        <v>T500</v>
      </c>
      <c r="C27" s="99"/>
      <c r="D27" s="176">
        <f>基线暗噪声检验!$B$2</f>
        <v>0</v>
      </c>
      <c r="E27" s="176"/>
      <c r="F27" s="176"/>
      <c r="G27" s="176"/>
      <c r="H27" s="176">
        <f>Report!$F$5</f>
        <v>0</v>
      </c>
      <c r="I27" s="179">
        <f ca="1" t="shared" si="1"/>
        <v>45881.6684606482</v>
      </c>
      <c r="J27" s="176">
        <f>Report!$N$5</f>
        <v>0</v>
      </c>
      <c r="K27" s="176"/>
      <c r="L27" s="176">
        <f>Report!$C$6</f>
        <v>0</v>
      </c>
      <c r="M27" s="176">
        <f>Report!$H$6</f>
        <v>0</v>
      </c>
      <c r="N27" s="99" t="str">
        <f>基线暗噪声检验!$D$2</f>
        <v>未检测</v>
      </c>
      <c r="O27" s="176"/>
      <c r="P27" s="99">
        <v>5001</v>
      </c>
    </row>
    <row r="28" spans="1:16">
      <c r="A28" s="99">
        <v>6002</v>
      </c>
      <c r="B28" s="175" t="str">
        <f ca="1" t="shared" si="0"/>
        <v>T500</v>
      </c>
      <c r="C28" s="99">
        <f>光谱带宽与仪器最小光谱带宽!$C2</f>
        <v>2</v>
      </c>
      <c r="D28" s="176">
        <f>光谱带宽与仪器最小光谱带宽!$D2</f>
        <v>0</v>
      </c>
      <c r="E28" s="176"/>
      <c r="F28" s="176"/>
      <c r="G28" s="176"/>
      <c r="H28" s="176">
        <f>Report!$F$5</f>
        <v>0</v>
      </c>
      <c r="I28" s="179">
        <f ca="1" t="shared" si="1"/>
        <v>45881.6684606482</v>
      </c>
      <c r="J28" s="176">
        <f>Report!$N$5</f>
        <v>0</v>
      </c>
      <c r="K28" s="176"/>
      <c r="L28" s="176">
        <f>Report!$C$6</f>
        <v>0</v>
      </c>
      <c r="M28" s="176">
        <f>Report!$H$6</f>
        <v>0</v>
      </c>
      <c r="N28" s="99" t="str">
        <f>光谱带宽与仪器最小光谱带宽!$G2</f>
        <v>未检测</v>
      </c>
      <c r="O28" s="176"/>
      <c r="P28" s="99">
        <v>6001</v>
      </c>
    </row>
    <row r="29" spans="1:16">
      <c r="A29" s="99">
        <v>7001</v>
      </c>
      <c r="B29" s="175" t="str">
        <f ca="1" t="shared" si="0"/>
        <v>T500</v>
      </c>
      <c r="C29" s="99">
        <f>噪声检验!$B2</f>
        <v>500</v>
      </c>
      <c r="D29" s="176">
        <f>噪声检验!$C2</f>
        <v>0</v>
      </c>
      <c r="E29" s="176"/>
      <c r="F29" s="176"/>
      <c r="G29" s="176"/>
      <c r="H29" s="176">
        <f>Report!$F$5</f>
        <v>0</v>
      </c>
      <c r="I29" s="179">
        <f ca="1" t="shared" si="1"/>
        <v>45881.6684606482</v>
      </c>
      <c r="J29" s="176">
        <f>Report!$N$5</f>
        <v>0</v>
      </c>
      <c r="K29" s="176"/>
      <c r="L29" s="176">
        <f>Report!$C$6</f>
        <v>0</v>
      </c>
      <c r="M29" s="176">
        <f>Report!$H$6</f>
        <v>0</v>
      </c>
      <c r="N29" s="99" t="str">
        <f>噪声检验!$E2</f>
        <v>未检测</v>
      </c>
      <c r="O29" s="176"/>
      <c r="P29" s="99">
        <v>7001</v>
      </c>
    </row>
    <row r="30" spans="1:16">
      <c r="A30" s="99">
        <v>7002</v>
      </c>
      <c r="B30" s="175" t="str">
        <f ca="1" t="shared" si="0"/>
        <v>T500</v>
      </c>
      <c r="C30" s="99">
        <f>噪声检验!$B3</f>
        <v>500</v>
      </c>
      <c r="D30" s="176">
        <f>噪声检验!$C3</f>
        <v>0</v>
      </c>
      <c r="E30" s="176"/>
      <c r="F30" s="176"/>
      <c r="G30" s="176"/>
      <c r="H30" s="176">
        <f>Report!$F$5</f>
        <v>0</v>
      </c>
      <c r="I30" s="179">
        <f ca="1" t="shared" si="1"/>
        <v>45881.6684606482</v>
      </c>
      <c r="J30" s="176">
        <f>Report!$N$5</f>
        <v>0</v>
      </c>
      <c r="K30" s="176"/>
      <c r="L30" s="176">
        <f>Report!$C$6</f>
        <v>0</v>
      </c>
      <c r="M30" s="176">
        <f>Report!$H$6</f>
        <v>0</v>
      </c>
      <c r="N30" s="99" t="str">
        <f>噪声检验!$E3</f>
        <v>未检测</v>
      </c>
      <c r="O30" s="176"/>
      <c r="P30" s="99">
        <v>7002</v>
      </c>
    </row>
    <row r="31" spans="1:16">
      <c r="A31" s="99">
        <v>7003</v>
      </c>
      <c r="B31" s="175" t="str">
        <f ca="1" t="shared" si="0"/>
        <v>T500</v>
      </c>
      <c r="C31" s="99">
        <f>噪声检验!$B4</f>
        <v>250</v>
      </c>
      <c r="D31" s="176">
        <f>噪声检验!$C4</f>
        <v>0</v>
      </c>
      <c r="E31" s="176"/>
      <c r="F31" s="176"/>
      <c r="G31" s="176"/>
      <c r="H31" s="176">
        <f>Report!$F$5</f>
        <v>0</v>
      </c>
      <c r="I31" s="179">
        <f ca="1" t="shared" si="1"/>
        <v>45881.6684606482</v>
      </c>
      <c r="J31" s="176">
        <f>Report!$N$5</f>
        <v>0</v>
      </c>
      <c r="K31" s="176"/>
      <c r="L31" s="176">
        <f>Report!$C$6</f>
        <v>0</v>
      </c>
      <c r="M31" s="176">
        <f>Report!$H$6</f>
        <v>0</v>
      </c>
      <c r="N31" s="99" t="str">
        <f>噪声检验!$E4</f>
        <v>未检测</v>
      </c>
      <c r="O31" s="176"/>
      <c r="P31" s="99">
        <v>7003</v>
      </c>
    </row>
    <row r="32" spans="1:16">
      <c r="A32" s="99">
        <v>7004</v>
      </c>
      <c r="B32" s="175" t="str">
        <f ca="1" t="shared" si="0"/>
        <v>T500</v>
      </c>
      <c r="C32" s="99">
        <f>噪声检验!$B5</f>
        <v>250</v>
      </c>
      <c r="D32" s="176">
        <f>噪声检验!$C5</f>
        <v>0</v>
      </c>
      <c r="E32" s="176"/>
      <c r="F32" s="176"/>
      <c r="G32" s="176"/>
      <c r="H32" s="176">
        <f>Report!$F$5</f>
        <v>0</v>
      </c>
      <c r="I32" s="179">
        <f ca="1" t="shared" si="1"/>
        <v>45881.6684606482</v>
      </c>
      <c r="J32" s="176">
        <f>Report!$N$5</f>
        <v>0</v>
      </c>
      <c r="K32" s="176"/>
      <c r="L32" s="176">
        <f>Report!$C$6</f>
        <v>0</v>
      </c>
      <c r="M32" s="176">
        <f>Report!$H$6</f>
        <v>0</v>
      </c>
      <c r="N32" s="99" t="str">
        <f>噪声检验!$E5</f>
        <v>未检测</v>
      </c>
      <c r="O32" s="176"/>
      <c r="P32" s="99">
        <v>7004</v>
      </c>
    </row>
    <row r="33" spans="1:16">
      <c r="A33" s="99">
        <v>8001</v>
      </c>
      <c r="B33" s="175" t="str">
        <f ca="1" t="shared" si="0"/>
        <v>T500</v>
      </c>
      <c r="C33" s="99">
        <f>波长边缘噪声!$B2</f>
        <v>1090</v>
      </c>
      <c r="D33" s="176">
        <f>波长边缘噪声!$C2</f>
        <v>0</v>
      </c>
      <c r="E33" s="176"/>
      <c r="F33" s="176"/>
      <c r="G33" s="176"/>
      <c r="H33" s="176">
        <f>Report!$F$5</f>
        <v>0</v>
      </c>
      <c r="I33" s="179">
        <f ca="1" t="shared" si="1"/>
        <v>45881.6684606482</v>
      </c>
      <c r="J33" s="176">
        <f>Report!$N$5</f>
        <v>0</v>
      </c>
      <c r="K33" s="176"/>
      <c r="L33" s="176">
        <f>Report!$C$6</f>
        <v>0</v>
      </c>
      <c r="M33" s="176">
        <f>Report!$H$6</f>
        <v>0</v>
      </c>
      <c r="N33" s="99" t="str">
        <f>波长边缘噪声!$E2</f>
        <v>未检测</v>
      </c>
      <c r="O33" s="176"/>
      <c r="P33" s="99">
        <v>8001</v>
      </c>
    </row>
    <row r="34" spans="1:16">
      <c r="A34" s="99">
        <v>8002</v>
      </c>
      <c r="B34" s="175" t="str">
        <f ca="1" t="shared" si="0"/>
        <v>T500</v>
      </c>
      <c r="C34" s="99">
        <f>波长边缘噪声!$B3</f>
        <v>1090</v>
      </c>
      <c r="D34" s="176">
        <f>波长边缘噪声!$C3</f>
        <v>0</v>
      </c>
      <c r="E34" s="176"/>
      <c r="F34" s="176"/>
      <c r="G34" s="176"/>
      <c r="H34" s="176">
        <f>Report!$F$5</f>
        <v>0</v>
      </c>
      <c r="I34" s="179">
        <f ca="1" t="shared" si="1"/>
        <v>45881.6684606482</v>
      </c>
      <c r="J34" s="176">
        <f>Report!$N$5</f>
        <v>0</v>
      </c>
      <c r="K34" s="176"/>
      <c r="L34" s="176">
        <f>Report!$C$6</f>
        <v>0</v>
      </c>
      <c r="M34" s="176">
        <f>Report!$H$6</f>
        <v>0</v>
      </c>
      <c r="N34" s="99" t="str">
        <f>波长边缘噪声!$E3</f>
        <v>未检测</v>
      </c>
      <c r="O34" s="176"/>
      <c r="P34" s="99">
        <v>8002</v>
      </c>
    </row>
    <row r="35" spans="1:16">
      <c r="A35" s="99">
        <v>8003</v>
      </c>
      <c r="B35" s="175" t="str">
        <f ca="1" t="shared" si="0"/>
        <v>T500</v>
      </c>
      <c r="C35" s="99">
        <f>波长边缘噪声!$B4</f>
        <v>200</v>
      </c>
      <c r="D35" s="176">
        <f>波长边缘噪声!$C4</f>
        <v>0</v>
      </c>
      <c r="E35" s="176"/>
      <c r="F35" s="176"/>
      <c r="G35" s="176"/>
      <c r="H35" s="176">
        <f>Report!$F$5</f>
        <v>0</v>
      </c>
      <c r="I35" s="179">
        <f ca="1" t="shared" si="1"/>
        <v>45881.6684606482</v>
      </c>
      <c r="J35" s="176">
        <f>Report!$N$5</f>
        <v>0</v>
      </c>
      <c r="K35" s="176"/>
      <c r="L35" s="176">
        <f>Report!$C$6</f>
        <v>0</v>
      </c>
      <c r="M35" s="176">
        <f>Report!$H$6</f>
        <v>0</v>
      </c>
      <c r="N35" s="99" t="str">
        <f>波长边缘噪声!$E4</f>
        <v>未检测</v>
      </c>
      <c r="O35" s="176"/>
      <c r="P35" s="99">
        <v>8003</v>
      </c>
    </row>
    <row r="36" spans="1:16">
      <c r="A36" s="100">
        <v>8004</v>
      </c>
      <c r="B36" s="175" t="str">
        <f ca="1" t="shared" si="0"/>
        <v>T500</v>
      </c>
      <c r="C36" s="99">
        <f>波长边缘噪声!$B5</f>
        <v>200</v>
      </c>
      <c r="D36" s="176">
        <f>波长边缘噪声!$C5</f>
        <v>0</v>
      </c>
      <c r="E36" s="176"/>
      <c r="F36" s="176"/>
      <c r="G36" s="176"/>
      <c r="H36" s="176">
        <f>Report!$F$5</f>
        <v>0</v>
      </c>
      <c r="I36" s="179">
        <f ca="1" t="shared" si="1"/>
        <v>45881.6684606482</v>
      </c>
      <c r="J36" s="176">
        <f>Report!$N$5</f>
        <v>0</v>
      </c>
      <c r="K36" s="176"/>
      <c r="L36" s="176">
        <f>Report!$C$6</f>
        <v>0</v>
      </c>
      <c r="M36" s="176">
        <f>Report!$H$6</f>
        <v>0</v>
      </c>
      <c r="N36" s="99" t="str">
        <f>波长边缘噪声!$E5</f>
        <v>未检测</v>
      </c>
      <c r="O36" s="176"/>
      <c r="P36" s="99">
        <v>8004</v>
      </c>
    </row>
    <row r="37" spans="1:16">
      <c r="A37" s="100">
        <v>9001</v>
      </c>
      <c r="B37" s="175" t="str">
        <f ca="1" t="shared" si="0"/>
        <v>T500</v>
      </c>
      <c r="C37" s="99">
        <f>漂移检验!$B$2</f>
        <v>500</v>
      </c>
      <c r="D37" s="176">
        <f>漂移检验!$C$2</f>
        <v>0</v>
      </c>
      <c r="E37" s="176"/>
      <c r="F37" s="176"/>
      <c r="G37" s="176"/>
      <c r="H37" s="176">
        <f>Report!$F$5</f>
        <v>0</v>
      </c>
      <c r="I37" s="179">
        <f ca="1" t="shared" si="1"/>
        <v>45881.6684606482</v>
      </c>
      <c r="J37" s="176">
        <f>Report!$N$5</f>
        <v>0</v>
      </c>
      <c r="K37" s="176"/>
      <c r="L37" s="176">
        <f>Report!$C$6</f>
        <v>0</v>
      </c>
      <c r="M37" s="176">
        <f>Report!$H$6</f>
        <v>0</v>
      </c>
      <c r="N37" s="99" t="str">
        <f>漂移检验!$E$2</f>
        <v>未检测</v>
      </c>
      <c r="O37" s="176"/>
      <c r="P37" s="99">
        <v>9001</v>
      </c>
    </row>
    <row r="38" spans="8:8">
      <c r="H38" s="171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showGridLines="0" topLeftCell="C1" workbookViewId="0">
      <selection activeCell="K41" sqref="K41"/>
    </sheetView>
  </sheetViews>
  <sheetFormatPr defaultColWidth="9" defaultRowHeight="13.5"/>
  <cols>
    <col min="1" max="1" width="9" style="141"/>
    <col min="2" max="2" width="17.2166666666667" style="141" customWidth="1"/>
    <col min="3" max="3" width="29.2166666666667" style="141" customWidth="1"/>
    <col min="4" max="4" width="12.3333333333333" style="141" customWidth="1"/>
    <col min="5" max="5" width="22.6666666666667" style="142" customWidth="1"/>
    <col min="6" max="6" width="9" style="141"/>
    <col min="7" max="7" width="16.8833333333333" style="141" customWidth="1"/>
    <col min="8" max="8" width="29.2166666666667" style="141" customWidth="1"/>
    <col min="9" max="9" width="12.3333333333333" style="141" customWidth="1"/>
    <col min="10" max="10" width="3.775" style="141" customWidth="1"/>
    <col min="11" max="11" width="17.2166666666667" style="141" customWidth="1"/>
    <col min="12" max="12" width="16.8833333333333" style="141" customWidth="1"/>
    <col min="13" max="13" width="12.3333333333333" style="143" customWidth="1"/>
    <col min="14" max="14" width="5.775" style="141" customWidth="1"/>
    <col min="15" max="15" width="11.6666666666667" style="141" customWidth="1"/>
    <col min="16" max="16" width="5.775" style="141" customWidth="1"/>
    <col min="17" max="17" width="20.3333333333333" style="141" customWidth="1"/>
    <col min="18" max="18" width="14.8833333333333" style="141" customWidth="1"/>
    <col min="19" max="20" width="13.8833333333333" style="141" customWidth="1"/>
    <col min="21" max="21" width="19" style="141" customWidth="1"/>
    <col min="22" max="22" width="7.44166666666667" style="141" customWidth="1"/>
    <col min="23" max="23" width="19.3333333333333" style="141" customWidth="1"/>
    <col min="24" max="25" width="13.8833333333333" style="141" customWidth="1"/>
    <col min="26" max="26" width="14.8833333333333" style="141" customWidth="1"/>
    <col min="27" max="16384" width="9" style="141"/>
  </cols>
  <sheetData>
    <row r="1" spans="1:15">
      <c r="A1" s="144" t="s">
        <v>16</v>
      </c>
      <c r="B1" s="145"/>
      <c r="C1" s="145"/>
      <c r="D1" s="145"/>
      <c r="E1" s="145"/>
      <c r="F1" s="145"/>
      <c r="G1" s="145"/>
      <c r="H1" s="146"/>
      <c r="M1" s="141"/>
      <c r="O1" s="142"/>
    </row>
    <row r="2" spans="1:15">
      <c r="A2" s="147" t="s">
        <v>7</v>
      </c>
      <c r="B2" s="147" t="s">
        <v>173</v>
      </c>
      <c r="C2" s="147" t="s">
        <v>174</v>
      </c>
      <c r="D2" s="147" t="s">
        <v>175</v>
      </c>
      <c r="E2" s="147" t="s">
        <v>176</v>
      </c>
      <c r="F2" s="147" t="s">
        <v>120</v>
      </c>
      <c r="G2" s="148" t="s">
        <v>177</v>
      </c>
      <c r="H2" s="147" t="s">
        <v>178</v>
      </c>
      <c r="M2" s="141"/>
      <c r="O2" s="142"/>
    </row>
    <row r="3" spans="1:15">
      <c r="A3" s="138" t="s">
        <v>179</v>
      </c>
      <c r="B3" s="138">
        <v>1000</v>
      </c>
      <c r="C3" s="138" t="s">
        <v>180</v>
      </c>
      <c r="D3" s="138">
        <v>1001</v>
      </c>
      <c r="E3" s="149" t="s">
        <v>24</v>
      </c>
      <c r="F3" s="150" t="s">
        <v>181</v>
      </c>
      <c r="G3" s="151">
        <v>0.1</v>
      </c>
      <c r="H3" s="152">
        <v>0.1</v>
      </c>
      <c r="M3" s="141"/>
      <c r="O3" s="142"/>
    </row>
    <row r="4" spans="1:15">
      <c r="A4" s="138" t="s">
        <v>179</v>
      </c>
      <c r="B4" s="138">
        <v>1000</v>
      </c>
      <c r="C4" s="138" t="s">
        <v>180</v>
      </c>
      <c r="D4" s="138">
        <v>1002</v>
      </c>
      <c r="E4" s="149" t="s">
        <v>24</v>
      </c>
      <c r="F4" s="138">
        <v>486</v>
      </c>
      <c r="G4" s="151">
        <v>0.3</v>
      </c>
      <c r="H4" s="152">
        <v>0.1</v>
      </c>
      <c r="M4" s="141"/>
      <c r="O4" s="142"/>
    </row>
    <row r="5" spans="1:19">
      <c r="A5" s="138" t="s">
        <v>179</v>
      </c>
      <c r="B5" s="138">
        <v>1000</v>
      </c>
      <c r="C5" s="138" t="s">
        <v>180</v>
      </c>
      <c r="D5" s="138">
        <v>1003</v>
      </c>
      <c r="E5" s="149" t="s">
        <v>23</v>
      </c>
      <c r="F5" s="150" t="s">
        <v>182</v>
      </c>
      <c r="G5" s="151">
        <v>0.3</v>
      </c>
      <c r="H5" s="152">
        <v>0.1</v>
      </c>
      <c r="J5" s="167"/>
      <c r="K5" s="167"/>
      <c r="L5" s="167"/>
      <c r="M5" s="167"/>
      <c r="S5" s="170"/>
    </row>
    <row r="6" spans="1:13">
      <c r="A6" s="138" t="s">
        <v>179</v>
      </c>
      <c r="B6" s="138">
        <v>1000</v>
      </c>
      <c r="C6" s="138" t="s">
        <v>180</v>
      </c>
      <c r="D6" s="138">
        <v>1008</v>
      </c>
      <c r="E6" s="149" t="s">
        <v>32</v>
      </c>
      <c r="F6" s="150" t="s">
        <v>183</v>
      </c>
      <c r="G6" s="151">
        <v>0.3</v>
      </c>
      <c r="H6" s="152">
        <v>0.1</v>
      </c>
      <c r="I6" s="168"/>
      <c r="J6" s="169"/>
      <c r="K6" s="169"/>
      <c r="M6" s="141"/>
    </row>
    <row r="7" spans="1:13">
      <c r="A7" s="138" t="s">
        <v>179</v>
      </c>
      <c r="B7" s="138">
        <v>1000</v>
      </c>
      <c r="C7" s="138" t="s">
        <v>180</v>
      </c>
      <c r="D7" s="138">
        <v>1009</v>
      </c>
      <c r="E7" s="149" t="s">
        <v>32</v>
      </c>
      <c r="F7" s="150" t="s">
        <v>184</v>
      </c>
      <c r="G7" s="151">
        <v>0.3</v>
      </c>
      <c r="H7" s="152">
        <v>0.1</v>
      </c>
      <c r="J7" s="169"/>
      <c r="K7" s="169"/>
      <c r="M7" s="141"/>
    </row>
    <row r="8" spans="1:13">
      <c r="A8" s="138" t="s">
        <v>179</v>
      </c>
      <c r="B8" s="138">
        <v>1000</v>
      </c>
      <c r="C8" s="138" t="s">
        <v>180</v>
      </c>
      <c r="D8" s="138">
        <v>1010</v>
      </c>
      <c r="E8" s="149" t="s">
        <v>32</v>
      </c>
      <c r="F8" s="150" t="s">
        <v>185</v>
      </c>
      <c r="G8" s="151">
        <v>0.3</v>
      </c>
      <c r="H8" s="152">
        <v>0.1</v>
      </c>
      <c r="J8" s="169"/>
      <c r="K8" s="169"/>
      <c r="M8" s="141"/>
    </row>
    <row r="9" spans="1:13">
      <c r="A9" s="138" t="s">
        <v>179</v>
      </c>
      <c r="B9" s="138">
        <v>1000</v>
      </c>
      <c r="C9" s="138" t="s">
        <v>180</v>
      </c>
      <c r="D9" s="138">
        <v>1011</v>
      </c>
      <c r="E9" s="149" t="s">
        <v>32</v>
      </c>
      <c r="F9" s="150" t="s">
        <v>186</v>
      </c>
      <c r="G9" s="151">
        <v>0.3</v>
      </c>
      <c r="H9" s="152">
        <v>0.1</v>
      </c>
      <c r="J9" s="169"/>
      <c r="K9" s="169"/>
      <c r="M9" s="141"/>
    </row>
    <row r="10" spans="1:13">
      <c r="A10" s="138" t="s">
        <v>179</v>
      </c>
      <c r="B10" s="138">
        <v>1000</v>
      </c>
      <c r="C10" s="138" t="s">
        <v>180</v>
      </c>
      <c r="D10" s="138">
        <v>1012</v>
      </c>
      <c r="E10" s="149" t="s">
        <v>32</v>
      </c>
      <c r="F10" s="150" t="s">
        <v>187</v>
      </c>
      <c r="G10" s="151">
        <v>0.3</v>
      </c>
      <c r="H10" s="152">
        <v>0.1</v>
      </c>
      <c r="J10" s="169"/>
      <c r="K10" s="169"/>
      <c r="M10" s="141"/>
    </row>
    <row r="11" spans="1:13">
      <c r="A11" s="138" t="s">
        <v>179</v>
      </c>
      <c r="B11" s="138">
        <v>1000</v>
      </c>
      <c r="C11" s="138" t="s">
        <v>180</v>
      </c>
      <c r="D11" s="138">
        <v>1013</v>
      </c>
      <c r="E11" s="149" t="s">
        <v>32</v>
      </c>
      <c r="F11" s="150" t="s">
        <v>188</v>
      </c>
      <c r="G11" s="151">
        <v>0.3</v>
      </c>
      <c r="H11" s="152">
        <v>0.1</v>
      </c>
      <c r="J11" s="169"/>
      <c r="K11" s="169"/>
      <c r="M11" s="141"/>
    </row>
    <row r="12" ht="14.25" customHeight="1" spans="1:13">
      <c r="A12" s="138" t="s">
        <v>179</v>
      </c>
      <c r="B12" s="138">
        <v>2000</v>
      </c>
      <c r="C12" s="138" t="s">
        <v>189</v>
      </c>
      <c r="D12" s="138">
        <v>2001</v>
      </c>
      <c r="E12" s="149" t="s">
        <v>49</v>
      </c>
      <c r="F12" s="153" t="s">
        <v>190</v>
      </c>
      <c r="G12" s="154">
        <v>0.3</v>
      </c>
      <c r="H12" s="154">
        <v>0.1</v>
      </c>
      <c r="J12" s="169"/>
      <c r="K12" s="168"/>
      <c r="M12" s="141"/>
    </row>
    <row r="13" ht="25.5" spans="1:13">
      <c r="A13" s="138" t="s">
        <v>179</v>
      </c>
      <c r="B13" s="138">
        <v>2000</v>
      </c>
      <c r="C13" s="138" t="s">
        <v>189</v>
      </c>
      <c r="D13" s="138">
        <v>2002</v>
      </c>
      <c r="E13" s="149" t="s">
        <v>49</v>
      </c>
      <c r="F13" s="153" t="s">
        <v>191</v>
      </c>
      <c r="G13" s="154">
        <v>0.3</v>
      </c>
      <c r="H13" s="154">
        <v>0.1</v>
      </c>
      <c r="J13" s="169"/>
      <c r="K13" s="168"/>
      <c r="M13" s="141"/>
    </row>
    <row r="14" ht="25.5" spans="1:13">
      <c r="A14" s="138" t="s">
        <v>179</v>
      </c>
      <c r="B14" s="138">
        <v>2000</v>
      </c>
      <c r="C14" s="138" t="s">
        <v>189</v>
      </c>
      <c r="D14" s="138">
        <v>2003</v>
      </c>
      <c r="E14" s="149" t="s">
        <v>49</v>
      </c>
      <c r="F14" s="153" t="s">
        <v>192</v>
      </c>
      <c r="G14" s="154">
        <v>0.3</v>
      </c>
      <c r="H14" s="154">
        <v>0.1</v>
      </c>
      <c r="J14" s="169"/>
      <c r="K14" s="168"/>
      <c r="M14" s="141"/>
    </row>
    <row r="15" ht="25.5" spans="1:13">
      <c r="A15" s="138" t="s">
        <v>179</v>
      </c>
      <c r="B15" s="138">
        <v>2000</v>
      </c>
      <c r="C15" s="138" t="s">
        <v>189</v>
      </c>
      <c r="D15" s="138">
        <v>2004</v>
      </c>
      <c r="E15" s="149" t="s">
        <v>49</v>
      </c>
      <c r="F15" s="153" t="s">
        <v>193</v>
      </c>
      <c r="G15" s="154">
        <v>0.3</v>
      </c>
      <c r="H15" s="154">
        <v>0.1</v>
      </c>
      <c r="J15" s="169"/>
      <c r="K15" s="168"/>
      <c r="M15" s="141"/>
    </row>
    <row r="16" spans="1:13">
      <c r="A16" s="138" t="s">
        <v>179</v>
      </c>
      <c r="B16" s="138">
        <v>2000</v>
      </c>
      <c r="C16" s="138" t="s">
        <v>189</v>
      </c>
      <c r="D16" s="138">
        <v>2005</v>
      </c>
      <c r="E16" s="153" t="s">
        <v>38</v>
      </c>
      <c r="F16" s="153" t="s">
        <v>194</v>
      </c>
      <c r="G16" s="154">
        <v>0.3</v>
      </c>
      <c r="H16" s="154">
        <v>0.1</v>
      </c>
      <c r="M16" s="141"/>
    </row>
    <row r="17" spans="1:13">
      <c r="A17" s="138" t="s">
        <v>179</v>
      </c>
      <c r="B17" s="138">
        <v>2000</v>
      </c>
      <c r="C17" s="138" t="s">
        <v>189</v>
      </c>
      <c r="D17" s="138">
        <v>2006</v>
      </c>
      <c r="E17" s="153" t="s">
        <v>38</v>
      </c>
      <c r="F17" s="153" t="s">
        <v>195</v>
      </c>
      <c r="G17" s="154">
        <v>0.3</v>
      </c>
      <c r="H17" s="154">
        <v>0.1</v>
      </c>
      <c r="M17" s="141"/>
    </row>
    <row r="18" spans="1:13">
      <c r="A18" s="138" t="s">
        <v>179</v>
      </c>
      <c r="B18" s="138">
        <v>2000</v>
      </c>
      <c r="C18" s="138" t="s">
        <v>189</v>
      </c>
      <c r="D18" s="138">
        <v>2007</v>
      </c>
      <c r="E18" s="153" t="s">
        <v>38</v>
      </c>
      <c r="F18" s="153" t="s">
        <v>196</v>
      </c>
      <c r="G18" s="154">
        <v>0.3</v>
      </c>
      <c r="H18" s="154">
        <v>0.1</v>
      </c>
      <c r="M18" s="141"/>
    </row>
    <row r="19" spans="1:13">
      <c r="A19" s="138" t="s">
        <v>179</v>
      </c>
      <c r="B19" s="138">
        <v>2000</v>
      </c>
      <c r="C19" s="138" t="s">
        <v>189</v>
      </c>
      <c r="D19" s="138">
        <v>2008</v>
      </c>
      <c r="E19" s="153" t="s">
        <v>44</v>
      </c>
      <c r="F19" s="153" t="s">
        <v>194</v>
      </c>
      <c r="G19" s="154">
        <v>0.3</v>
      </c>
      <c r="H19" s="154">
        <v>0.1</v>
      </c>
      <c r="M19" s="141"/>
    </row>
    <row r="20" spans="1:13">
      <c r="A20" s="138" t="s">
        <v>179</v>
      </c>
      <c r="B20" s="138">
        <v>2000</v>
      </c>
      <c r="C20" s="138" t="s">
        <v>189</v>
      </c>
      <c r="D20" s="138">
        <v>2009</v>
      </c>
      <c r="E20" s="153" t="s">
        <v>44</v>
      </c>
      <c r="F20" s="153" t="s">
        <v>195</v>
      </c>
      <c r="G20" s="154">
        <v>0.3</v>
      </c>
      <c r="H20" s="154">
        <v>0.1</v>
      </c>
      <c r="M20" s="141"/>
    </row>
    <row r="21" spans="1:13">
      <c r="A21" s="138" t="s">
        <v>179</v>
      </c>
      <c r="B21" s="138">
        <v>2000</v>
      </c>
      <c r="C21" s="138" t="s">
        <v>189</v>
      </c>
      <c r="D21" s="138">
        <v>2010</v>
      </c>
      <c r="E21" s="153" t="s">
        <v>44</v>
      </c>
      <c r="F21" s="153" t="s">
        <v>196</v>
      </c>
      <c r="G21" s="154">
        <v>0.3</v>
      </c>
      <c r="H21" s="154">
        <v>0.1</v>
      </c>
      <c r="M21" s="141"/>
    </row>
    <row r="22" spans="1:13">
      <c r="A22" s="138" t="s">
        <v>179</v>
      </c>
      <c r="B22" s="138">
        <v>2000</v>
      </c>
      <c r="C22" s="138" t="s">
        <v>189</v>
      </c>
      <c r="D22" s="138">
        <v>2011</v>
      </c>
      <c r="E22" s="153" t="s">
        <v>46</v>
      </c>
      <c r="F22" s="153" t="s">
        <v>194</v>
      </c>
      <c r="G22" s="154">
        <v>0.3</v>
      </c>
      <c r="H22" s="154">
        <v>0.1</v>
      </c>
      <c r="M22" s="141"/>
    </row>
    <row r="23" spans="1:13">
      <c r="A23" s="138" t="s">
        <v>179</v>
      </c>
      <c r="B23" s="138">
        <v>2000</v>
      </c>
      <c r="C23" s="138" t="s">
        <v>189</v>
      </c>
      <c r="D23" s="138">
        <v>2012</v>
      </c>
      <c r="E23" s="153" t="s">
        <v>46</v>
      </c>
      <c r="F23" s="153" t="s">
        <v>195</v>
      </c>
      <c r="G23" s="154">
        <v>0.3</v>
      </c>
      <c r="H23" s="154">
        <v>0.1</v>
      </c>
      <c r="M23" s="141"/>
    </row>
    <row r="24" spans="1:13">
      <c r="A24" s="138" t="s">
        <v>179</v>
      </c>
      <c r="B24" s="138">
        <v>2000</v>
      </c>
      <c r="C24" s="138" t="s">
        <v>189</v>
      </c>
      <c r="D24" s="138">
        <v>2013</v>
      </c>
      <c r="E24" s="153" t="s">
        <v>46</v>
      </c>
      <c r="F24" s="153" t="s">
        <v>196</v>
      </c>
      <c r="G24" s="154">
        <v>0.3</v>
      </c>
      <c r="H24" s="154">
        <v>0.1</v>
      </c>
      <c r="M24" s="141"/>
    </row>
    <row r="25" spans="1:13">
      <c r="A25" s="138" t="s">
        <v>179</v>
      </c>
      <c r="B25" s="138">
        <v>3000</v>
      </c>
      <c r="C25" s="138" t="s">
        <v>197</v>
      </c>
      <c r="D25" s="138">
        <v>3001</v>
      </c>
      <c r="E25" s="155" t="s">
        <v>56</v>
      </c>
      <c r="F25" s="156" t="s">
        <v>54</v>
      </c>
      <c r="G25" s="157">
        <v>0.01</v>
      </c>
      <c r="H25" s="138"/>
      <c r="M25" s="141"/>
    </row>
    <row r="26" spans="1:13">
      <c r="A26" s="138" t="s">
        <v>179</v>
      </c>
      <c r="B26" s="138">
        <v>3000</v>
      </c>
      <c r="C26" s="138" t="s">
        <v>197</v>
      </c>
      <c r="D26" s="138">
        <v>3002</v>
      </c>
      <c r="E26" s="155" t="s">
        <v>60</v>
      </c>
      <c r="F26" s="156" t="s">
        <v>58</v>
      </c>
      <c r="G26" s="157">
        <v>0.02</v>
      </c>
      <c r="H26" s="138"/>
      <c r="M26" s="141"/>
    </row>
    <row r="27" spans="1:13">
      <c r="A27" s="138" t="s">
        <v>179</v>
      </c>
      <c r="B27" s="138">
        <v>4000</v>
      </c>
      <c r="C27" s="138" t="s">
        <v>198</v>
      </c>
      <c r="D27" s="138">
        <v>4001</v>
      </c>
      <c r="E27" s="155" t="s">
        <v>61</v>
      </c>
      <c r="F27" s="138"/>
      <c r="G27" s="158">
        <v>0.0005</v>
      </c>
      <c r="H27" s="138"/>
      <c r="M27" s="141"/>
    </row>
    <row r="28" spans="1:13">
      <c r="A28" s="138" t="s">
        <v>179</v>
      </c>
      <c r="B28" s="138">
        <v>5000</v>
      </c>
      <c r="C28" s="138" t="s">
        <v>199</v>
      </c>
      <c r="D28" s="138">
        <v>5001</v>
      </c>
      <c r="E28" s="155" t="s">
        <v>64</v>
      </c>
      <c r="F28" s="138"/>
      <c r="G28" s="159">
        <v>0.1</v>
      </c>
      <c r="H28" s="138"/>
      <c r="M28" s="141"/>
    </row>
    <row r="29" spans="1:13">
      <c r="A29" s="138" t="s">
        <v>179</v>
      </c>
      <c r="B29" s="138">
        <v>6000</v>
      </c>
      <c r="C29" s="138" t="s">
        <v>200</v>
      </c>
      <c r="D29" s="138">
        <v>6002</v>
      </c>
      <c r="E29" s="155" t="s">
        <v>69</v>
      </c>
      <c r="F29" s="155">
        <v>656.1</v>
      </c>
      <c r="G29" s="160">
        <v>20</v>
      </c>
      <c r="H29" s="138"/>
      <c r="M29" s="141"/>
    </row>
    <row r="30" spans="1:13">
      <c r="A30" s="138" t="s">
        <v>179</v>
      </c>
      <c r="B30" s="138">
        <v>7000</v>
      </c>
      <c r="C30" s="138" t="s">
        <v>201</v>
      </c>
      <c r="D30" s="138">
        <v>7001</v>
      </c>
      <c r="E30" s="154" t="s">
        <v>202</v>
      </c>
      <c r="F30" s="161">
        <v>500</v>
      </c>
      <c r="G30" s="162">
        <v>0.05</v>
      </c>
      <c r="H30" s="138"/>
      <c r="M30" s="141"/>
    </row>
    <row r="31" spans="1:13">
      <c r="A31" s="138" t="s">
        <v>179</v>
      </c>
      <c r="B31" s="138">
        <v>7000</v>
      </c>
      <c r="C31" s="138" t="s">
        <v>201</v>
      </c>
      <c r="D31" s="138">
        <v>7002</v>
      </c>
      <c r="E31" s="154" t="s">
        <v>203</v>
      </c>
      <c r="F31" s="161">
        <v>500</v>
      </c>
      <c r="G31" s="163">
        <v>0.005</v>
      </c>
      <c r="H31" s="138"/>
      <c r="M31" s="141"/>
    </row>
    <row r="32" spans="1:13">
      <c r="A32" s="138" t="s">
        <v>179</v>
      </c>
      <c r="B32" s="138">
        <v>7000</v>
      </c>
      <c r="C32" s="138" t="s">
        <v>201</v>
      </c>
      <c r="D32" s="138">
        <v>7003</v>
      </c>
      <c r="E32" s="154" t="s">
        <v>204</v>
      </c>
      <c r="F32" s="161">
        <v>250</v>
      </c>
      <c r="G32" s="162">
        <v>0.05</v>
      </c>
      <c r="H32" s="138"/>
      <c r="M32" s="141"/>
    </row>
    <row r="33" spans="1:13">
      <c r="A33" s="138" t="s">
        <v>179</v>
      </c>
      <c r="B33" s="138">
        <v>7000</v>
      </c>
      <c r="C33" s="138" t="s">
        <v>201</v>
      </c>
      <c r="D33" s="138">
        <v>7004</v>
      </c>
      <c r="E33" s="154" t="s">
        <v>205</v>
      </c>
      <c r="F33" s="161">
        <v>250</v>
      </c>
      <c r="G33" s="163">
        <v>0.005</v>
      </c>
      <c r="H33" s="138"/>
      <c r="M33" s="141"/>
    </row>
    <row r="34" spans="1:13">
      <c r="A34" s="138" t="s">
        <v>179</v>
      </c>
      <c r="B34" s="138">
        <v>8000</v>
      </c>
      <c r="C34" s="138" t="s">
        <v>206</v>
      </c>
      <c r="D34" s="138">
        <v>8001</v>
      </c>
      <c r="E34" s="154" t="s">
        <v>207</v>
      </c>
      <c r="F34" s="161">
        <v>1090</v>
      </c>
      <c r="G34" s="164">
        <v>0.1</v>
      </c>
      <c r="H34" s="138"/>
      <c r="M34" s="141"/>
    </row>
    <row r="35" spans="1:13">
      <c r="A35" s="138" t="s">
        <v>179</v>
      </c>
      <c r="B35" s="138">
        <v>8000</v>
      </c>
      <c r="C35" s="138" t="s">
        <v>206</v>
      </c>
      <c r="D35" s="138">
        <v>8002</v>
      </c>
      <c r="E35" s="154" t="s">
        <v>208</v>
      </c>
      <c r="F35" s="161">
        <v>1090</v>
      </c>
      <c r="G35" s="162">
        <v>0.02</v>
      </c>
      <c r="H35" s="138"/>
      <c r="M35" s="141"/>
    </row>
    <row r="36" spans="1:13">
      <c r="A36" s="138" t="s">
        <v>179</v>
      </c>
      <c r="B36" s="138">
        <v>8000</v>
      </c>
      <c r="C36" s="138" t="s">
        <v>206</v>
      </c>
      <c r="D36" s="138">
        <v>8003</v>
      </c>
      <c r="E36" s="154" t="s">
        <v>209</v>
      </c>
      <c r="F36" s="161">
        <v>200</v>
      </c>
      <c r="G36" s="164">
        <v>0.1</v>
      </c>
      <c r="H36" s="138"/>
      <c r="M36" s="141"/>
    </row>
    <row r="37" spans="1:13">
      <c r="A37" s="138" t="s">
        <v>179</v>
      </c>
      <c r="B37" s="139">
        <v>8000</v>
      </c>
      <c r="C37" s="139" t="s">
        <v>206</v>
      </c>
      <c r="D37" s="139">
        <v>8004</v>
      </c>
      <c r="E37" s="165" t="s">
        <v>210</v>
      </c>
      <c r="F37" s="161">
        <v>200</v>
      </c>
      <c r="G37" s="162">
        <v>0.02</v>
      </c>
      <c r="H37" s="139"/>
      <c r="M37" s="141"/>
    </row>
    <row r="38" spans="1:13">
      <c r="A38" s="138" t="s">
        <v>179</v>
      </c>
      <c r="B38" s="139">
        <v>9000</v>
      </c>
      <c r="C38" s="139" t="s">
        <v>211</v>
      </c>
      <c r="D38" s="139">
        <v>9001</v>
      </c>
      <c r="E38" s="155" t="s">
        <v>211</v>
      </c>
      <c r="F38" s="165" t="s">
        <v>212</v>
      </c>
      <c r="G38" s="166">
        <v>0.1</v>
      </c>
      <c r="H38" s="139"/>
      <c r="M38" s="141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9" defaultRowHeight="13.5" outlineLevelCol="4"/>
  <cols>
    <col min="1" max="1" width="10.1083333333333" style="135" customWidth="1"/>
    <col min="2" max="2" width="12.4416666666667" style="135" customWidth="1"/>
    <col min="4" max="4" width="29.2166666666667" customWidth="1"/>
    <col min="5" max="5" width="12.3333333333333" customWidth="1"/>
    <col min="6" max="6" width="9" customWidth="1"/>
  </cols>
  <sheetData>
    <row r="1" spans="1:5">
      <c r="A1" s="136" t="s">
        <v>8</v>
      </c>
      <c r="B1" s="136" t="s">
        <v>7</v>
      </c>
      <c r="D1" s="9" t="s">
        <v>174</v>
      </c>
      <c r="E1" s="9" t="s">
        <v>173</v>
      </c>
    </row>
    <row r="2" spans="1:5">
      <c r="A2" s="137" t="s">
        <v>213</v>
      </c>
      <c r="B2" s="137" t="s">
        <v>214</v>
      </c>
      <c r="D2" s="138" t="s">
        <v>180</v>
      </c>
      <c r="E2" s="138">
        <v>1000</v>
      </c>
    </row>
    <row r="3" spans="1:5">
      <c r="A3" s="137" t="s">
        <v>215</v>
      </c>
      <c r="B3" s="137" t="s">
        <v>216</v>
      </c>
      <c r="D3" s="138" t="s">
        <v>189</v>
      </c>
      <c r="E3" s="138">
        <v>2000</v>
      </c>
    </row>
    <row r="4" spans="1:5">
      <c r="A4" s="137" t="s">
        <v>217</v>
      </c>
      <c r="B4" s="137" t="s">
        <v>218</v>
      </c>
      <c r="D4" s="138" t="s">
        <v>197</v>
      </c>
      <c r="E4" s="138">
        <v>3000</v>
      </c>
    </row>
    <row r="5" spans="1:5">
      <c r="A5" s="137" t="s">
        <v>219</v>
      </c>
      <c r="B5" s="137" t="s">
        <v>220</v>
      </c>
      <c r="D5" s="138" t="s">
        <v>198</v>
      </c>
      <c r="E5" s="138">
        <v>4000</v>
      </c>
    </row>
    <row r="6" spans="4:5">
      <c r="D6" s="138" t="s">
        <v>199</v>
      </c>
      <c r="E6" s="138">
        <v>5000</v>
      </c>
    </row>
    <row r="7" spans="4:5">
      <c r="D7" s="138" t="s">
        <v>200</v>
      </c>
      <c r="E7" s="138">
        <v>6000</v>
      </c>
    </row>
    <row r="8" spans="4:5">
      <c r="D8" s="138" t="s">
        <v>201</v>
      </c>
      <c r="E8" s="138">
        <v>7000</v>
      </c>
    </row>
    <row r="9" spans="4:5">
      <c r="D9" s="139" t="s">
        <v>206</v>
      </c>
      <c r="E9" s="139">
        <v>8000</v>
      </c>
    </row>
    <row r="10" spans="4:5">
      <c r="D10" s="139" t="s">
        <v>211</v>
      </c>
      <c r="E10" s="139">
        <v>9000</v>
      </c>
    </row>
    <row r="11" spans="4:5">
      <c r="D11" s="140" t="s">
        <v>221</v>
      </c>
      <c r="E11" s="140">
        <v>10000</v>
      </c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"/>
  <sheetViews>
    <sheetView showGridLines="0" zoomScale="66" zoomScaleNormal="66" workbookViewId="0">
      <selection activeCell="E13" sqref="E13"/>
    </sheetView>
  </sheetViews>
  <sheetFormatPr defaultColWidth="8.88333333333333" defaultRowHeight="13.5"/>
  <cols>
    <col min="1" max="1" width="29.2166666666667" style="112" customWidth="1"/>
    <col min="2" max="2" width="18.3333333333333" style="113" customWidth="1"/>
    <col min="3" max="3" width="21.4416666666667" style="113" customWidth="1"/>
    <col min="4" max="4" width="40" style="113" customWidth="1"/>
    <col min="5" max="5" width="46.4416666666667" style="113" customWidth="1"/>
    <col min="6" max="6" width="8.88333333333333" style="113"/>
    <col min="7" max="7" width="10.4416666666667" style="113" customWidth="1"/>
    <col min="8" max="8" width="20.1083333333333" style="113" customWidth="1"/>
    <col min="9" max="9" width="79.4416666666667" style="113" hidden="1" customWidth="1"/>
    <col min="10" max="10" width="15.3333333333333" style="113" customWidth="1"/>
    <col min="11" max="11" width="11.4416666666667" style="113" customWidth="1"/>
    <col min="12" max="12" width="9.66666666666667" style="113" customWidth="1"/>
    <col min="13" max="13" width="8.44166666666667" style="113" customWidth="1"/>
    <col min="14" max="14" width="9.88333333333333" style="113" customWidth="1"/>
    <col min="15" max="15" width="10" style="113" customWidth="1"/>
    <col min="16" max="16" width="9.66666666666667" style="113" customWidth="1"/>
    <col min="17" max="17" width="8.44166666666667" style="113" customWidth="1"/>
    <col min="18" max="18" width="9.10833333333333" style="113" customWidth="1"/>
    <col min="19" max="19" width="9.44166666666667" style="113" customWidth="1"/>
    <col min="20" max="21" width="9.66666666666667" style="113" customWidth="1"/>
    <col min="22" max="22" width="18" style="113" customWidth="1"/>
    <col min="23" max="23" width="12.3333333333333" style="113" customWidth="1"/>
    <col min="24" max="24" width="18.4416666666667" style="113" customWidth="1"/>
    <col min="25" max="25" width="19.3333333333333" style="113" customWidth="1"/>
    <col min="26" max="26" width="15.1083333333333" style="114" customWidth="1"/>
    <col min="27" max="27" width="11.6666666666667" style="114" customWidth="1"/>
    <col min="28" max="28" width="17.2166666666667" style="115" customWidth="1"/>
    <col min="29" max="29" width="27.3333333333333" style="113" customWidth="1"/>
    <col min="30" max="16384" width="8.88333333333333" style="113"/>
  </cols>
  <sheetData>
    <row r="1" s="110" customFormat="1" ht="40.5" spans="1:28">
      <c r="A1" s="116" t="s">
        <v>222</v>
      </c>
      <c r="B1" s="116" t="s">
        <v>223</v>
      </c>
      <c r="C1" s="116" t="s">
        <v>224</v>
      </c>
      <c r="D1" s="116" t="s">
        <v>225</v>
      </c>
      <c r="E1" s="116" t="s">
        <v>226</v>
      </c>
      <c r="F1" s="116" t="s">
        <v>128</v>
      </c>
      <c r="G1" s="116" t="s">
        <v>227</v>
      </c>
      <c r="H1" s="116" t="s">
        <v>120</v>
      </c>
      <c r="I1" s="125" t="s">
        <v>228</v>
      </c>
      <c r="J1" s="116" t="s">
        <v>228</v>
      </c>
      <c r="K1" s="126" t="s">
        <v>123</v>
      </c>
      <c r="L1" s="126" t="s">
        <v>229</v>
      </c>
      <c r="M1" s="126" t="s">
        <v>126</v>
      </c>
      <c r="N1" s="126" t="s">
        <v>230</v>
      </c>
      <c r="O1" s="126" t="s">
        <v>231</v>
      </c>
      <c r="P1" s="126" t="s">
        <v>232</v>
      </c>
      <c r="Q1" s="126" t="s">
        <v>131</v>
      </c>
      <c r="R1" s="126" t="s">
        <v>66</v>
      </c>
      <c r="S1" s="126" t="s">
        <v>233</v>
      </c>
      <c r="T1" s="126" t="s">
        <v>234</v>
      </c>
      <c r="U1" s="126" t="s">
        <v>132</v>
      </c>
      <c r="V1" s="116" t="s">
        <v>122</v>
      </c>
      <c r="W1" s="116" t="s">
        <v>235</v>
      </c>
      <c r="X1" s="116" t="s">
        <v>236</v>
      </c>
      <c r="Y1" s="116" t="s">
        <v>237</v>
      </c>
      <c r="Z1" s="116" t="s">
        <v>173</v>
      </c>
      <c r="AA1" s="116" t="s">
        <v>175</v>
      </c>
      <c r="AB1" s="130" t="s">
        <v>121</v>
      </c>
    </row>
    <row r="2" ht="44.25" customHeight="1" spans="1:28">
      <c r="A2" s="117" t="s">
        <v>180</v>
      </c>
      <c r="B2" s="118" t="s">
        <v>238</v>
      </c>
      <c r="C2" s="119"/>
      <c r="D2" s="117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PhotoMode=2;ScanSpeed=2;WlRange=660,650,0.2;Gain=5;LampPos=1</v>
      </c>
      <c r="E2" s="117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空气:Scan</v>
      </c>
      <c r="F2" s="117">
        <v>3</v>
      </c>
      <c r="G2" s="117">
        <v>1</v>
      </c>
      <c r="H2" s="117" t="s">
        <v>181</v>
      </c>
      <c r="I2" s="117" t="str">
        <f>VLOOKUP(J2,字段对应!$D$2:$E$9,2,0)</f>
        <v>Validation.ViewModel.DataStructure.FindPeakAndAverageUVTestTool</v>
      </c>
      <c r="J2" s="118" t="s">
        <v>239</v>
      </c>
      <c r="K2" s="127" t="s">
        <v>24</v>
      </c>
      <c r="L2" s="127" t="s">
        <v>145</v>
      </c>
      <c r="M2" s="127" t="s">
        <v>146</v>
      </c>
      <c r="N2" s="127">
        <v>660</v>
      </c>
      <c r="O2" s="127">
        <v>650</v>
      </c>
      <c r="P2" s="127">
        <v>0.2</v>
      </c>
      <c r="Q2" s="127">
        <v>5</v>
      </c>
      <c r="R2" s="127"/>
      <c r="S2" s="127"/>
      <c r="T2" s="127"/>
      <c r="U2" s="127"/>
      <c r="V2" s="117" t="s">
        <v>133</v>
      </c>
      <c r="W2" s="117"/>
      <c r="X2" s="117"/>
      <c r="Y2" s="117" t="s">
        <v>240</v>
      </c>
      <c r="Z2" s="122">
        <f>VLOOKUP(A2,对应信息!$D$2:$E$11,2,0)</f>
        <v>1000</v>
      </c>
      <c r="AA2" s="117">
        <f t="shared" ref="AA2:AA25" si="0">IF(Z1=Z2,AA1+1,Z2+1)</f>
        <v>1001</v>
      </c>
      <c r="AB2" s="131"/>
    </row>
    <row r="3" ht="44.25" customHeight="1" spans="1:28">
      <c r="A3" s="117" t="s">
        <v>180</v>
      </c>
      <c r="B3" s="118" t="s">
        <v>241</v>
      </c>
      <c r="C3" s="119"/>
      <c r="D3" s="117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PhotoMode=2;ScanSpeed=2;WlRange=490,480,0.2;Gain=5;LampPos=1</v>
      </c>
      <c r="E3" s="117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117">
        <v>3</v>
      </c>
      <c r="G3" s="117">
        <v>1</v>
      </c>
      <c r="H3" s="118">
        <v>486</v>
      </c>
      <c r="I3" s="117" t="str">
        <f>VLOOKUP(J3,字段对应!$D$2:$E$9,2,0)</f>
        <v>Validation.ViewModel.DataStructure.FindPeakAndAverageUVTestTool</v>
      </c>
      <c r="J3" s="118" t="s">
        <v>239</v>
      </c>
      <c r="K3" s="127" t="s">
        <v>24</v>
      </c>
      <c r="L3" s="127" t="s">
        <v>145</v>
      </c>
      <c r="M3" s="127" t="s">
        <v>146</v>
      </c>
      <c r="N3" s="127">
        <v>490</v>
      </c>
      <c r="O3" s="127">
        <v>480</v>
      </c>
      <c r="P3" s="127">
        <v>0.2</v>
      </c>
      <c r="Q3" s="127">
        <v>5</v>
      </c>
      <c r="R3" s="127"/>
      <c r="S3" s="127"/>
      <c r="T3" s="127"/>
      <c r="U3" s="127"/>
      <c r="V3" s="117" t="s">
        <v>133</v>
      </c>
      <c r="W3" s="117"/>
      <c r="X3" s="117"/>
      <c r="Y3" s="117" t="s">
        <v>240</v>
      </c>
      <c r="Z3" s="122">
        <f>VLOOKUP(A3,对应信息!$D$2:$E$11,2,0)</f>
        <v>1000</v>
      </c>
      <c r="AA3" s="117">
        <f t="shared" si="0"/>
        <v>1002</v>
      </c>
      <c r="AB3" s="131"/>
    </row>
    <row r="4" ht="46.5" customHeight="1" spans="1:28">
      <c r="A4" s="117" t="s">
        <v>180</v>
      </c>
      <c r="B4" s="117" t="s">
        <v>23</v>
      </c>
      <c r="C4" s="117"/>
      <c r="D4" s="117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PhotoMode=0;ScanSpeed=2;WlRange=810,800,0.2;LampPos=0</v>
      </c>
      <c r="E4" s="117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黑挡块:Dark|空气:BaseLine|镨钕滤光片:Scan</v>
      </c>
      <c r="F4" s="117">
        <v>3</v>
      </c>
      <c r="G4" s="117">
        <v>1</v>
      </c>
      <c r="H4" s="117" t="s">
        <v>182</v>
      </c>
      <c r="I4" s="117" t="str">
        <f>VLOOKUP(J4,字段对应!$D$2:$E$9,2,0)</f>
        <v>Validation.ViewModel.DataStructure.FindPeakAndAverageUVTestTool</v>
      </c>
      <c r="J4" s="118" t="s">
        <v>239</v>
      </c>
      <c r="K4" s="127" t="s">
        <v>134</v>
      </c>
      <c r="L4" s="127" t="s">
        <v>135</v>
      </c>
      <c r="M4" s="127" t="s">
        <v>146</v>
      </c>
      <c r="N4" s="127">
        <v>810</v>
      </c>
      <c r="O4" s="127">
        <v>800</v>
      </c>
      <c r="P4" s="127">
        <v>0.2</v>
      </c>
      <c r="Q4" s="127"/>
      <c r="R4" s="127"/>
      <c r="S4" s="127"/>
      <c r="T4" s="127"/>
      <c r="U4" s="127"/>
      <c r="V4" s="117" t="s">
        <v>133</v>
      </c>
      <c r="W4" s="117" t="s">
        <v>242</v>
      </c>
      <c r="X4" s="117" t="s">
        <v>240</v>
      </c>
      <c r="Y4" s="117" t="s">
        <v>23</v>
      </c>
      <c r="Z4" s="122">
        <f>VLOOKUP(A4,对应信息!$D$2:$E$11,2,0)</f>
        <v>1000</v>
      </c>
      <c r="AA4" s="117">
        <f t="shared" si="0"/>
        <v>1003</v>
      </c>
      <c r="AB4" s="131"/>
    </row>
    <row r="5" ht="44.25" customHeight="1" spans="1:28">
      <c r="A5" s="117" t="s">
        <v>180</v>
      </c>
      <c r="B5" s="118" t="s">
        <v>32</v>
      </c>
      <c r="C5" s="117"/>
      <c r="D5" s="117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PhotoMode=0;ScanSpeed=1;WlRange=645,235,0.2;</v>
      </c>
      <c r="E5" s="117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黑挡块:Dark|空气:BaseLine|钬溶液:Scan</v>
      </c>
      <c r="F5" s="117">
        <v>3</v>
      </c>
      <c r="G5" s="117">
        <v>1</v>
      </c>
      <c r="H5" s="118" t="s">
        <v>243</v>
      </c>
      <c r="I5" s="117" t="str">
        <f>VLOOKUP(J5,字段对应!$D$2:$E$9,2,0)</f>
        <v>Validation.ViewModel.DataStructure.FindPeakAndAverageUVTestTool</v>
      </c>
      <c r="J5" s="118" t="s">
        <v>239</v>
      </c>
      <c r="K5" s="128"/>
      <c r="L5" s="127" t="s">
        <v>135</v>
      </c>
      <c r="M5" s="127" t="s">
        <v>141</v>
      </c>
      <c r="N5" s="127">
        <v>645</v>
      </c>
      <c r="O5" s="127">
        <v>235</v>
      </c>
      <c r="P5" s="127">
        <v>0.2</v>
      </c>
      <c r="Q5" s="127"/>
      <c r="R5" s="127"/>
      <c r="S5" s="127"/>
      <c r="T5" s="127"/>
      <c r="U5" s="127"/>
      <c r="V5" s="117" t="s">
        <v>133</v>
      </c>
      <c r="W5" s="117" t="s">
        <v>242</v>
      </c>
      <c r="X5" s="117" t="s">
        <v>240</v>
      </c>
      <c r="Y5" s="117" t="s">
        <v>32</v>
      </c>
      <c r="Z5" s="122">
        <f>VLOOKUP(A5,对应信息!$D$2:$E$11,2,0)</f>
        <v>1000</v>
      </c>
      <c r="AA5" s="117">
        <f t="shared" si="0"/>
        <v>1004</v>
      </c>
      <c r="AB5" s="131"/>
    </row>
    <row r="6" ht="27" spans="1:28">
      <c r="A6" s="120" t="s">
        <v>200</v>
      </c>
      <c r="B6" s="118" t="s">
        <v>69</v>
      </c>
      <c r="C6" s="117"/>
      <c r="D6" s="117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PhotoMode=2;ScanSpeed=2;WlRange=660,650,0.2;Gain=5;LampPos=1</v>
      </c>
      <c r="E6" s="117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空气:Scan</v>
      </c>
      <c r="F6" s="117">
        <v>1</v>
      </c>
      <c r="G6" s="117"/>
      <c r="H6" s="117">
        <v>656.1</v>
      </c>
      <c r="I6" s="117" t="str">
        <f>VLOOKUP(J6,字段对应!$D$2:$E$9,2,0)</f>
        <v>Validation.ViewModel.DataStructure.FindHalfPeakUVTestTool</v>
      </c>
      <c r="J6" s="117" t="s">
        <v>244</v>
      </c>
      <c r="K6" s="127" t="s">
        <v>24</v>
      </c>
      <c r="L6" s="127" t="s">
        <v>145</v>
      </c>
      <c r="M6" s="127" t="s">
        <v>146</v>
      </c>
      <c r="N6" s="127">
        <v>660</v>
      </c>
      <c r="O6" s="127">
        <v>650</v>
      </c>
      <c r="P6" s="127">
        <v>0.2</v>
      </c>
      <c r="Q6" s="127">
        <v>5</v>
      </c>
      <c r="R6" s="127"/>
      <c r="S6" s="127"/>
      <c r="T6" s="127"/>
      <c r="U6" s="127"/>
      <c r="V6" s="117" t="s">
        <v>133</v>
      </c>
      <c r="W6" s="117"/>
      <c r="X6" s="117"/>
      <c r="Y6" s="117" t="s">
        <v>240</v>
      </c>
      <c r="Z6" s="122">
        <f>VLOOKUP(A6,对应信息!$D$2:$E$11,2,0)</f>
        <v>6000</v>
      </c>
      <c r="AA6" s="117">
        <f t="shared" si="0"/>
        <v>6001</v>
      </c>
      <c r="AB6" s="132" t="s">
        <v>151</v>
      </c>
    </row>
    <row r="7" ht="27" spans="1:28">
      <c r="A7" s="117" t="s">
        <v>198</v>
      </c>
      <c r="B7" s="118" t="s">
        <v>61</v>
      </c>
      <c r="C7" s="117"/>
      <c r="D7" s="117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PhotoMode=0;ScanSpeed=2;WlRange=1090,200,1;</v>
      </c>
      <c r="E7" s="117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黑挡块:Dark|空气:BaseLine|空气:Scan</v>
      </c>
      <c r="F7" s="117">
        <v>1</v>
      </c>
      <c r="G7" s="117"/>
      <c r="H7" s="117"/>
      <c r="I7" s="117" t="str">
        <f>VLOOKUP(J7,字段对应!$D$2:$E$9,2,0)</f>
        <v>Validation.ViewModel.DataStructure.GetMaxDIstanceUVTestTool</v>
      </c>
      <c r="J7" s="117" t="s">
        <v>245</v>
      </c>
      <c r="K7" s="127"/>
      <c r="L7" s="127" t="s">
        <v>135</v>
      </c>
      <c r="M7" s="127" t="s">
        <v>146</v>
      </c>
      <c r="N7" s="127">
        <v>1090</v>
      </c>
      <c r="O7" s="127">
        <v>200</v>
      </c>
      <c r="P7" s="127">
        <v>1</v>
      </c>
      <c r="Q7" s="127"/>
      <c r="R7" s="127"/>
      <c r="S7" s="127"/>
      <c r="T7" s="127"/>
      <c r="U7" s="127"/>
      <c r="V7" s="117" t="s">
        <v>133</v>
      </c>
      <c r="W7" s="117" t="s">
        <v>242</v>
      </c>
      <c r="X7" s="117" t="s">
        <v>240</v>
      </c>
      <c r="Y7" s="117" t="s">
        <v>240</v>
      </c>
      <c r="Z7" s="122">
        <f>VLOOKUP(A7,对应信息!$D$2:$E$11,2,0)</f>
        <v>4000</v>
      </c>
      <c r="AA7" s="117">
        <f t="shared" si="0"/>
        <v>4001</v>
      </c>
      <c r="AB7" s="131"/>
    </row>
    <row r="8" s="111" customFormat="1" ht="36.6" customHeight="1" spans="1:29">
      <c r="A8" s="121" t="s">
        <v>221</v>
      </c>
      <c r="B8" s="121" t="s">
        <v>246</v>
      </c>
      <c r="C8" s="122"/>
      <c r="D8" s="122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PhotoMode=0;ScanSpeed=1;WlRange=270,165,0.2;</v>
      </c>
      <c r="E8" s="122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黑挡块:Dark|分辨率空白溶液:BaseLine|分辨率溶液:Scan</v>
      </c>
      <c r="F8" s="122">
        <v>1</v>
      </c>
      <c r="G8" s="122"/>
      <c r="H8" s="122"/>
      <c r="I8" s="122" t="str">
        <f>VLOOKUP(J8,字段对应!$D$2:$E$9,2,0)</f>
        <v>Validation.ViewModel.DataStructure.GetRatioOfMaxToMinUVTestTool</v>
      </c>
      <c r="J8" s="122" t="s">
        <v>247</v>
      </c>
      <c r="K8" s="127"/>
      <c r="L8" s="127" t="s">
        <v>135</v>
      </c>
      <c r="M8" s="127" t="s">
        <v>141</v>
      </c>
      <c r="N8" s="127">
        <v>270</v>
      </c>
      <c r="O8" s="127">
        <v>165</v>
      </c>
      <c r="P8" s="127">
        <v>0.2</v>
      </c>
      <c r="Q8" s="127"/>
      <c r="R8" s="127"/>
      <c r="S8" s="127"/>
      <c r="T8" s="127"/>
      <c r="U8" s="127"/>
      <c r="V8" s="122" t="s">
        <v>133</v>
      </c>
      <c r="W8" s="122" t="s">
        <v>242</v>
      </c>
      <c r="X8" s="121" t="s">
        <v>248</v>
      </c>
      <c r="Y8" s="121" t="s">
        <v>249</v>
      </c>
      <c r="Z8" s="122">
        <f>VLOOKUP(A8,对应信息!$D$2:$E$11,2,0)</f>
        <v>10000</v>
      </c>
      <c r="AA8" s="122">
        <f t="shared" si="0"/>
        <v>10001</v>
      </c>
      <c r="AB8" s="133"/>
      <c r="AC8" s="134" t="s">
        <v>250</v>
      </c>
    </row>
    <row r="9" ht="37.5" customHeight="1" spans="1:28">
      <c r="A9" s="117" t="s">
        <v>199</v>
      </c>
      <c r="B9" s="118" t="s">
        <v>64</v>
      </c>
      <c r="C9" s="117"/>
      <c r="D9" s="117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PhotoMode=1;ScanSpeed=2;WlRange=1090,200,1;</v>
      </c>
      <c r="E9" s="117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黑挡块:Dark|空气:BaseLine|黑挡块:Scan</v>
      </c>
      <c r="F9" s="117">
        <v>1</v>
      </c>
      <c r="G9" s="117"/>
      <c r="H9" s="117"/>
      <c r="I9" s="117" t="str">
        <f>VLOOKUP(J9,字段对应!$D$2:$E$9,2,0)</f>
        <v>Validation.ViewModel.DataStructure.GetMaxDIstanceUVTestTool</v>
      </c>
      <c r="J9" s="117" t="s">
        <v>245</v>
      </c>
      <c r="K9" s="127"/>
      <c r="L9" s="127" t="s">
        <v>140</v>
      </c>
      <c r="M9" s="127" t="s">
        <v>146</v>
      </c>
      <c r="N9" s="127">
        <v>1090</v>
      </c>
      <c r="O9" s="127">
        <v>200</v>
      </c>
      <c r="P9" s="127">
        <v>1</v>
      </c>
      <c r="Q9" s="127"/>
      <c r="R9" s="127"/>
      <c r="S9" s="127"/>
      <c r="T9" s="127"/>
      <c r="U9" s="127"/>
      <c r="V9" s="117" t="s">
        <v>133</v>
      </c>
      <c r="W9" s="117" t="s">
        <v>242</v>
      </c>
      <c r="X9" s="117" t="s">
        <v>240</v>
      </c>
      <c r="Y9" s="118" t="s">
        <v>242</v>
      </c>
      <c r="Z9" s="122">
        <f>VLOOKUP(A9,对应信息!$D$2:$E$11,2,0)</f>
        <v>5000</v>
      </c>
      <c r="AA9" s="117">
        <f t="shared" si="0"/>
        <v>5001</v>
      </c>
      <c r="AB9" s="131"/>
    </row>
    <row r="10" ht="51" customHeight="1" spans="1:28">
      <c r="A10" s="117" t="s">
        <v>201</v>
      </c>
      <c r="B10" s="117" t="s">
        <v>202</v>
      </c>
      <c r="C10" s="117"/>
      <c r="D10" s="117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PhotoMode=1;ScanSpeed=1;ResponseTime=0.5;</v>
      </c>
      <c r="E10" s="117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黑挡块:Dark|空气:Zero;Wl=500|空气:Measure;Wl=500;totalcount=120;timeinterval=1</v>
      </c>
      <c r="F10" s="117">
        <v>1</v>
      </c>
      <c r="G10" s="117"/>
      <c r="H10" s="117">
        <v>500</v>
      </c>
      <c r="I10" s="117" t="str">
        <f>VLOOKUP(J10,字段对应!$D$2:$E$9,2,0)</f>
        <v>Validation.ViewModel.DataStructure.FindMaxOffsetUVTestTool</v>
      </c>
      <c r="J10" s="117" t="s">
        <v>251</v>
      </c>
      <c r="K10" s="127"/>
      <c r="L10" s="127" t="s">
        <v>140</v>
      </c>
      <c r="M10" s="127" t="s">
        <v>141</v>
      </c>
      <c r="N10" s="127"/>
      <c r="O10" s="127"/>
      <c r="P10" s="127"/>
      <c r="Q10" s="127"/>
      <c r="R10" s="127"/>
      <c r="S10" s="127">
        <v>1</v>
      </c>
      <c r="T10" s="127">
        <v>120</v>
      </c>
      <c r="U10" s="127">
        <v>0.5</v>
      </c>
      <c r="V10" s="117" t="s">
        <v>138</v>
      </c>
      <c r="W10" s="117" t="s">
        <v>242</v>
      </c>
      <c r="X10" s="117" t="s">
        <v>240</v>
      </c>
      <c r="Y10" s="117" t="s">
        <v>240</v>
      </c>
      <c r="Z10" s="122">
        <f>VLOOKUP(A10,对应信息!$D$2:$E$11,2,0)</f>
        <v>7000</v>
      </c>
      <c r="AA10" s="117">
        <f t="shared" si="0"/>
        <v>7001</v>
      </c>
      <c r="AB10" s="131"/>
    </row>
    <row r="11" ht="40.5" spans="1:28">
      <c r="A11" s="117" t="s">
        <v>201</v>
      </c>
      <c r="B11" s="117" t="s">
        <v>203</v>
      </c>
      <c r="C11" s="117"/>
      <c r="D11" s="117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PhotoMode=1;ScanSpeed=1;ResponseTime=0.5;</v>
      </c>
      <c r="E11" s="117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黑挡块:Dark|空气:Zero;Wl=500|黑挡块:Measure;Wl=500;totalcount=120;timeinterval=1</v>
      </c>
      <c r="F11" s="117">
        <v>1</v>
      </c>
      <c r="G11" s="117"/>
      <c r="H11" s="117">
        <v>500</v>
      </c>
      <c r="I11" s="117" t="str">
        <f>VLOOKUP(J11,字段对应!$D$2:$E$9,2,0)</f>
        <v>Validation.ViewModel.DataStructure.FindMaxOffsetUVTestTool</v>
      </c>
      <c r="J11" s="117" t="s">
        <v>251</v>
      </c>
      <c r="K11" s="127"/>
      <c r="L11" s="127" t="s">
        <v>140</v>
      </c>
      <c r="M11" s="127" t="s">
        <v>141</v>
      </c>
      <c r="N11" s="127"/>
      <c r="O11" s="127"/>
      <c r="P11" s="127"/>
      <c r="Q11" s="127"/>
      <c r="R11" s="127"/>
      <c r="S11" s="127">
        <v>1</v>
      </c>
      <c r="T11" s="127">
        <v>120</v>
      </c>
      <c r="U11" s="127">
        <v>0.5</v>
      </c>
      <c r="V11" s="117" t="s">
        <v>138</v>
      </c>
      <c r="W11" s="117" t="s">
        <v>242</v>
      </c>
      <c r="X11" s="117" t="s">
        <v>240</v>
      </c>
      <c r="Y11" s="118" t="s">
        <v>242</v>
      </c>
      <c r="Z11" s="122">
        <f>VLOOKUP(A11,对应信息!$D$2:$E$11,2,0)</f>
        <v>7000</v>
      </c>
      <c r="AA11" s="117">
        <f t="shared" si="0"/>
        <v>7002</v>
      </c>
      <c r="AB11" s="131"/>
    </row>
    <row r="12" ht="40.5" spans="1:28">
      <c r="A12" s="117" t="s">
        <v>201</v>
      </c>
      <c r="B12" s="117" t="s">
        <v>204</v>
      </c>
      <c r="C12" s="117"/>
      <c r="D12" s="117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PhotoMode=1;ScanSpeed=1;ResponseTime=0.5;</v>
      </c>
      <c r="E12" s="117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黑挡块:Dark|空气:Zero;Wl=250|空气:Measure;Wl=250;totalcount=120;timeinterval=1</v>
      </c>
      <c r="F12" s="117">
        <v>1</v>
      </c>
      <c r="G12" s="117"/>
      <c r="H12" s="117">
        <v>250</v>
      </c>
      <c r="I12" s="117" t="str">
        <f>VLOOKUP(J12,字段对应!$D$2:$E$9,2,0)</f>
        <v>Validation.ViewModel.DataStructure.FindMaxOffsetUVTestTool</v>
      </c>
      <c r="J12" s="117" t="s">
        <v>251</v>
      </c>
      <c r="K12" s="127"/>
      <c r="L12" s="127" t="s">
        <v>140</v>
      </c>
      <c r="M12" s="127" t="s">
        <v>141</v>
      </c>
      <c r="N12" s="127"/>
      <c r="O12" s="127"/>
      <c r="P12" s="127"/>
      <c r="Q12" s="127"/>
      <c r="R12" s="127"/>
      <c r="S12" s="127">
        <v>1</v>
      </c>
      <c r="T12" s="127">
        <v>120</v>
      </c>
      <c r="U12" s="127">
        <v>0.5</v>
      </c>
      <c r="V12" s="117" t="s">
        <v>138</v>
      </c>
      <c r="W12" s="117" t="s">
        <v>242</v>
      </c>
      <c r="X12" s="117" t="s">
        <v>240</v>
      </c>
      <c r="Y12" s="117" t="s">
        <v>240</v>
      </c>
      <c r="Z12" s="122">
        <f>VLOOKUP(A12,对应信息!$D$2:$E$11,2,0)</f>
        <v>7000</v>
      </c>
      <c r="AA12" s="117">
        <f t="shared" si="0"/>
        <v>7003</v>
      </c>
      <c r="AB12" s="131"/>
    </row>
    <row r="13" ht="40.5" spans="1:28">
      <c r="A13" s="117" t="s">
        <v>201</v>
      </c>
      <c r="B13" s="117" t="s">
        <v>205</v>
      </c>
      <c r="C13" s="117"/>
      <c r="D13" s="117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PhotoMode=1;ScanSpeed=1;ResponseTime=0.5;</v>
      </c>
      <c r="E13" s="117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黑挡块:Dark|空气:Zero;Wl=250|黑挡块:Measure;Wl=250;totalcount=120;timeinterval=1</v>
      </c>
      <c r="F13" s="117">
        <v>1</v>
      </c>
      <c r="G13" s="117"/>
      <c r="H13" s="117">
        <v>250</v>
      </c>
      <c r="I13" s="117" t="str">
        <f>VLOOKUP(J13,字段对应!$D$2:$E$9,2,0)</f>
        <v>Validation.ViewModel.DataStructure.FindMaxOffsetUVTestTool</v>
      </c>
      <c r="J13" s="117" t="s">
        <v>251</v>
      </c>
      <c r="K13" s="127"/>
      <c r="L13" s="127" t="s">
        <v>140</v>
      </c>
      <c r="M13" s="127" t="s">
        <v>141</v>
      </c>
      <c r="N13" s="127"/>
      <c r="O13" s="127"/>
      <c r="P13" s="127"/>
      <c r="Q13" s="127"/>
      <c r="R13" s="127"/>
      <c r="S13" s="127">
        <v>1</v>
      </c>
      <c r="T13" s="127">
        <v>120</v>
      </c>
      <c r="U13" s="127">
        <v>0.5</v>
      </c>
      <c r="V13" s="117" t="s">
        <v>138</v>
      </c>
      <c r="W13" s="117" t="s">
        <v>242</v>
      </c>
      <c r="X13" s="117" t="s">
        <v>240</v>
      </c>
      <c r="Y13" s="118" t="s">
        <v>242</v>
      </c>
      <c r="Z13" s="122">
        <f>VLOOKUP(A13,对应信息!$D$2:$E$11,2,0)</f>
        <v>7000</v>
      </c>
      <c r="AA13" s="117">
        <f t="shared" si="0"/>
        <v>7004</v>
      </c>
      <c r="AB13" s="131"/>
    </row>
    <row r="14" ht="54" spans="1:28">
      <c r="A14" s="117" t="s">
        <v>206</v>
      </c>
      <c r="B14" s="117" t="s">
        <v>207</v>
      </c>
      <c r="C14" s="117"/>
      <c r="D14" s="117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PhotoMode=1;ScanSpeed=1;ResponseTime=0.5;</v>
      </c>
      <c r="E14" s="117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黑挡块:Dark|空气:Zero;Wl=1090|空气:Measure;Wl=1090;totalcount=180;timeinterval=1</v>
      </c>
      <c r="F14" s="117">
        <v>1</v>
      </c>
      <c r="G14" s="117"/>
      <c r="H14" s="117">
        <v>1090</v>
      </c>
      <c r="I14" s="117" t="str">
        <f>VLOOKUP(J14,字段对应!$D$2:$E$9,2,0)</f>
        <v>Validation.ViewModel.DataStructure.FindMaxOffsetUVTestTool</v>
      </c>
      <c r="J14" s="117" t="s">
        <v>251</v>
      </c>
      <c r="K14" s="127"/>
      <c r="L14" s="127" t="s">
        <v>140</v>
      </c>
      <c r="M14" s="127" t="s">
        <v>141</v>
      </c>
      <c r="N14" s="127"/>
      <c r="O14" s="127"/>
      <c r="P14" s="127"/>
      <c r="Q14" s="127"/>
      <c r="R14" s="127"/>
      <c r="S14" s="127">
        <v>1</v>
      </c>
      <c r="T14" s="127">
        <v>180</v>
      </c>
      <c r="U14" s="127">
        <v>0.5</v>
      </c>
      <c r="V14" s="117" t="s">
        <v>138</v>
      </c>
      <c r="W14" s="117" t="s">
        <v>242</v>
      </c>
      <c r="X14" s="117" t="s">
        <v>240</v>
      </c>
      <c r="Y14" s="117" t="s">
        <v>240</v>
      </c>
      <c r="Z14" s="122">
        <f>VLOOKUP(A14,对应信息!$D$2:$E$11,2,0)</f>
        <v>8000</v>
      </c>
      <c r="AA14" s="117">
        <f t="shared" si="0"/>
        <v>8001</v>
      </c>
      <c r="AB14" s="131"/>
    </row>
    <row r="15" ht="54" spans="1:28">
      <c r="A15" s="117" t="s">
        <v>206</v>
      </c>
      <c r="B15" s="117" t="s">
        <v>208</v>
      </c>
      <c r="C15" s="117"/>
      <c r="D15" s="117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PhotoMode=1;ScanSpeed=1;ResponseTime=0.5;</v>
      </c>
      <c r="E15" s="117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黑挡块:Dark|空气:Zero;Wl=1090|黑挡块:Measure;Wl=1090;totalcount=180;timeinterval=1</v>
      </c>
      <c r="F15" s="117">
        <v>1</v>
      </c>
      <c r="G15" s="117"/>
      <c r="H15" s="117">
        <v>1090</v>
      </c>
      <c r="I15" s="117" t="str">
        <f>VLOOKUP(J15,字段对应!$D$2:$E$9,2,0)</f>
        <v>Validation.ViewModel.DataStructure.FindMaxOffsetUVTestTool</v>
      </c>
      <c r="J15" s="117" t="s">
        <v>251</v>
      </c>
      <c r="K15" s="127"/>
      <c r="L15" s="127" t="s">
        <v>140</v>
      </c>
      <c r="M15" s="127" t="s">
        <v>141</v>
      </c>
      <c r="N15" s="127"/>
      <c r="O15" s="127"/>
      <c r="P15" s="127"/>
      <c r="Q15" s="127"/>
      <c r="R15" s="127"/>
      <c r="S15" s="127">
        <v>1</v>
      </c>
      <c r="T15" s="127">
        <v>180</v>
      </c>
      <c r="U15" s="127">
        <v>0.5</v>
      </c>
      <c r="V15" s="117" t="s">
        <v>138</v>
      </c>
      <c r="W15" s="117" t="s">
        <v>242</v>
      </c>
      <c r="X15" s="117" t="s">
        <v>240</v>
      </c>
      <c r="Y15" s="118" t="s">
        <v>242</v>
      </c>
      <c r="Z15" s="122">
        <f>VLOOKUP(A15,对应信息!$D$2:$E$11,2,0)</f>
        <v>8000</v>
      </c>
      <c r="AA15" s="117">
        <f t="shared" si="0"/>
        <v>8002</v>
      </c>
      <c r="AB15" s="131"/>
    </row>
    <row r="16" ht="40.5" spans="1:28">
      <c r="A16" s="117" t="s">
        <v>206</v>
      </c>
      <c r="B16" s="117" t="s">
        <v>209</v>
      </c>
      <c r="C16" s="117"/>
      <c r="D16" s="117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PhotoMode=1;ScanSpeed=1;ResponseTime=0.5;</v>
      </c>
      <c r="E16" s="117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黑挡块:Dark|空气:Zero;Wl=200|空气:Measure;Wl=200;totalcount=180;timeinterval=1</v>
      </c>
      <c r="F16" s="117">
        <v>1</v>
      </c>
      <c r="G16" s="117"/>
      <c r="H16" s="117">
        <v>200</v>
      </c>
      <c r="I16" s="117" t="str">
        <f>VLOOKUP(J16,字段对应!$D$2:$E$9,2,0)</f>
        <v>Validation.ViewModel.DataStructure.FindMaxOffsetUVTestTool</v>
      </c>
      <c r="J16" s="117" t="s">
        <v>251</v>
      </c>
      <c r="K16" s="127"/>
      <c r="L16" s="127" t="s">
        <v>140</v>
      </c>
      <c r="M16" s="127" t="s">
        <v>141</v>
      </c>
      <c r="N16" s="127"/>
      <c r="O16" s="127"/>
      <c r="P16" s="127"/>
      <c r="Q16" s="127"/>
      <c r="R16" s="127"/>
      <c r="S16" s="127">
        <v>1</v>
      </c>
      <c r="T16" s="127">
        <v>180</v>
      </c>
      <c r="U16" s="127">
        <v>0.5</v>
      </c>
      <c r="V16" s="117" t="s">
        <v>138</v>
      </c>
      <c r="W16" s="117" t="s">
        <v>242</v>
      </c>
      <c r="X16" s="117" t="s">
        <v>240</v>
      </c>
      <c r="Y16" s="117" t="s">
        <v>240</v>
      </c>
      <c r="Z16" s="122">
        <f>VLOOKUP(A16,对应信息!$D$2:$E$11,2,0)</f>
        <v>8000</v>
      </c>
      <c r="AA16" s="117">
        <f t="shared" si="0"/>
        <v>8003</v>
      </c>
      <c r="AB16" s="131"/>
    </row>
    <row r="17" ht="40.5" spans="1:28">
      <c r="A17" s="117" t="s">
        <v>206</v>
      </c>
      <c r="B17" s="117" t="s">
        <v>210</v>
      </c>
      <c r="C17" s="117"/>
      <c r="D17" s="117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PhotoMode=1;ScanSpeed=1;ResponseTime=0.5;</v>
      </c>
      <c r="E17" s="117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黑挡块:Dark|空气:Zero;Wl=200|黑挡块:Measure;Wl=200;totalcount=180;timeinterval=1</v>
      </c>
      <c r="F17" s="117">
        <v>1</v>
      </c>
      <c r="G17" s="117"/>
      <c r="H17" s="117">
        <v>200</v>
      </c>
      <c r="I17" s="117" t="str">
        <f>VLOOKUP(J17,字段对应!$D$2:$E$9,2,0)</f>
        <v>Validation.ViewModel.DataStructure.FindMaxOffsetUVTestTool</v>
      </c>
      <c r="J17" s="117" t="s">
        <v>251</v>
      </c>
      <c r="K17" s="127"/>
      <c r="L17" s="127" t="s">
        <v>140</v>
      </c>
      <c r="M17" s="127" t="s">
        <v>141</v>
      </c>
      <c r="N17" s="127"/>
      <c r="O17" s="127"/>
      <c r="P17" s="127"/>
      <c r="Q17" s="127"/>
      <c r="R17" s="127"/>
      <c r="S17" s="127">
        <v>1</v>
      </c>
      <c r="T17" s="127">
        <v>180</v>
      </c>
      <c r="U17" s="127">
        <v>0.5</v>
      </c>
      <c r="V17" s="117" t="s">
        <v>138</v>
      </c>
      <c r="W17" s="117" t="s">
        <v>242</v>
      </c>
      <c r="X17" s="117" t="s">
        <v>240</v>
      </c>
      <c r="Y17" s="118" t="s">
        <v>242</v>
      </c>
      <c r="Z17" s="122">
        <f>VLOOKUP(A17,对应信息!$D$2:$E$11,2,0)</f>
        <v>8000</v>
      </c>
      <c r="AA17" s="117">
        <f t="shared" si="0"/>
        <v>8004</v>
      </c>
      <c r="AB17" s="131"/>
    </row>
    <row r="18" ht="39.75" customHeight="1" spans="1:28">
      <c r="A18" s="117" t="s">
        <v>197</v>
      </c>
      <c r="B18" s="118" t="s">
        <v>252</v>
      </c>
      <c r="C18" s="117"/>
      <c r="D18" s="117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PhotoMode=1;ScanSpeed=1;</v>
      </c>
      <c r="E18" s="117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黑挡块:Dark|碘化钠空白溶液:Zero;Wl=220|碘化钠溶液:Measure;Wl=220</v>
      </c>
      <c r="F18" s="117">
        <v>3</v>
      </c>
      <c r="G18" s="117">
        <v>1</v>
      </c>
      <c r="H18" s="117" t="s">
        <v>253</v>
      </c>
      <c r="I18" s="117" t="str">
        <f>VLOOKUP(J18,字段对应!$D$2:$E$9,2,0)</f>
        <v>Validation.ViewModel.DataStructure.WlPointsUVTestTool</v>
      </c>
      <c r="J18" s="117" t="s">
        <v>254</v>
      </c>
      <c r="K18" s="127"/>
      <c r="L18" s="127" t="s">
        <v>140</v>
      </c>
      <c r="M18" s="127" t="s">
        <v>141</v>
      </c>
      <c r="N18" s="127"/>
      <c r="O18" s="127"/>
      <c r="P18" s="127"/>
      <c r="Q18" s="127"/>
      <c r="R18" s="127"/>
      <c r="S18" s="127"/>
      <c r="T18" s="127"/>
      <c r="U18" s="127"/>
      <c r="V18" s="117" t="s">
        <v>138</v>
      </c>
      <c r="W18" s="117" t="s">
        <v>242</v>
      </c>
      <c r="X18" s="118" t="s">
        <v>255</v>
      </c>
      <c r="Y18" s="117" t="s">
        <v>160</v>
      </c>
      <c r="Z18" s="122">
        <f>VLOOKUP(A18,对应信息!$D$2:$E$11,2,0)</f>
        <v>3000</v>
      </c>
      <c r="AA18" s="117">
        <f t="shared" si="0"/>
        <v>3001</v>
      </c>
      <c r="AB18" s="131"/>
    </row>
    <row r="19" ht="27" spans="1:28">
      <c r="A19" s="117" t="s">
        <v>197</v>
      </c>
      <c r="B19" s="118" t="s">
        <v>256</v>
      </c>
      <c r="C19" s="117"/>
      <c r="D19" s="117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PhotoMode=1;ScanSpeed=1;</v>
      </c>
      <c r="E19" s="117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黑挡块:Dark|亚硝酸钠空白溶液:Zero;Wl=360|亚硝酸钠溶液:Measure;Wl=360</v>
      </c>
      <c r="F19" s="117">
        <v>3</v>
      </c>
      <c r="G19" s="117">
        <v>1</v>
      </c>
      <c r="H19" s="117" t="s">
        <v>257</v>
      </c>
      <c r="I19" s="117" t="str">
        <f>VLOOKUP(J19,字段对应!$D$2:$E$9,2,0)</f>
        <v>Validation.ViewModel.DataStructure.WlPointsUVTestTool</v>
      </c>
      <c r="J19" s="117" t="s">
        <v>254</v>
      </c>
      <c r="K19" s="127"/>
      <c r="L19" s="127" t="s">
        <v>140</v>
      </c>
      <c r="M19" s="127" t="s">
        <v>141</v>
      </c>
      <c r="N19" s="127"/>
      <c r="O19" s="127"/>
      <c r="P19" s="127"/>
      <c r="Q19" s="127"/>
      <c r="R19" s="128"/>
      <c r="S19" s="127"/>
      <c r="T19" s="127"/>
      <c r="U19" s="127"/>
      <c r="V19" s="117" t="s">
        <v>138</v>
      </c>
      <c r="W19" s="117" t="s">
        <v>242</v>
      </c>
      <c r="X19" s="118" t="s">
        <v>258</v>
      </c>
      <c r="Y19" s="117" t="s">
        <v>161</v>
      </c>
      <c r="Z19" s="122">
        <f>VLOOKUP(A19,对应信息!$D$2:$E$11,2,0)</f>
        <v>3000</v>
      </c>
      <c r="AA19" s="117">
        <f t="shared" si="0"/>
        <v>3002</v>
      </c>
      <c r="AB19" s="131"/>
    </row>
    <row r="20" s="111" customFormat="1" ht="40.5" customHeight="1" spans="1:29">
      <c r="A20" s="122" t="s">
        <v>197</v>
      </c>
      <c r="B20" s="121" t="s">
        <v>259</v>
      </c>
      <c r="C20" s="122"/>
      <c r="D20" s="122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PhotoMode=0;ScanSpeed=1;</v>
      </c>
      <c r="E20" s="122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黑挡块:Dark|氯化钾空白溶液:Zero;Wl=200,199,198|氯化钾溶液:Measure;Wl=200,199,198</v>
      </c>
      <c r="F20" s="122">
        <v>3</v>
      </c>
      <c r="G20" s="122">
        <v>1</v>
      </c>
      <c r="H20" s="123" t="s">
        <v>260</v>
      </c>
      <c r="I20" s="122" t="str">
        <f>VLOOKUP(J20,字段对应!$D$2:$E$9,2,0)</f>
        <v>Validation.ViewModel.DataStructure.WlPointsUVTestTool</v>
      </c>
      <c r="J20" s="122" t="s">
        <v>254</v>
      </c>
      <c r="K20" s="127"/>
      <c r="L20" s="127" t="s">
        <v>135</v>
      </c>
      <c r="M20" s="127" t="s">
        <v>141</v>
      </c>
      <c r="N20" s="127"/>
      <c r="O20" s="127"/>
      <c r="P20" s="127"/>
      <c r="Q20" s="127"/>
      <c r="R20" s="127"/>
      <c r="S20" s="127"/>
      <c r="T20" s="127"/>
      <c r="U20" s="127"/>
      <c r="V20" s="122" t="s">
        <v>138</v>
      </c>
      <c r="W20" s="122" t="s">
        <v>242</v>
      </c>
      <c r="X20" s="121" t="s">
        <v>261</v>
      </c>
      <c r="Y20" s="121" t="s">
        <v>262</v>
      </c>
      <c r="Z20" s="122">
        <f>VLOOKUP(A20,对应信息!$D$2:$E$11,2,0)</f>
        <v>3000</v>
      </c>
      <c r="AA20" s="122">
        <f t="shared" si="0"/>
        <v>3003</v>
      </c>
      <c r="AB20" s="133"/>
      <c r="AC20" s="134" t="s">
        <v>263</v>
      </c>
    </row>
    <row r="21" ht="40.5" spans="1:28">
      <c r="A21" s="117" t="s">
        <v>189</v>
      </c>
      <c r="B21" s="117" t="s">
        <v>49</v>
      </c>
      <c r="C21" s="117"/>
      <c r="D21" s="117" t="str">
        <f>IF(L21="","",字段对应!$B$10&amp;"="&amp;VLOOKUP(L21,基础信息!$I$2:$J$6,2,0)&amp;";")&amp;IF(M21="","",字段对应!$B$11&amp;"="&amp;VLOOKUP(M21,基础信息!$K$2:$L$6,2,0)&amp;";")&amp;IF(N21="","",字段对应!$C$2&amp;"="&amp;N21&amp;","&amp;O21&amp;","&amp;P21&amp;";")&amp;IF(Q21="","",字段对应!$B$13&amp;"="&amp;Q21&amp;";")&amp;IF(R21="","",字段对应!$B$14&amp;"="&amp;R21&amp;";")&amp;IF(U21="","",字段对应!$B$22&amp;"="&amp;U21&amp;";")&amp;IF(K21="","",字段对应!$B$21&amp;"="&amp;VLOOKUP(K21,基础信息!$F$2:$G$4,2,0))</f>
        <v>PhotoMode=1;ScanSpeed=1;</v>
      </c>
      <c r="E21" s="117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黑挡块:Dark|紫外分光光度计标准物质空白溶液:Zero;Wl=350,313,257,235|紫外分光光度计标准物质GBW(E)130066:Measure;Wl=350,313,257,235</v>
      </c>
      <c r="F21" s="117">
        <v>3</v>
      </c>
      <c r="G21" s="117">
        <v>1</v>
      </c>
      <c r="H21" s="118" t="s">
        <v>264</v>
      </c>
      <c r="I21" s="117" t="str">
        <f>VLOOKUP(J21,字段对应!$D$2:$E$9,2,0)</f>
        <v>Validation.ViewModel.DataStructure.WlPointsAndAverageUVTestTool</v>
      </c>
      <c r="J21" s="117" t="s">
        <v>265</v>
      </c>
      <c r="K21" s="127"/>
      <c r="L21" s="127" t="s">
        <v>140</v>
      </c>
      <c r="M21" s="127" t="s">
        <v>141</v>
      </c>
      <c r="N21" s="127"/>
      <c r="O21" s="127"/>
      <c r="P21" s="127"/>
      <c r="Q21" s="127"/>
      <c r="R21" s="127"/>
      <c r="S21" s="127"/>
      <c r="T21" s="127"/>
      <c r="U21" s="127"/>
      <c r="V21" s="117" t="s">
        <v>138</v>
      </c>
      <c r="W21" s="117" t="s">
        <v>242</v>
      </c>
      <c r="X21" s="129" t="s">
        <v>266</v>
      </c>
      <c r="Y21" s="117" t="s">
        <v>49</v>
      </c>
      <c r="Z21" s="122">
        <f>VLOOKUP(A21,对应信息!$D$2:$E$11,2,0)</f>
        <v>2000</v>
      </c>
      <c r="AA21" s="117">
        <f t="shared" si="0"/>
        <v>2001</v>
      </c>
      <c r="AB21" s="132" t="s">
        <v>267</v>
      </c>
    </row>
    <row r="22" ht="27" spans="1:28">
      <c r="A22" s="117" t="s">
        <v>189</v>
      </c>
      <c r="B22" s="117" t="s">
        <v>38</v>
      </c>
      <c r="C22" s="117"/>
      <c r="D22" s="117" t="str">
        <f>IF(L22="","",字段对应!$B$10&amp;"="&amp;VLOOKUP(L22,基础信息!$I$2:$J$6,2,0)&amp;";")&amp;IF(M22="","",字段对应!$B$11&amp;"="&amp;VLOOKUP(M22,基础信息!$K$2:$L$6,2,0)&amp;";")&amp;IF(N22="","",字段对应!$C$2&amp;"="&amp;N22&amp;","&amp;O22&amp;","&amp;P22&amp;";")&amp;IF(Q22="","",字段对应!$B$13&amp;"="&amp;Q22&amp;";")&amp;IF(R22="","",字段对应!$B$14&amp;"="&amp;R22&amp;";")&amp;IF(U22="","",字段对应!$B$22&amp;"="&amp;U22&amp;";")&amp;IF(K22="","",字段对应!$B$21&amp;"="&amp;VLOOKUP(K22,基础信息!$F$2:$G$4,2,0))</f>
        <v>PhotoMode=1;ScanSpeed=1;</v>
      </c>
      <c r="E22" s="117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黑挡块:Dark|空气:Zero;Wl=635,546,440|10%中性滤光片:Measure;Wl=635,546,440</v>
      </c>
      <c r="F22" s="117">
        <v>3</v>
      </c>
      <c r="G22" s="117">
        <v>1</v>
      </c>
      <c r="H22" s="117" t="s">
        <v>268</v>
      </c>
      <c r="I22" s="117" t="str">
        <f>VLOOKUP(J22,字段对应!$D$2:$E$9,2,0)</f>
        <v>Validation.ViewModel.DataStructure.WlPointsAndAverageUVTestTool</v>
      </c>
      <c r="J22" s="117" t="s">
        <v>265</v>
      </c>
      <c r="K22" s="127"/>
      <c r="L22" s="127" t="s">
        <v>140</v>
      </c>
      <c r="M22" s="127" t="s">
        <v>141</v>
      </c>
      <c r="N22" s="127"/>
      <c r="O22" s="127"/>
      <c r="P22" s="127"/>
      <c r="Q22" s="127"/>
      <c r="R22" s="127"/>
      <c r="S22" s="127"/>
      <c r="T22" s="127"/>
      <c r="U22" s="127"/>
      <c r="V22" s="117" t="s">
        <v>138</v>
      </c>
      <c r="W22" s="117" t="s">
        <v>242</v>
      </c>
      <c r="X22" s="117" t="s">
        <v>240</v>
      </c>
      <c r="Y22" s="117" t="s">
        <v>38</v>
      </c>
      <c r="Z22" s="122">
        <f>VLOOKUP(A22,对应信息!$D$2:$E$11,2,0)</f>
        <v>2000</v>
      </c>
      <c r="AA22" s="117">
        <f t="shared" si="0"/>
        <v>2002</v>
      </c>
      <c r="AB22" s="132" t="s">
        <v>269</v>
      </c>
    </row>
    <row r="23" ht="27" spans="1:28">
      <c r="A23" s="117" t="s">
        <v>189</v>
      </c>
      <c r="B23" s="117" t="s">
        <v>44</v>
      </c>
      <c r="C23" s="117"/>
      <c r="D23" s="117" t="str">
        <f>IF(L23="","",字段对应!$B$10&amp;"="&amp;VLOOKUP(L23,基础信息!$I$2:$J$6,2,0)&amp;";")&amp;IF(M23="","",字段对应!$B$11&amp;"="&amp;VLOOKUP(M23,基础信息!$K$2:$L$6,2,0)&amp;";")&amp;IF(N23="","",字段对应!$C$2&amp;"="&amp;N23&amp;","&amp;O23&amp;","&amp;P23&amp;";")&amp;IF(Q23="","",字段对应!$B$13&amp;"="&amp;Q23&amp;";")&amp;IF(R23="","",字段对应!$B$14&amp;"="&amp;R23&amp;";")&amp;IF(U23="","",字段对应!$B$22&amp;"="&amp;U23&amp;";")&amp;IF(K23="","",字段对应!$B$21&amp;"="&amp;VLOOKUP(K23,基础信息!$F$2:$G$4,2,0))</f>
        <v>PhotoMode=1;ScanSpeed=1;</v>
      </c>
      <c r="E23" s="117" t="str">
        <f>IF(W23="","",检测项信息!W23&amp;":"&amp;字段对应!$B$16&amp;"|")&amp;IF(X23="","",X23&amp;":"&amp;IF(V23="是",字段对应!$C$17,字段对应!$B$17&amp;";"&amp;IF(H23="","",字段对应!$B$15&amp;"="&amp;检测项信息!H23))&amp;"|")&amp;IF(Y23="",":",Y23&amp;":")&amp;IF(V23="是",字段对应!$C$18,字段对应!$B$18&amp;";"&amp;IF(H23="","",字段对应!$B$15&amp;"="&amp;检测项信息!H23)&amp;IF(AND(T23="",S23=""),"",";"&amp;字段对应!$B$20&amp;"="&amp;T23&amp;";"&amp;字段对应!$B$19&amp;"="&amp;S23))</f>
        <v>黑挡块:Dark|空气:Zero;Wl=635,546,440|20%中性滤光片:Measure;Wl=635,546,440</v>
      </c>
      <c r="F23" s="117">
        <v>3</v>
      </c>
      <c r="G23" s="117">
        <v>1</v>
      </c>
      <c r="H23" s="117" t="s">
        <v>268</v>
      </c>
      <c r="I23" s="117" t="str">
        <f>VLOOKUP(J23,字段对应!$D$2:$E$9,2,0)</f>
        <v>Validation.ViewModel.DataStructure.WlPointsAndAverageUVTestTool</v>
      </c>
      <c r="J23" s="117" t="s">
        <v>265</v>
      </c>
      <c r="K23" s="127"/>
      <c r="L23" s="127" t="s">
        <v>140</v>
      </c>
      <c r="M23" s="127" t="s">
        <v>141</v>
      </c>
      <c r="N23" s="127"/>
      <c r="O23" s="127"/>
      <c r="P23" s="127"/>
      <c r="Q23" s="127"/>
      <c r="R23" s="127"/>
      <c r="S23" s="127"/>
      <c r="T23" s="127"/>
      <c r="U23" s="127"/>
      <c r="V23" s="117" t="s">
        <v>138</v>
      </c>
      <c r="W23" s="117" t="s">
        <v>242</v>
      </c>
      <c r="X23" s="117" t="s">
        <v>240</v>
      </c>
      <c r="Y23" s="117" t="s">
        <v>44</v>
      </c>
      <c r="Z23" s="122">
        <f>VLOOKUP(A23,对应信息!$D$2:$E$11,2,0)</f>
        <v>2000</v>
      </c>
      <c r="AA23" s="117">
        <f t="shared" si="0"/>
        <v>2003</v>
      </c>
      <c r="AB23" s="132" t="s">
        <v>270</v>
      </c>
    </row>
    <row r="24" ht="40.5" customHeight="1" spans="1:28">
      <c r="A24" s="117" t="s">
        <v>189</v>
      </c>
      <c r="B24" s="117" t="s">
        <v>46</v>
      </c>
      <c r="C24" s="117"/>
      <c r="D24" s="117" t="str">
        <f>IF(L24="","",字段对应!$B$10&amp;"="&amp;VLOOKUP(L24,基础信息!$I$2:$J$6,2,0)&amp;";")&amp;IF(M24="","",字段对应!$B$11&amp;"="&amp;VLOOKUP(M24,基础信息!$K$2:$L$6,2,0)&amp;";")&amp;IF(N24="","",字段对应!$C$2&amp;"="&amp;N24&amp;","&amp;O24&amp;","&amp;P24&amp;";")&amp;IF(Q24="","",字段对应!$B$13&amp;"="&amp;Q24&amp;";")&amp;IF(R24="","",字段对应!$B$14&amp;"="&amp;R24&amp;";")&amp;IF(U24="","",字段对应!$B$22&amp;"="&amp;U24&amp;";")&amp;IF(K24="","",字段对应!$B$21&amp;"="&amp;VLOOKUP(K24,基础信息!$F$2:$G$4,2,0))</f>
        <v>PhotoMode=1;ScanSpeed=1;</v>
      </c>
      <c r="E24" s="117" t="str">
        <f>IF(W24="","",检测项信息!W24&amp;":"&amp;字段对应!$B$16&amp;"|")&amp;IF(X24="","",X24&amp;":"&amp;IF(V24="是",字段对应!$C$17,字段对应!$B$17&amp;";"&amp;IF(H24="","",字段对应!$B$15&amp;"="&amp;检测项信息!H24))&amp;"|")&amp;IF(Y24="",":",Y24&amp;":")&amp;IF(V24="是",字段对应!$C$18,字段对应!$B$18&amp;";"&amp;IF(H24="","",字段对应!$B$15&amp;"="&amp;检测项信息!H24)&amp;IF(AND(T24="",S24=""),"",";"&amp;字段对应!$B$20&amp;"="&amp;T24&amp;";"&amp;字段对应!$B$19&amp;"="&amp;S24))</f>
        <v>黑挡块:Dark|空气:Zero;Wl=635,546,440|30%中性滤光片:Measure;Wl=635,546,440</v>
      </c>
      <c r="F24" s="117">
        <v>3</v>
      </c>
      <c r="G24" s="117">
        <v>1</v>
      </c>
      <c r="H24" s="117" t="s">
        <v>268</v>
      </c>
      <c r="I24" s="117" t="str">
        <f>VLOOKUP(J24,字段对应!$D$2:$E$9,2,0)</f>
        <v>Validation.ViewModel.DataStructure.WlPointsAndAverageUVTestTool</v>
      </c>
      <c r="J24" s="117" t="s">
        <v>265</v>
      </c>
      <c r="K24" s="127"/>
      <c r="L24" s="127" t="s">
        <v>140</v>
      </c>
      <c r="M24" s="127" t="s">
        <v>141</v>
      </c>
      <c r="N24" s="127"/>
      <c r="O24" s="127"/>
      <c r="P24" s="127"/>
      <c r="Q24" s="127"/>
      <c r="R24" s="127"/>
      <c r="S24" s="127"/>
      <c r="T24" s="127"/>
      <c r="U24" s="127"/>
      <c r="V24" s="117" t="s">
        <v>138</v>
      </c>
      <c r="W24" s="117" t="s">
        <v>242</v>
      </c>
      <c r="X24" s="117" t="s">
        <v>240</v>
      </c>
      <c r="Y24" s="117" t="s">
        <v>46</v>
      </c>
      <c r="Z24" s="122">
        <f>VLOOKUP(A24,对应信息!$D$2:$E$11,2,0)</f>
        <v>2000</v>
      </c>
      <c r="AA24" s="117">
        <f t="shared" si="0"/>
        <v>2004</v>
      </c>
      <c r="AB24" s="132" t="s">
        <v>271</v>
      </c>
    </row>
    <row r="25" ht="54" spans="1:28">
      <c r="A25" s="117" t="s">
        <v>211</v>
      </c>
      <c r="B25" s="118" t="s">
        <v>211</v>
      </c>
      <c r="C25" s="117" t="s">
        <v>272</v>
      </c>
      <c r="D25" s="117" t="str">
        <f>IF(L25="","",字段对应!$B$10&amp;"="&amp;VLOOKUP(L25,基础信息!$I$2:$J$6,2,0)&amp;";")&amp;IF(M25="","",字段对应!$B$11&amp;"="&amp;VLOOKUP(M25,基础信息!$K$2:$L$6,2,0)&amp;";")&amp;IF(N25="","",字段对应!$C$2&amp;"="&amp;N25&amp;","&amp;O25&amp;","&amp;P25&amp;";")&amp;IF(Q25="","",字段对应!$B$13&amp;"="&amp;Q25&amp;";")&amp;IF(R25="","",字段对应!$B$14&amp;"="&amp;R25&amp;";")&amp;IF(U25="","",字段对应!$B$22&amp;"="&amp;U25&amp;";")&amp;IF(K25="","",字段对应!$B$21&amp;"="&amp;VLOOKUP(K25,基础信息!$F$2:$G$4,2,0))</f>
        <v>PhotoMode=1;ScanSpeed=1;ResponseTime=0.5;</v>
      </c>
      <c r="E25" s="117" t="str">
        <f>IF(W25="","",检测项信息!W25&amp;":"&amp;字段对应!$B$16&amp;"|")&amp;IF(X25="","",X25&amp;":"&amp;IF(V25="是",字段对应!$C$17,字段对应!$B$17&amp;";"&amp;IF(H25="","",字段对应!$B$15&amp;"="&amp;检测项信息!H25))&amp;"|")&amp;IF(Y25="",":",Y25&amp;":")&amp;IF(V25="是",字段对应!$C$18,字段对应!$B$18&amp;";"&amp;IF(H25="","",字段对应!$B$15&amp;"="&amp;检测项信息!H25)&amp;IF(AND(T25="",S25=""),"",";"&amp;字段对应!$B$20&amp;"="&amp;T25&amp;";"&amp;字段对应!$B$19&amp;"="&amp;S25))</f>
        <v>黑挡块:Dark|空气:Zero;Wl=500|空气:Measure;Wl=500;totalcount=3600;timeinterval=1</v>
      </c>
      <c r="F25" s="117">
        <v>1</v>
      </c>
      <c r="G25" s="117"/>
      <c r="H25" s="117">
        <v>500</v>
      </c>
      <c r="I25" s="117" t="str">
        <f>VLOOKUP(J25,字段对应!$D$2:$E$9,2,0)</f>
        <v>Validation.ViewModel.DataStructure.FindMaxOffsetUVTestTool</v>
      </c>
      <c r="J25" s="117" t="s">
        <v>251</v>
      </c>
      <c r="K25" s="127"/>
      <c r="L25" s="127" t="s">
        <v>140</v>
      </c>
      <c r="M25" s="127" t="s">
        <v>141</v>
      </c>
      <c r="N25" s="127"/>
      <c r="O25" s="127"/>
      <c r="P25" s="127"/>
      <c r="Q25" s="127"/>
      <c r="R25" s="127"/>
      <c r="S25" s="127">
        <v>1</v>
      </c>
      <c r="T25" s="127">
        <v>3600</v>
      </c>
      <c r="U25" s="127">
        <v>0.5</v>
      </c>
      <c r="V25" s="117" t="s">
        <v>138</v>
      </c>
      <c r="W25" s="117" t="s">
        <v>242</v>
      </c>
      <c r="X25" s="117" t="s">
        <v>240</v>
      </c>
      <c r="Y25" s="117" t="s">
        <v>240</v>
      </c>
      <c r="Z25" s="122">
        <f>VLOOKUP(A25,对应信息!$D$2:$E$11,2,0)</f>
        <v>9000</v>
      </c>
      <c r="AA25" s="117">
        <f t="shared" si="0"/>
        <v>9001</v>
      </c>
      <c r="AB25" s="131"/>
    </row>
    <row r="31" spans="5:5">
      <c r="E31" s="124"/>
    </row>
  </sheetData>
  <dataValidations count="9">
    <dataValidation type="list" allowBlank="1" showInputMessage="1" showErrorMessage="1" sqref="J$1:J$1048576">
      <formula1>字段对应!$D$2:$D$9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29" sqref="C29"/>
    </sheetView>
  </sheetViews>
  <sheetFormatPr defaultColWidth="9" defaultRowHeight="13.5" outlineLevelCol="4"/>
  <cols>
    <col min="1" max="1" width="22.6666666666667" customWidth="1"/>
    <col min="2" max="2" width="44.6666666666667" customWidth="1"/>
    <col min="3" max="3" width="22.6666666666667" customWidth="1"/>
    <col min="4" max="5" width="5.44166666666667" customWidth="1"/>
    <col min="6" max="9" width="22.6666666666667" customWidth="1"/>
  </cols>
  <sheetData>
    <row r="1" spans="1:5">
      <c r="A1" s="104" t="s">
        <v>273</v>
      </c>
      <c r="B1" s="104" t="s">
        <v>274</v>
      </c>
      <c r="C1" s="104" t="s">
        <v>275</v>
      </c>
      <c r="D1" s="104" t="s">
        <v>276</v>
      </c>
      <c r="E1" s="104" t="s">
        <v>277</v>
      </c>
    </row>
    <row r="2" spans="1:5">
      <c r="A2" s="105" t="str">
        <f ca="1" t="shared" ref="A2:A18" si="0">MID(CELL("filename"),FIND("[",CELL("filename"),1)+1,FIND(".",CELL("filename"),1)-FIND("[",CELL("filename"),1)-1)</f>
        <v>T500</v>
      </c>
      <c r="B2" s="106" t="s">
        <v>278</v>
      </c>
      <c r="C2" s="107"/>
      <c r="D2" s="105"/>
      <c r="E2" s="105"/>
    </row>
    <row r="3" spans="1:5">
      <c r="A3" s="105" t="str">
        <f ca="1" t="shared" si="0"/>
        <v>T500</v>
      </c>
      <c r="B3" s="108" t="s">
        <v>279</v>
      </c>
      <c r="C3" s="107"/>
      <c r="D3" s="105"/>
      <c r="E3" s="105"/>
    </row>
    <row r="4" spans="1:5">
      <c r="A4" s="105" t="str">
        <f ca="1" t="shared" si="0"/>
        <v>T500</v>
      </c>
      <c r="B4" s="108" t="s">
        <v>280</v>
      </c>
      <c r="C4" s="107"/>
      <c r="D4" s="105"/>
      <c r="E4" s="105"/>
    </row>
    <row r="5" spans="1:5">
      <c r="A5" s="105" t="str">
        <f ca="1" t="shared" si="0"/>
        <v>T500</v>
      </c>
      <c r="B5" s="108" t="s">
        <v>281</v>
      </c>
      <c r="C5" s="107"/>
      <c r="D5" s="105"/>
      <c r="E5" s="105"/>
    </row>
    <row r="6" spans="1:5">
      <c r="A6" s="105" t="str">
        <f ca="1" t="shared" si="0"/>
        <v>T500</v>
      </c>
      <c r="B6" s="108" t="s">
        <v>282</v>
      </c>
      <c r="C6" s="107"/>
      <c r="D6" s="105"/>
      <c r="E6" s="105"/>
    </row>
    <row r="7" spans="1:5">
      <c r="A7" s="105" t="str">
        <f ca="1" t="shared" si="0"/>
        <v>T500</v>
      </c>
      <c r="B7" s="108" t="s">
        <v>283</v>
      </c>
      <c r="C7" s="107"/>
      <c r="D7" s="105"/>
      <c r="E7" s="105"/>
    </row>
    <row r="8" spans="1:5">
      <c r="A8" s="105" t="str">
        <f ca="1" t="shared" si="0"/>
        <v>T500</v>
      </c>
      <c r="B8" s="108" t="s">
        <v>284</v>
      </c>
      <c r="C8" s="107"/>
      <c r="D8" s="105"/>
      <c r="E8" s="105"/>
    </row>
    <row r="9" spans="1:5">
      <c r="A9" s="105" t="str">
        <f ca="1" t="shared" si="0"/>
        <v>T500</v>
      </c>
      <c r="B9" s="108" t="s">
        <v>285</v>
      </c>
      <c r="C9" s="107"/>
      <c r="D9" s="105"/>
      <c r="E9" s="105"/>
    </row>
    <row r="10" spans="1:5">
      <c r="A10" s="105" t="str">
        <f ca="1" t="shared" si="0"/>
        <v>T500</v>
      </c>
      <c r="B10" s="106" t="s">
        <v>286</v>
      </c>
      <c r="C10" s="107"/>
      <c r="D10" s="105">
        <v>1001</v>
      </c>
      <c r="E10" s="105">
        <v>1001</v>
      </c>
    </row>
    <row r="11" spans="1:5">
      <c r="A11" s="105" t="str">
        <f ca="1" t="shared" si="0"/>
        <v>T500</v>
      </c>
      <c r="B11" s="106" t="s">
        <v>287</v>
      </c>
      <c r="C11" s="107"/>
      <c r="D11" s="105">
        <v>1002</v>
      </c>
      <c r="E11" s="105">
        <v>1002</v>
      </c>
    </row>
    <row r="12" spans="1:5">
      <c r="A12" s="105" t="str">
        <f ca="1" t="shared" si="0"/>
        <v>T500</v>
      </c>
      <c r="B12" s="106" t="s">
        <v>288</v>
      </c>
      <c r="C12" s="107"/>
      <c r="D12" s="105">
        <v>2001</v>
      </c>
      <c r="E12" s="105">
        <v>2001</v>
      </c>
    </row>
    <row r="13" spans="1:5">
      <c r="A13" s="105" t="str">
        <f ca="1" t="shared" si="0"/>
        <v>T500</v>
      </c>
      <c r="B13" s="106" t="s">
        <v>289</v>
      </c>
      <c r="C13" s="107"/>
      <c r="D13" s="105">
        <v>2002</v>
      </c>
      <c r="E13" s="105">
        <v>2001</v>
      </c>
    </row>
    <row r="14" spans="1:5">
      <c r="A14" s="105" t="str">
        <f ca="1" t="shared" si="0"/>
        <v>T500</v>
      </c>
      <c r="B14" s="106" t="s">
        <v>290</v>
      </c>
      <c r="C14" s="107"/>
      <c r="D14" s="105">
        <v>2003</v>
      </c>
      <c r="E14" s="105">
        <v>2001</v>
      </c>
    </row>
    <row r="15" spans="1:5">
      <c r="A15" s="105" t="str">
        <f ca="1" t="shared" si="0"/>
        <v>T500</v>
      </c>
      <c r="B15" s="106" t="s">
        <v>291</v>
      </c>
      <c r="C15" s="107"/>
      <c r="D15" s="105">
        <v>2004</v>
      </c>
      <c r="E15" s="105">
        <v>2001</v>
      </c>
    </row>
    <row r="16" spans="1:5">
      <c r="A16" s="105" t="str">
        <f ca="1" t="shared" si="0"/>
        <v>T500</v>
      </c>
      <c r="B16" s="106" t="s">
        <v>292</v>
      </c>
      <c r="C16" s="107"/>
      <c r="D16" s="105">
        <v>3001</v>
      </c>
      <c r="E16" s="105">
        <v>3001</v>
      </c>
    </row>
    <row r="17" spans="1:5">
      <c r="A17" s="105" t="str">
        <f ca="1" t="shared" si="0"/>
        <v>T500</v>
      </c>
      <c r="B17" s="106" t="s">
        <v>293</v>
      </c>
      <c r="C17" s="107"/>
      <c r="D17" s="105">
        <v>3002</v>
      </c>
      <c r="E17" s="105">
        <v>3002</v>
      </c>
    </row>
    <row r="18" spans="1:5">
      <c r="A18" s="105" t="str">
        <f ca="1" t="shared" si="0"/>
        <v>T500</v>
      </c>
      <c r="B18" s="109" t="s">
        <v>294</v>
      </c>
      <c r="C18" s="107"/>
      <c r="D18" s="105">
        <v>4001</v>
      </c>
      <c r="E18" s="105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"/>
    </sheetView>
  </sheetViews>
  <sheetFormatPr defaultColWidth="9" defaultRowHeight="13.5"/>
  <cols>
    <col min="1" max="1" width="35.775" customWidth="1"/>
  </cols>
  <sheetData>
    <row r="1" ht="190.05" customHeight="1" spans="1:1">
      <c r="A1" s="10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12" sqref="E12"/>
    </sheetView>
  </sheetViews>
  <sheetFormatPr defaultColWidth="9" defaultRowHeight="13.5" outlineLevelCol="4"/>
  <cols>
    <col min="1" max="2" width="16.1083333333333" customWidth="1"/>
    <col min="4" max="4" width="13.8833333333333" customWidth="1"/>
    <col min="5" max="5" width="69.8833333333333" customWidth="1"/>
  </cols>
  <sheetData>
    <row r="1" spans="1:5">
      <c r="A1" s="9" t="s">
        <v>295</v>
      </c>
      <c r="B1" s="9" t="s">
        <v>296</v>
      </c>
      <c r="D1" s="9" t="s">
        <v>297</v>
      </c>
      <c r="E1" s="9" t="s">
        <v>298</v>
      </c>
    </row>
    <row r="2" spans="1:5">
      <c r="A2" s="99" t="s">
        <v>230</v>
      </c>
      <c r="B2" s="99" t="s">
        <v>299</v>
      </c>
      <c r="C2" s="99" t="s">
        <v>300</v>
      </c>
      <c r="D2" s="100" t="s">
        <v>239</v>
      </c>
      <c r="E2" s="101" t="s">
        <v>301</v>
      </c>
    </row>
    <row r="3" spans="1:5">
      <c r="A3" s="99" t="s">
        <v>231</v>
      </c>
      <c r="B3" s="99" t="s">
        <v>302</v>
      </c>
      <c r="D3" s="99" t="s">
        <v>265</v>
      </c>
      <c r="E3" s="101" t="s">
        <v>303</v>
      </c>
    </row>
    <row r="4" spans="1:5">
      <c r="A4" s="99" t="s">
        <v>128</v>
      </c>
      <c r="B4" s="99" t="s">
        <v>304</v>
      </c>
      <c r="D4" s="100" t="s">
        <v>254</v>
      </c>
      <c r="E4" s="101" t="s">
        <v>305</v>
      </c>
    </row>
    <row r="5" spans="1:5">
      <c r="A5" s="99" t="s">
        <v>227</v>
      </c>
      <c r="B5" s="99" t="s">
        <v>306</v>
      </c>
      <c r="D5" s="100" t="s">
        <v>251</v>
      </c>
      <c r="E5" s="101" t="s">
        <v>307</v>
      </c>
    </row>
    <row r="6" spans="1:5">
      <c r="A6" s="99" t="s">
        <v>225</v>
      </c>
      <c r="B6" s="99" t="s">
        <v>308</v>
      </c>
      <c r="D6" s="100" t="s">
        <v>244</v>
      </c>
      <c r="E6" s="101" t="s">
        <v>309</v>
      </c>
    </row>
    <row r="7" spans="1:5">
      <c r="A7" s="99" t="s">
        <v>226</v>
      </c>
      <c r="B7" s="99" t="s">
        <v>310</v>
      </c>
      <c r="D7" s="102" t="s">
        <v>245</v>
      </c>
      <c r="E7" s="101" t="s">
        <v>311</v>
      </c>
    </row>
    <row r="8" spans="1:5">
      <c r="A8" s="99" t="s">
        <v>312</v>
      </c>
      <c r="B8" s="99" t="s">
        <v>313</v>
      </c>
      <c r="D8" s="100" t="s">
        <v>314</v>
      </c>
      <c r="E8" s="101" t="s">
        <v>315</v>
      </c>
    </row>
    <row r="9" spans="1:5">
      <c r="A9" s="99" t="s">
        <v>223</v>
      </c>
      <c r="B9" s="99" t="s">
        <v>316</v>
      </c>
      <c r="D9" s="102" t="s">
        <v>247</v>
      </c>
      <c r="E9" s="101" t="s">
        <v>317</v>
      </c>
    </row>
    <row r="10" spans="1:2">
      <c r="A10" s="99" t="s">
        <v>229</v>
      </c>
      <c r="B10" s="99" t="s">
        <v>318</v>
      </c>
    </row>
    <row r="11" spans="1:2">
      <c r="A11" s="99" t="s">
        <v>126</v>
      </c>
      <c r="B11" s="99" t="s">
        <v>319</v>
      </c>
    </row>
    <row r="12" spans="1:2">
      <c r="A12" s="99" t="s">
        <v>232</v>
      </c>
      <c r="B12" s="99" t="s">
        <v>320</v>
      </c>
    </row>
    <row r="13" spans="1:2">
      <c r="A13" s="99" t="s">
        <v>131</v>
      </c>
      <c r="B13" s="99" t="s">
        <v>321</v>
      </c>
    </row>
    <row r="14" spans="1:2">
      <c r="A14" s="99" t="s">
        <v>66</v>
      </c>
      <c r="B14" s="99" t="s">
        <v>322</v>
      </c>
    </row>
    <row r="15" spans="1:2">
      <c r="A15" s="99" t="s">
        <v>120</v>
      </c>
      <c r="B15" s="99" t="s">
        <v>323</v>
      </c>
    </row>
    <row r="16" spans="1:2">
      <c r="A16" s="99" t="s">
        <v>324</v>
      </c>
      <c r="B16" s="99" t="s">
        <v>325</v>
      </c>
    </row>
    <row r="17" spans="1:3">
      <c r="A17" s="99" t="s">
        <v>326</v>
      </c>
      <c r="B17" s="99" t="s">
        <v>327</v>
      </c>
      <c r="C17" s="99" t="s">
        <v>328</v>
      </c>
    </row>
    <row r="18" spans="1:3">
      <c r="A18" s="99" t="s">
        <v>329</v>
      </c>
      <c r="B18" s="99" t="s">
        <v>330</v>
      </c>
      <c r="C18" s="99" t="s">
        <v>331</v>
      </c>
    </row>
    <row r="19" spans="1:2">
      <c r="A19" s="99" t="s">
        <v>233</v>
      </c>
      <c r="B19" s="101" t="s">
        <v>332</v>
      </c>
    </row>
    <row r="20" spans="1:4">
      <c r="A20" s="99" t="s">
        <v>234</v>
      </c>
      <c r="B20" s="99" t="s">
        <v>333</v>
      </c>
      <c r="D20" s="99"/>
    </row>
    <row r="21" spans="1:2">
      <c r="A21" s="99" t="s">
        <v>123</v>
      </c>
      <c r="B21" s="101" t="s">
        <v>334</v>
      </c>
    </row>
    <row r="22" spans="1:2">
      <c r="A22" s="99" t="s">
        <v>132</v>
      </c>
      <c r="B22" s="101" t="s">
        <v>335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selection activeCell="B15" sqref="$A15:$XFD21"/>
    </sheetView>
  </sheetViews>
  <sheetFormatPr defaultColWidth="9" defaultRowHeight="13.5" outlineLevelCol="3"/>
  <cols>
    <col min="1" max="1" width="35.3333333333333" customWidth="1"/>
    <col min="2" max="2" width="27.4416666666667" customWidth="1"/>
    <col min="3" max="3" width="15.775" customWidth="1"/>
    <col min="4" max="4" width="20.2166666666667" customWidth="1"/>
  </cols>
  <sheetData>
    <row r="1" spans="1:4">
      <c r="A1" s="2" t="s">
        <v>336</v>
      </c>
      <c r="B1" s="2" t="s">
        <v>22</v>
      </c>
      <c r="C1" s="2" t="s">
        <v>120</v>
      </c>
      <c r="D1" s="43" t="s">
        <v>50</v>
      </c>
    </row>
    <row r="2" spans="1:4">
      <c r="A2" s="95" t="s">
        <v>189</v>
      </c>
      <c r="B2" s="66" t="s">
        <v>49</v>
      </c>
      <c r="C2" s="67" t="s">
        <v>190</v>
      </c>
      <c r="D2" s="67">
        <v>23.2</v>
      </c>
    </row>
    <row r="3" spans="1:4">
      <c r="A3" s="96"/>
      <c r="B3" s="70"/>
      <c r="C3" s="67" t="s">
        <v>191</v>
      </c>
      <c r="D3" s="67">
        <v>51.58</v>
      </c>
    </row>
    <row r="4" ht="12" customHeight="1" spans="1:4">
      <c r="A4" s="96"/>
      <c r="B4" s="70"/>
      <c r="C4" s="71" t="s">
        <v>192</v>
      </c>
      <c r="D4" s="67">
        <v>14.06</v>
      </c>
    </row>
    <row r="5" spans="1:4">
      <c r="A5" s="96"/>
      <c r="B5" s="70"/>
      <c r="C5" s="71" t="s">
        <v>193</v>
      </c>
      <c r="D5" s="67">
        <v>18.42</v>
      </c>
    </row>
    <row r="6" spans="1:4">
      <c r="A6" s="96"/>
      <c r="B6" s="72" t="s">
        <v>38</v>
      </c>
      <c r="C6" s="67" t="s">
        <v>194</v>
      </c>
      <c r="D6" s="67">
        <v>7.57</v>
      </c>
    </row>
    <row r="7" spans="1:4">
      <c r="A7" s="96"/>
      <c r="B7" s="67"/>
      <c r="C7" s="67" t="s">
        <v>195</v>
      </c>
      <c r="D7" s="67">
        <v>10.1</v>
      </c>
    </row>
    <row r="8" spans="1:4">
      <c r="A8" s="96"/>
      <c r="B8" s="67"/>
      <c r="C8" s="67" t="s">
        <v>196</v>
      </c>
      <c r="D8" s="67">
        <v>10.07</v>
      </c>
    </row>
    <row r="9" spans="1:4">
      <c r="A9" s="96"/>
      <c r="B9" s="72" t="s">
        <v>44</v>
      </c>
      <c r="C9" s="67" t="s">
        <v>194</v>
      </c>
      <c r="D9" s="67">
        <v>18.98</v>
      </c>
    </row>
    <row r="10" spans="1:4">
      <c r="A10" s="96"/>
      <c r="B10" s="67"/>
      <c r="C10" s="67" t="s">
        <v>195</v>
      </c>
      <c r="D10" s="67">
        <v>20.09</v>
      </c>
    </row>
    <row r="11" spans="1:4">
      <c r="A11" s="96"/>
      <c r="B11" s="67"/>
      <c r="C11" s="67" t="s">
        <v>196</v>
      </c>
      <c r="D11" s="67">
        <v>20.91</v>
      </c>
    </row>
    <row r="12" spans="1:4">
      <c r="A12" s="96"/>
      <c r="B12" s="72" t="s">
        <v>46</v>
      </c>
      <c r="C12" s="67" t="s">
        <v>194</v>
      </c>
      <c r="D12" s="67">
        <v>29.96</v>
      </c>
    </row>
    <row r="13" spans="1:4">
      <c r="A13" s="96"/>
      <c r="B13" s="67"/>
      <c r="C13" s="67" t="s">
        <v>195</v>
      </c>
      <c r="D13" s="67">
        <v>30.43</v>
      </c>
    </row>
    <row r="14" spans="1:4">
      <c r="A14" s="97"/>
      <c r="B14" s="67"/>
      <c r="C14" s="67" t="s">
        <v>196</v>
      </c>
      <c r="D14" s="67">
        <v>28.88</v>
      </c>
    </row>
    <row r="15" spans="1:4">
      <c r="A15" s="66" t="s">
        <v>180</v>
      </c>
      <c r="B15" s="70" t="s">
        <v>23</v>
      </c>
      <c r="C15" s="78" t="s">
        <v>182</v>
      </c>
      <c r="D15" s="78"/>
    </row>
    <row r="16" spans="1:4">
      <c r="A16" s="96"/>
      <c r="B16" s="81" t="s">
        <v>32</v>
      </c>
      <c r="C16" s="78" t="s">
        <v>337</v>
      </c>
      <c r="D16" s="78"/>
    </row>
    <row r="17" spans="1:4">
      <c r="A17" s="96"/>
      <c r="B17" s="82"/>
      <c r="C17" s="78" t="s">
        <v>338</v>
      </c>
      <c r="D17" s="78"/>
    </row>
    <row r="18" spans="1:4">
      <c r="A18" s="96"/>
      <c r="B18" s="82"/>
      <c r="C18" s="78" t="s">
        <v>339</v>
      </c>
      <c r="D18" s="78"/>
    </row>
    <row r="19" spans="1:4">
      <c r="A19" s="96"/>
      <c r="B19" s="82"/>
      <c r="C19" s="78" t="s">
        <v>340</v>
      </c>
      <c r="D19" s="78"/>
    </row>
    <row r="20" spans="1:4">
      <c r="A20" s="96"/>
      <c r="B20" s="82"/>
      <c r="C20" s="78" t="s">
        <v>341</v>
      </c>
      <c r="D20" s="78"/>
    </row>
    <row r="21" spans="1:4">
      <c r="A21" s="97"/>
      <c r="B21" s="83"/>
      <c r="C21" s="78" t="s">
        <v>342</v>
      </c>
      <c r="D21" s="78"/>
    </row>
    <row r="23" spans="1:4">
      <c r="A23" s="98" t="s">
        <v>343</v>
      </c>
      <c r="B23" s="98"/>
      <c r="C23" s="98"/>
      <c r="D23" s="98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workbookViewId="0">
      <selection activeCell="D7" sqref="D7"/>
    </sheetView>
  </sheetViews>
  <sheetFormatPr defaultColWidth="9" defaultRowHeight="13.5"/>
  <cols>
    <col min="1" max="1" width="11.4416666666667" style="24" customWidth="1"/>
    <col min="2" max="2" width="7.775" style="24" customWidth="1"/>
    <col min="3" max="6" width="8.44166666666667" style="50" customWidth="1"/>
    <col min="7" max="7" width="8.44166666666667" style="74" customWidth="1"/>
    <col min="8" max="8" width="7.775" style="50" customWidth="1"/>
    <col min="9" max="9" width="9.775" style="24" customWidth="1"/>
    <col min="10" max="10" width="7.33333333333333" style="24" customWidth="1"/>
    <col min="11" max="11" width="10" style="24" customWidth="1"/>
    <col min="12" max="12" width="10.4416666666667" style="26" customWidth="1"/>
    <col min="13" max="13" width="9" style="24"/>
    <col min="14" max="14" width="6.66666666666667" style="24" customWidth="1"/>
    <col min="15" max="16384" width="9" style="24"/>
  </cols>
  <sheetData>
    <row r="1" ht="25.5" spans="1:11">
      <c r="A1" s="2" t="s">
        <v>223</v>
      </c>
      <c r="B1" s="2" t="s">
        <v>344</v>
      </c>
      <c r="C1" s="75" t="s">
        <v>26</v>
      </c>
      <c r="D1" s="76"/>
      <c r="E1" s="77"/>
      <c r="F1" s="43" t="s">
        <v>345</v>
      </c>
      <c r="G1" s="65" t="s">
        <v>346</v>
      </c>
      <c r="H1" s="43" t="s">
        <v>347</v>
      </c>
      <c r="I1" s="4" t="s">
        <v>348</v>
      </c>
      <c r="J1" s="89" t="s">
        <v>178</v>
      </c>
      <c r="K1" s="90" t="s">
        <v>170</v>
      </c>
    </row>
    <row r="2" ht="15" customHeight="1" spans="1:12">
      <c r="A2" s="70" t="s">
        <v>349</v>
      </c>
      <c r="B2" s="78" t="s">
        <v>181</v>
      </c>
      <c r="C2" s="79"/>
      <c r="D2" s="79"/>
      <c r="E2" s="79"/>
      <c r="F2" s="33" t="str">
        <f t="shared" ref="F2:F10" si="0">IFERROR(AVERAGE(C2:E2),"")</f>
        <v/>
      </c>
      <c r="G2" s="33" t="str">
        <f t="shared" ref="G2:G10" si="1">IFERROR(F2-B2,"")</f>
        <v/>
      </c>
      <c r="H2" s="80">
        <f t="shared" ref="H2:H10" si="2">MAX(C2:E2)-MIN(C2:E2)</f>
        <v>0</v>
      </c>
      <c r="I2" s="80">
        <v>1</v>
      </c>
      <c r="J2" s="9">
        <v>0.2</v>
      </c>
      <c r="K2" s="9" t="str">
        <f t="shared" ref="K2:K10" si="3">IF(C2="","未检测",IF(AND(ROUND(ABS(G2),1)&lt;=ROUND(ABS(I2),1),ROUND(H2,1)&lt;=ROUND(J2,1)),"合格","不合格"))</f>
        <v>未检测</v>
      </c>
      <c r="L2" s="91"/>
    </row>
    <row r="3" ht="15" customHeight="1" spans="1:12">
      <c r="A3" s="70" t="s">
        <v>350</v>
      </c>
      <c r="B3" s="78" t="s">
        <v>351</v>
      </c>
      <c r="C3" s="79"/>
      <c r="D3" s="79"/>
      <c r="E3" s="79"/>
      <c r="F3" s="33" t="str">
        <f t="shared" si="0"/>
        <v/>
      </c>
      <c r="G3" s="33" t="str">
        <f t="shared" si="1"/>
        <v/>
      </c>
      <c r="H3" s="80">
        <f t="shared" si="2"/>
        <v>0</v>
      </c>
      <c r="I3" s="80">
        <v>1</v>
      </c>
      <c r="J3" s="9">
        <v>0.2</v>
      </c>
      <c r="K3" s="9" t="str">
        <f t="shared" si="3"/>
        <v>未检测</v>
      </c>
      <c r="L3" s="91"/>
    </row>
    <row r="4" ht="15" customHeight="1" spans="1:14">
      <c r="A4" s="70" t="s">
        <v>23</v>
      </c>
      <c r="B4" s="78" t="str">
        <f>标准值!C15</f>
        <v>807.4</v>
      </c>
      <c r="C4" s="79"/>
      <c r="D4" s="79"/>
      <c r="E4" s="79"/>
      <c r="F4" s="33" t="str">
        <f t="shared" si="0"/>
        <v/>
      </c>
      <c r="G4" s="33" t="str">
        <f t="shared" si="1"/>
        <v/>
      </c>
      <c r="H4" s="80">
        <f t="shared" si="2"/>
        <v>0</v>
      </c>
      <c r="I4" s="80">
        <v>1</v>
      </c>
      <c r="J4" s="9">
        <v>0.2</v>
      </c>
      <c r="K4" s="9" t="str">
        <f t="shared" si="3"/>
        <v>未检测</v>
      </c>
      <c r="L4" s="24"/>
      <c r="N4" s="92"/>
    </row>
    <row r="5" ht="12" customHeight="1" spans="1:12">
      <c r="A5" s="81" t="s">
        <v>32</v>
      </c>
      <c r="B5" s="78" t="str">
        <f>标准值!C16</f>
        <v>640.7</v>
      </c>
      <c r="C5" s="79"/>
      <c r="D5" s="79"/>
      <c r="E5" s="79"/>
      <c r="F5" s="33" t="str">
        <f t="shared" si="0"/>
        <v/>
      </c>
      <c r="G5" s="33" t="str">
        <f t="shared" si="1"/>
        <v/>
      </c>
      <c r="H5" s="80">
        <f t="shared" si="2"/>
        <v>0</v>
      </c>
      <c r="I5" s="80">
        <v>1</v>
      </c>
      <c r="J5" s="9">
        <v>0.2</v>
      </c>
      <c r="K5" s="9" t="str">
        <f t="shared" si="3"/>
        <v>未检测</v>
      </c>
      <c r="L5" s="91"/>
    </row>
    <row r="6" spans="1:14">
      <c r="A6" s="82"/>
      <c r="B6" s="78" t="str">
        <f>标准值!C17</f>
        <v>536.8</v>
      </c>
      <c r="C6" s="79"/>
      <c r="D6" s="79"/>
      <c r="E6" s="79"/>
      <c r="F6" s="33" t="str">
        <f t="shared" si="0"/>
        <v/>
      </c>
      <c r="G6" s="33" t="str">
        <f t="shared" si="1"/>
        <v/>
      </c>
      <c r="H6" s="80">
        <f t="shared" si="2"/>
        <v>0</v>
      </c>
      <c r="I6" s="80">
        <v>1</v>
      </c>
      <c r="J6" s="9">
        <v>0.2</v>
      </c>
      <c r="K6" s="9" t="str">
        <f t="shared" si="3"/>
        <v>未检测</v>
      </c>
      <c r="L6" s="91"/>
      <c r="N6" s="93"/>
    </row>
    <row r="7" spans="1:12">
      <c r="A7" s="82"/>
      <c r="B7" s="78" t="str">
        <f>标准值!C18</f>
        <v>416.5</v>
      </c>
      <c r="C7" s="79"/>
      <c r="D7" s="79"/>
      <c r="E7" s="79"/>
      <c r="F7" s="33" t="str">
        <f t="shared" si="0"/>
        <v/>
      </c>
      <c r="G7" s="33" t="str">
        <f t="shared" si="1"/>
        <v/>
      </c>
      <c r="H7" s="80">
        <f t="shared" si="2"/>
        <v>0</v>
      </c>
      <c r="I7" s="80">
        <v>1</v>
      </c>
      <c r="J7" s="9">
        <v>0.2</v>
      </c>
      <c r="K7" s="9" t="str">
        <f t="shared" si="3"/>
        <v>未检测</v>
      </c>
      <c r="L7" s="91"/>
    </row>
    <row r="8" ht="15" customHeight="1" spans="1:12">
      <c r="A8" s="82"/>
      <c r="B8" s="78" t="str">
        <f>标准值!C19</f>
        <v>361.0</v>
      </c>
      <c r="C8" s="79"/>
      <c r="D8" s="79"/>
      <c r="E8" s="79"/>
      <c r="F8" s="33" t="str">
        <f t="shared" si="0"/>
        <v/>
      </c>
      <c r="G8" s="33" t="str">
        <f t="shared" si="1"/>
        <v/>
      </c>
      <c r="H8" s="80">
        <f t="shared" si="2"/>
        <v>0</v>
      </c>
      <c r="I8" s="80">
        <v>1</v>
      </c>
      <c r="J8" s="9">
        <v>0.2</v>
      </c>
      <c r="K8" s="9" t="str">
        <f t="shared" si="3"/>
        <v>未检测</v>
      </c>
      <c r="L8" s="91"/>
    </row>
    <row r="9" ht="15" customHeight="1" spans="1:12">
      <c r="A9" s="82"/>
      <c r="B9" s="78" t="str">
        <f>标准值!C20</f>
        <v>287.4</v>
      </c>
      <c r="C9" s="79"/>
      <c r="D9" s="79"/>
      <c r="E9" s="79"/>
      <c r="F9" s="33" t="str">
        <f t="shared" si="0"/>
        <v/>
      </c>
      <c r="G9" s="33" t="str">
        <f t="shared" si="1"/>
        <v/>
      </c>
      <c r="H9" s="80">
        <f t="shared" si="2"/>
        <v>0</v>
      </c>
      <c r="I9" s="80">
        <v>1</v>
      </c>
      <c r="J9" s="9">
        <v>0.2</v>
      </c>
      <c r="K9" s="9" t="str">
        <f t="shared" si="3"/>
        <v>未检测</v>
      </c>
      <c r="L9" s="91"/>
    </row>
    <row r="10" ht="15" customHeight="1" spans="1:12">
      <c r="A10" s="83"/>
      <c r="B10" s="78" t="str">
        <f>标准值!C21</f>
        <v>241.0</v>
      </c>
      <c r="C10" s="79"/>
      <c r="D10" s="79"/>
      <c r="E10" s="79"/>
      <c r="F10" s="33" t="str">
        <f t="shared" si="0"/>
        <v/>
      </c>
      <c r="G10" s="33" t="str">
        <f t="shared" si="1"/>
        <v/>
      </c>
      <c r="H10" s="80">
        <f t="shared" si="2"/>
        <v>0</v>
      </c>
      <c r="I10" s="80">
        <v>1</v>
      </c>
      <c r="J10" s="9">
        <v>0.2</v>
      </c>
      <c r="K10" s="9" t="str">
        <f t="shared" si="3"/>
        <v>未检测</v>
      </c>
      <c r="L10" s="91"/>
    </row>
    <row r="11" ht="15" customHeight="1" spans="1:12">
      <c r="A11" s="84"/>
      <c r="B11" s="85"/>
      <c r="C11" s="86"/>
      <c r="D11" s="87"/>
      <c r="E11" s="87"/>
      <c r="F11" s="87"/>
      <c r="G11" s="88"/>
      <c r="H11" s="87"/>
      <c r="I11" s="87"/>
      <c r="J11" s="94"/>
      <c r="K11" s="25"/>
      <c r="L11" s="91"/>
    </row>
    <row r="12" spans="12:12">
      <c r="L12" s="24"/>
    </row>
    <row r="13" spans="12:12">
      <c r="L13" s="24"/>
    </row>
    <row r="14" spans="12:12">
      <c r="L14" s="24"/>
    </row>
    <row r="15" spans="12:12">
      <c r="L15" s="24"/>
    </row>
    <row r="16" spans="12:12">
      <c r="L16" s="24"/>
    </row>
    <row r="17" spans="12:12">
      <c r="L17" s="24"/>
    </row>
    <row r="18" spans="12:12">
      <c r="L18" s="24"/>
    </row>
    <row r="19" spans="12:12">
      <c r="L19" s="24"/>
    </row>
  </sheetData>
  <mergeCells count="2">
    <mergeCell ref="C1:E1"/>
    <mergeCell ref="A5:A10"/>
  </mergeCells>
  <conditionalFormatting sqref="K2:K11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workbookViewId="0">
      <selection activeCell="D2" sqref="D2:H14"/>
    </sheetView>
  </sheetViews>
  <sheetFormatPr defaultColWidth="9" defaultRowHeight="13.5"/>
  <cols>
    <col min="1" max="1" width="13.3333333333333" style="24" customWidth="1"/>
    <col min="2" max="2" width="7.21666666666667" style="25" customWidth="1"/>
    <col min="3" max="3" width="7.21666666666667" style="50" customWidth="1"/>
    <col min="4" max="6" width="7.88333333333333" style="59" customWidth="1"/>
    <col min="7" max="7" width="8.775" style="60" customWidth="1"/>
    <col min="8" max="8" width="7.88333333333333" style="61" customWidth="1"/>
    <col min="9" max="9" width="7.21666666666667" style="50" customWidth="1"/>
    <col min="10" max="11" width="7.21666666666667" style="24" customWidth="1"/>
    <col min="12" max="12" width="10" style="24" customWidth="1"/>
    <col min="13" max="13" width="9" style="24"/>
    <col min="14" max="14" width="14.3333333333333" style="24" customWidth="1"/>
    <col min="15" max="20" width="9" style="24"/>
    <col min="21" max="21" width="16.1083333333333" style="24" customWidth="1"/>
    <col min="22" max="22" width="13.8833333333333" style="24" customWidth="1"/>
    <col min="23" max="16384" width="9" style="24"/>
  </cols>
  <sheetData>
    <row r="1" ht="38.25" spans="1:12">
      <c r="A1" s="2" t="s">
        <v>223</v>
      </c>
      <c r="B1" s="2" t="s">
        <v>352</v>
      </c>
      <c r="C1" s="43" t="s">
        <v>50</v>
      </c>
      <c r="D1" s="62" t="s">
        <v>51</v>
      </c>
      <c r="E1" s="63"/>
      <c r="F1" s="64"/>
      <c r="G1" s="43" t="s">
        <v>353</v>
      </c>
      <c r="H1" s="65" t="s">
        <v>354</v>
      </c>
      <c r="I1" s="43" t="s">
        <v>355</v>
      </c>
      <c r="J1" s="4" t="s">
        <v>356</v>
      </c>
      <c r="K1" s="4" t="s">
        <v>357</v>
      </c>
      <c r="L1" s="2" t="s">
        <v>170</v>
      </c>
    </row>
    <row r="2" ht="15" customHeight="1" spans="1:12">
      <c r="A2" s="66" t="s">
        <v>49</v>
      </c>
      <c r="B2" s="67">
        <v>350</v>
      </c>
      <c r="C2" s="67">
        <f>标准值!D2</f>
        <v>23.2</v>
      </c>
      <c r="D2" s="68"/>
      <c r="E2" s="68"/>
      <c r="F2" s="68"/>
      <c r="G2" s="69" t="str">
        <f t="shared" ref="G2:G14" si="0">IFERROR(AVERAGE(D2:F2),"")</f>
        <v/>
      </c>
      <c r="H2" s="34" t="str">
        <f t="shared" ref="H2:H14" si="1">IFERROR(G2-C2,"")</f>
        <v/>
      </c>
      <c r="I2" s="73">
        <f t="shared" ref="I2:I14" si="2">MAX(ROUND(D2,2),ROUND(E2,2),ROUND(F2,2))-MIN(ROUND(D2,2),ROUND(E2,2),ROUND(F2,2))</f>
        <v>0</v>
      </c>
      <c r="J2" s="14">
        <v>0.3</v>
      </c>
      <c r="K2" s="14">
        <v>0.15</v>
      </c>
      <c r="L2" s="9" t="str">
        <f t="shared" ref="L2:L14" si="3">IF(D2="","未检测",IF(E2="","不合格",IF(F2="","不合格",IF(AND(ROUND(ABS(H2),2)&lt;=ROUND(ABS(J2),2),ROUND(I2,2)&lt;=ROUND(K2,2)),"合格","不合格"))))</f>
        <v>未检测</v>
      </c>
    </row>
    <row r="3" spans="1:12">
      <c r="A3" s="70"/>
      <c r="B3" s="67">
        <v>313</v>
      </c>
      <c r="C3" s="67">
        <f>标准值!D3</f>
        <v>51.58</v>
      </c>
      <c r="D3" s="68"/>
      <c r="E3" s="68"/>
      <c r="F3" s="68"/>
      <c r="G3" s="69" t="str">
        <f t="shared" si="0"/>
        <v/>
      </c>
      <c r="H3" s="34" t="str">
        <f t="shared" si="1"/>
        <v/>
      </c>
      <c r="I3" s="73">
        <f t="shared" si="2"/>
        <v>0</v>
      </c>
      <c r="J3" s="14">
        <v>0.3</v>
      </c>
      <c r="K3" s="14">
        <v>0.15</v>
      </c>
      <c r="L3" s="9" t="str">
        <f t="shared" si="3"/>
        <v>未检测</v>
      </c>
    </row>
    <row r="4" spans="1:12">
      <c r="A4" s="70"/>
      <c r="B4" s="71">
        <v>257</v>
      </c>
      <c r="C4" s="67">
        <f>标准值!D4</f>
        <v>14.06</v>
      </c>
      <c r="D4" s="68"/>
      <c r="E4" s="68"/>
      <c r="F4" s="68"/>
      <c r="G4" s="69" t="str">
        <f t="shared" si="0"/>
        <v/>
      </c>
      <c r="H4" s="34" t="str">
        <f t="shared" si="1"/>
        <v/>
      </c>
      <c r="I4" s="73">
        <f t="shared" si="2"/>
        <v>0</v>
      </c>
      <c r="J4" s="14">
        <v>0.3</v>
      </c>
      <c r="K4" s="14">
        <v>0.15</v>
      </c>
      <c r="L4" s="9" t="str">
        <f t="shared" si="3"/>
        <v>未检测</v>
      </c>
    </row>
    <row r="5" spans="1:12">
      <c r="A5" s="70"/>
      <c r="B5" s="71">
        <v>235</v>
      </c>
      <c r="C5" s="67">
        <f>标准值!D5</f>
        <v>18.42</v>
      </c>
      <c r="D5" s="68"/>
      <c r="E5" s="68"/>
      <c r="F5" s="68"/>
      <c r="G5" s="69" t="str">
        <f t="shared" si="0"/>
        <v/>
      </c>
      <c r="H5" s="34" t="str">
        <f t="shared" si="1"/>
        <v/>
      </c>
      <c r="I5" s="73">
        <f t="shared" si="2"/>
        <v>0</v>
      </c>
      <c r="J5" s="14">
        <v>0.3</v>
      </c>
      <c r="K5" s="14">
        <v>0.15</v>
      </c>
      <c r="L5" s="9" t="str">
        <f t="shared" si="3"/>
        <v>未检测</v>
      </c>
    </row>
    <row r="6" spans="1:12">
      <c r="A6" s="72" t="s">
        <v>38</v>
      </c>
      <c r="B6" s="67">
        <v>635</v>
      </c>
      <c r="C6" s="67">
        <f>标准值!D6</f>
        <v>7.57</v>
      </c>
      <c r="D6" s="68"/>
      <c r="E6" s="68"/>
      <c r="F6" s="68"/>
      <c r="G6" s="69" t="str">
        <f t="shared" si="0"/>
        <v/>
      </c>
      <c r="H6" s="34" t="str">
        <f t="shared" si="1"/>
        <v/>
      </c>
      <c r="I6" s="73">
        <f t="shared" si="2"/>
        <v>0</v>
      </c>
      <c r="J6" s="14">
        <v>0.3</v>
      </c>
      <c r="K6" s="14">
        <v>0.15</v>
      </c>
      <c r="L6" s="9" t="str">
        <f t="shared" si="3"/>
        <v>未检测</v>
      </c>
    </row>
    <row r="7" ht="15" customHeight="1" spans="1:12">
      <c r="A7" s="67"/>
      <c r="B7" s="67">
        <v>546</v>
      </c>
      <c r="C7" s="67">
        <f>标准值!D7</f>
        <v>10.1</v>
      </c>
      <c r="D7" s="68"/>
      <c r="E7" s="68"/>
      <c r="F7" s="68"/>
      <c r="G7" s="69" t="str">
        <f t="shared" si="0"/>
        <v/>
      </c>
      <c r="H7" s="34" t="str">
        <f t="shared" si="1"/>
        <v/>
      </c>
      <c r="I7" s="73">
        <f t="shared" si="2"/>
        <v>0</v>
      </c>
      <c r="J7" s="14">
        <v>0.3</v>
      </c>
      <c r="K7" s="14">
        <v>0.15</v>
      </c>
      <c r="L7" s="9" t="str">
        <f t="shared" si="3"/>
        <v>未检测</v>
      </c>
    </row>
    <row r="8" ht="15" customHeight="1" spans="1:12">
      <c r="A8" s="67"/>
      <c r="B8" s="67">
        <v>440</v>
      </c>
      <c r="C8" s="67">
        <f>标准值!D8</f>
        <v>10.07</v>
      </c>
      <c r="D8" s="68"/>
      <c r="E8" s="68"/>
      <c r="F8" s="68"/>
      <c r="G8" s="69" t="str">
        <f t="shared" si="0"/>
        <v/>
      </c>
      <c r="H8" s="34" t="str">
        <f t="shared" si="1"/>
        <v/>
      </c>
      <c r="I8" s="73">
        <f t="shared" si="2"/>
        <v>0</v>
      </c>
      <c r="J8" s="14">
        <v>0.3</v>
      </c>
      <c r="K8" s="14">
        <v>0.15</v>
      </c>
      <c r="L8" s="9" t="str">
        <f t="shared" si="3"/>
        <v>未检测</v>
      </c>
    </row>
    <row r="9" ht="15" customHeight="1" spans="1:12">
      <c r="A9" s="72" t="s">
        <v>44</v>
      </c>
      <c r="B9" s="67">
        <v>635</v>
      </c>
      <c r="C9" s="67">
        <f>标准值!D9</f>
        <v>18.98</v>
      </c>
      <c r="D9" s="68"/>
      <c r="E9" s="68"/>
      <c r="F9" s="68"/>
      <c r="G9" s="69" t="str">
        <f t="shared" si="0"/>
        <v/>
      </c>
      <c r="H9" s="34" t="str">
        <f t="shared" si="1"/>
        <v/>
      </c>
      <c r="I9" s="73">
        <f t="shared" si="2"/>
        <v>0</v>
      </c>
      <c r="J9" s="14">
        <v>0.3</v>
      </c>
      <c r="K9" s="14">
        <v>0.15</v>
      </c>
      <c r="L9" s="9" t="str">
        <f t="shared" si="3"/>
        <v>未检测</v>
      </c>
    </row>
    <row r="10" ht="15" customHeight="1" spans="1:12">
      <c r="A10" s="67"/>
      <c r="B10" s="67">
        <v>546</v>
      </c>
      <c r="C10" s="67">
        <f>标准值!D10</f>
        <v>20.09</v>
      </c>
      <c r="D10" s="68"/>
      <c r="E10" s="68"/>
      <c r="F10" s="68"/>
      <c r="G10" s="69" t="str">
        <f t="shared" si="0"/>
        <v/>
      </c>
      <c r="H10" s="34" t="str">
        <f t="shared" si="1"/>
        <v/>
      </c>
      <c r="I10" s="73">
        <f t="shared" si="2"/>
        <v>0</v>
      </c>
      <c r="J10" s="14">
        <v>0.3</v>
      </c>
      <c r="K10" s="14">
        <v>0.15</v>
      </c>
      <c r="L10" s="9" t="str">
        <f t="shared" si="3"/>
        <v>未检测</v>
      </c>
    </row>
    <row r="11" spans="1:12">
      <c r="A11" s="67"/>
      <c r="B11" s="67">
        <v>440</v>
      </c>
      <c r="C11" s="67">
        <f>标准值!D11</f>
        <v>20.91</v>
      </c>
      <c r="D11" s="68"/>
      <c r="E11" s="68"/>
      <c r="F11" s="68"/>
      <c r="G11" s="69" t="str">
        <f t="shared" si="0"/>
        <v/>
      </c>
      <c r="H11" s="34" t="str">
        <f t="shared" si="1"/>
        <v/>
      </c>
      <c r="I11" s="73">
        <f t="shared" si="2"/>
        <v>0</v>
      </c>
      <c r="J11" s="14">
        <v>0.3</v>
      </c>
      <c r="K11" s="14">
        <v>0.15</v>
      </c>
      <c r="L11" s="9" t="str">
        <f t="shared" si="3"/>
        <v>未检测</v>
      </c>
    </row>
    <row r="12" spans="1:12">
      <c r="A12" s="72" t="s">
        <v>46</v>
      </c>
      <c r="B12" s="67">
        <v>635</v>
      </c>
      <c r="C12" s="67">
        <f>标准值!D12</f>
        <v>29.96</v>
      </c>
      <c r="D12" s="68"/>
      <c r="E12" s="68"/>
      <c r="F12" s="68"/>
      <c r="G12" s="69" t="str">
        <f t="shared" si="0"/>
        <v/>
      </c>
      <c r="H12" s="34" t="str">
        <f t="shared" si="1"/>
        <v/>
      </c>
      <c r="I12" s="73">
        <f t="shared" si="2"/>
        <v>0</v>
      </c>
      <c r="J12" s="14">
        <v>0.3</v>
      </c>
      <c r="K12" s="14">
        <v>0.15</v>
      </c>
      <c r="L12" s="9" t="str">
        <f t="shared" si="3"/>
        <v>未检测</v>
      </c>
    </row>
    <row r="13" spans="1:12">
      <c r="A13" s="67"/>
      <c r="B13" s="67">
        <v>546</v>
      </c>
      <c r="C13" s="67">
        <f>标准值!D13</f>
        <v>30.43</v>
      </c>
      <c r="D13" s="68"/>
      <c r="E13" s="68"/>
      <c r="F13" s="68"/>
      <c r="G13" s="69" t="str">
        <f t="shared" si="0"/>
        <v/>
      </c>
      <c r="H13" s="34" t="str">
        <f t="shared" si="1"/>
        <v/>
      </c>
      <c r="I13" s="73">
        <f t="shared" si="2"/>
        <v>0</v>
      </c>
      <c r="J13" s="14">
        <v>0.3</v>
      </c>
      <c r="K13" s="14">
        <v>0.15</v>
      </c>
      <c r="L13" s="9" t="str">
        <f t="shared" si="3"/>
        <v>未检测</v>
      </c>
    </row>
    <row r="14" spans="1:12">
      <c r="A14" s="67"/>
      <c r="B14" s="67">
        <v>440</v>
      </c>
      <c r="C14" s="67">
        <f>标准值!D14</f>
        <v>28.88</v>
      </c>
      <c r="D14" s="68"/>
      <c r="E14" s="68"/>
      <c r="F14" s="68"/>
      <c r="G14" s="69" t="str">
        <f t="shared" si="0"/>
        <v/>
      </c>
      <c r="H14" s="34" t="str">
        <f t="shared" si="1"/>
        <v/>
      </c>
      <c r="I14" s="73">
        <f t="shared" si="2"/>
        <v>0</v>
      </c>
      <c r="J14" s="14">
        <v>0.3</v>
      </c>
      <c r="K14" s="14">
        <v>0.15</v>
      </c>
      <c r="L14" s="9" t="str">
        <f t="shared" si="3"/>
        <v>未检测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 count="5">
    <mergeCell ref="D1:F1"/>
    <mergeCell ref="A2:A5"/>
    <mergeCell ref="A6:A8"/>
    <mergeCell ref="A9:A11"/>
    <mergeCell ref="A12:A14"/>
  </mergeCells>
  <conditionalFormatting sqref="L2:L14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C2" sqref="C2:E6"/>
    </sheetView>
  </sheetViews>
  <sheetFormatPr defaultColWidth="9" defaultRowHeight="13.5" outlineLevelRow="5" outlineLevelCol="6"/>
  <cols>
    <col min="1" max="1" width="18.3333333333333" style="24" customWidth="1"/>
    <col min="2" max="2" width="7.88333333333333" style="24" customWidth="1"/>
    <col min="3" max="5" width="12.775" style="49" customWidth="1"/>
    <col min="6" max="6" width="10" style="50" customWidth="1"/>
    <col min="7" max="8" width="9.33333333333333" style="24" customWidth="1"/>
    <col min="9" max="16384" width="9" style="24"/>
  </cols>
  <sheetData>
    <row r="1" ht="30" customHeight="1" spans="1:7">
      <c r="A1" s="2" t="s">
        <v>223</v>
      </c>
      <c r="B1" s="2" t="s">
        <v>358</v>
      </c>
      <c r="C1" s="51" t="s">
        <v>51</v>
      </c>
      <c r="D1" s="3"/>
      <c r="E1" s="3"/>
      <c r="F1" s="52" t="s">
        <v>359</v>
      </c>
      <c r="G1" s="2" t="s">
        <v>170</v>
      </c>
    </row>
    <row r="2" ht="18" customHeight="1" spans="1:7">
      <c r="A2" s="53" t="s">
        <v>56</v>
      </c>
      <c r="B2" s="53">
        <v>220</v>
      </c>
      <c r="C2" s="54"/>
      <c r="D2" s="54"/>
      <c r="E2" s="54"/>
      <c r="F2" s="55">
        <v>0.05</v>
      </c>
      <c r="G2" s="9" t="str">
        <f>IF(C2="","未检测",IF(D2="","不合格",IF(E2="","不合格",IF(ROUND(ABS(AVERAGE(C2:E2)),4)&lt;ROUND(F2,4),"合格","不合格"))))</f>
        <v>未检测</v>
      </c>
    </row>
    <row r="3" ht="16.5" customHeight="1" spans="1:7">
      <c r="A3" s="53" t="s">
        <v>60</v>
      </c>
      <c r="B3" s="53">
        <v>360</v>
      </c>
      <c r="C3" s="54"/>
      <c r="D3" s="54"/>
      <c r="E3" s="54"/>
      <c r="F3" s="55">
        <v>0.05</v>
      </c>
      <c r="G3" s="9" t="str">
        <f>IF(C3="","未检测",IF(D3="","不合格",IF(E3="","不合格",IF(ROUND(ABS(AVERAGE(C3:E3)),4)&lt;ROUND(F3,4),"合格","不合格"))))</f>
        <v>未检测</v>
      </c>
    </row>
    <row r="4" spans="1:7">
      <c r="A4" s="56" t="s">
        <v>360</v>
      </c>
      <c r="B4" s="14">
        <v>200</v>
      </c>
      <c r="C4" s="54"/>
      <c r="D4" s="54"/>
      <c r="E4" s="54"/>
      <c r="F4" s="41">
        <v>2</v>
      </c>
      <c r="G4" s="56" t="str">
        <f>IF(C4="","未检测",IF(OR(IF(AND(ROUND(C4,3)&gt;=F4,ROUND(D4,3)&gt;=F4,ROUND(E4,3)&gt;=F4),TRUE,FALSE),IF(AND(ROUND(C5,3)&gt;=F5,ROUND(D5,3)&gt;=F5,ROUND(E5,3)&gt;=F5),TRUE,FALSE),IF(AND(ROUND(C6,3)&gt;=F6,ROUND(D6,3)&gt;=F6,ROUND(E6,3)&gt;=F6),TRUE,FALSE)),"合格","不合格"))</f>
        <v>未检测</v>
      </c>
    </row>
    <row r="5" spans="1:7">
      <c r="A5" s="57"/>
      <c r="B5" s="14">
        <v>199</v>
      </c>
      <c r="C5" s="54"/>
      <c r="D5" s="54"/>
      <c r="E5" s="54"/>
      <c r="F5" s="41">
        <v>2</v>
      </c>
      <c r="G5" s="57"/>
    </row>
    <row r="6" spans="1:7">
      <c r="A6" s="58"/>
      <c r="B6" s="14">
        <v>198</v>
      </c>
      <c r="C6" s="54"/>
      <c r="D6" s="54"/>
      <c r="E6" s="54"/>
      <c r="F6" s="41">
        <v>2</v>
      </c>
      <c r="G6" s="58"/>
    </row>
  </sheetData>
  <mergeCells count="3">
    <mergeCell ref="C1:E1"/>
    <mergeCell ref="A4:A6"/>
    <mergeCell ref="G4:G6"/>
  </mergeCells>
  <conditionalFormatting sqref="G2:G4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2" sqref="B2"/>
    </sheetView>
  </sheetViews>
  <sheetFormatPr defaultColWidth="9" defaultRowHeight="13.5" outlineLevelRow="4" outlineLevelCol="3"/>
  <cols>
    <col min="1" max="1" width="11.775" customWidth="1"/>
    <col min="2" max="2" width="16.1083333333333" style="44" customWidth="1"/>
    <col min="3" max="3" width="17.4416666666667" customWidth="1"/>
    <col min="4" max="4" width="12.2166666666667" customWidth="1"/>
  </cols>
  <sheetData>
    <row r="1" ht="30" customHeight="1" spans="1:4">
      <c r="A1" s="2" t="s">
        <v>223</v>
      </c>
      <c r="B1" s="45" t="s">
        <v>63</v>
      </c>
      <c r="C1" s="4" t="s">
        <v>359</v>
      </c>
      <c r="D1" s="2" t="s">
        <v>170</v>
      </c>
    </row>
    <row r="2" spans="1:4">
      <c r="A2" s="5" t="s">
        <v>61</v>
      </c>
      <c r="B2" s="46"/>
      <c r="C2" s="47">
        <v>0.002</v>
      </c>
      <c r="D2" s="9" t="str">
        <f>IF(B2="","未检测",IF(OR(B2="",(ABS(B2)&gt;C2)),"不合格","合格"))</f>
        <v>未检测</v>
      </c>
    </row>
    <row r="4" spans="2:2">
      <c r="B4" s="48"/>
    </row>
    <row r="5" spans="1:1">
      <c r="A5" s="18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showGridLines="0" workbookViewId="0">
      <selection activeCell="B2" sqref="B2"/>
    </sheetView>
  </sheetViews>
  <sheetFormatPr defaultColWidth="9" defaultRowHeight="13.5" outlineLevelRow="1" outlineLevelCol="3"/>
  <cols>
    <col min="1" max="1" width="11.775" customWidth="1"/>
    <col min="2" max="2" width="16.1083333333333" style="10" customWidth="1"/>
    <col min="3" max="3" width="17.4416666666667" customWidth="1"/>
    <col min="4" max="4" width="12.2166666666667" customWidth="1"/>
  </cols>
  <sheetData>
    <row r="1" ht="30" customHeight="1" spans="1:4">
      <c r="A1" s="2" t="s">
        <v>223</v>
      </c>
      <c r="B1" s="43" t="s">
        <v>63</v>
      </c>
      <c r="C1" s="4" t="s">
        <v>359</v>
      </c>
      <c r="D1" s="2" t="s">
        <v>170</v>
      </c>
    </row>
    <row r="2" spans="1:4">
      <c r="A2" s="5" t="s">
        <v>246</v>
      </c>
      <c r="B2" s="40"/>
      <c r="C2" s="41">
        <v>1.4</v>
      </c>
      <c r="D2" s="9" t="str">
        <f>IF(B2="","未检测",IF(OR(B2="",(ABS(B2)&lt;C2)),"不合格","合格"))</f>
        <v>未检测</v>
      </c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2" sqref="B2"/>
    </sheetView>
  </sheetViews>
  <sheetFormatPr defaultColWidth="9" defaultRowHeight="13.5" outlineLevelRow="4" outlineLevelCol="3"/>
  <cols>
    <col min="1" max="1" width="12.2166666666667" customWidth="1"/>
    <col min="2" max="2" width="12.775" style="37" customWidth="1"/>
    <col min="3" max="3" width="13.2166666666667" style="38" customWidth="1"/>
    <col min="4" max="4" width="10.2166666666667" customWidth="1"/>
    <col min="5" max="5" width="13.4416666666667" customWidth="1"/>
    <col min="9" max="9" width="10" customWidth="1"/>
  </cols>
  <sheetData>
    <row r="1" ht="30" customHeight="1" spans="1:4">
      <c r="A1" s="2" t="s">
        <v>223</v>
      </c>
      <c r="B1" s="29" t="s">
        <v>51</v>
      </c>
      <c r="C1" s="39" t="s">
        <v>359</v>
      </c>
      <c r="D1" s="2" t="s">
        <v>170</v>
      </c>
    </row>
    <row r="2" spans="1:4">
      <c r="A2" s="5" t="s">
        <v>64</v>
      </c>
      <c r="B2" s="40"/>
      <c r="C2" s="41">
        <v>0.3</v>
      </c>
      <c r="D2" s="9" t="str">
        <f>IF(B2="","未检测",IF(ABS(ROUND(B2,4))&lt;ROUND(C2,4),"合格","不合格"))</f>
        <v>未检测</v>
      </c>
    </row>
    <row r="4" spans="2:2">
      <c r="B4" s="42"/>
    </row>
    <row r="5" spans="1:1">
      <c r="A5" s="18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workbookViewId="0">
      <selection activeCell="D2" sqref="D2"/>
    </sheetView>
  </sheetViews>
  <sheetFormatPr defaultColWidth="9" defaultRowHeight="13.5" outlineLevelRow="2" outlineLevelCol="6"/>
  <cols>
    <col min="1" max="1" width="9.33333333333333" style="24" customWidth="1"/>
    <col min="2" max="2" width="9.33333333333333" style="25" customWidth="1"/>
    <col min="3" max="3" width="11.3333333333333" style="26" customWidth="1"/>
    <col min="4" max="4" width="14.775" style="27" customWidth="1"/>
    <col min="5" max="5" width="12.1083333333333" style="27" customWidth="1"/>
    <col min="6" max="6" width="14.8833333333333" style="27" customWidth="1"/>
    <col min="7" max="7" width="10" style="24" customWidth="1"/>
    <col min="8" max="11" width="9" style="24"/>
    <col min="12" max="12" width="16.4416666666667" style="24" customWidth="1"/>
    <col min="13" max="16384" width="9" style="24"/>
  </cols>
  <sheetData>
    <row r="1" ht="30" customHeight="1" spans="1:7">
      <c r="A1" s="2" t="s">
        <v>223</v>
      </c>
      <c r="B1" s="28" t="s">
        <v>120</v>
      </c>
      <c r="C1" s="28" t="s">
        <v>121</v>
      </c>
      <c r="D1" s="29" t="s">
        <v>26</v>
      </c>
      <c r="E1" s="29" t="s">
        <v>71</v>
      </c>
      <c r="F1" s="30" t="s">
        <v>361</v>
      </c>
      <c r="G1" s="2" t="s">
        <v>170</v>
      </c>
    </row>
    <row r="2" ht="15" customHeight="1" spans="1:7">
      <c r="A2" s="5" t="s">
        <v>69</v>
      </c>
      <c r="B2" s="31">
        <v>656.1</v>
      </c>
      <c r="C2" s="32">
        <v>2</v>
      </c>
      <c r="D2" s="33"/>
      <c r="E2" s="33">
        <f>(D2-C2)/C2*100</f>
        <v>-100</v>
      </c>
      <c r="F2" s="34">
        <v>20</v>
      </c>
      <c r="G2" s="9" t="str">
        <f>IF(D2="","未检测",IF(ROUND(ABS(E2),2)&lt;=ROUND(ABS(F2),2),"合格","不合格"))</f>
        <v>未检测</v>
      </c>
    </row>
    <row r="3" spans="3:7">
      <c r="C3" s="35"/>
      <c r="D3" s="36"/>
      <c r="E3" s="36"/>
      <c r="F3" s="36"/>
      <c r="G3" s="25"/>
    </row>
  </sheetData>
  <conditionalFormatting sqref="G2">
    <cfRule type="cellIs" dxfId="0" priority="2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selection activeCell="C2" sqref="C2:C5"/>
    </sheetView>
  </sheetViews>
  <sheetFormatPr defaultColWidth="9" defaultRowHeight="13.5" outlineLevelRow="6" outlineLevelCol="4"/>
  <cols>
    <col min="1" max="1" width="15" customWidth="1"/>
    <col min="2" max="2" width="11.3333333333333" customWidth="1"/>
    <col min="3" max="3" width="14.6666666666667" style="1" customWidth="1"/>
    <col min="4" max="4" width="14.1083333333333" style="1" customWidth="1"/>
    <col min="5" max="5" width="10" customWidth="1"/>
  </cols>
  <sheetData>
    <row r="1" ht="30" customHeight="1" spans="1:5">
      <c r="A1" s="11" t="s">
        <v>223</v>
      </c>
      <c r="B1" s="2" t="s">
        <v>120</v>
      </c>
      <c r="C1" s="20" t="s">
        <v>51</v>
      </c>
      <c r="D1" s="21" t="s">
        <v>362</v>
      </c>
      <c r="E1" s="2" t="s">
        <v>170</v>
      </c>
    </row>
    <row r="2" spans="1:5">
      <c r="A2" s="14" t="s">
        <v>202</v>
      </c>
      <c r="B2" s="15">
        <v>500</v>
      </c>
      <c r="C2" s="22"/>
      <c r="D2" s="23">
        <v>0.12</v>
      </c>
      <c r="E2" s="9" t="str">
        <f>IF(C2="","未检测",IF(C2&lt;=D2,"合格","不合格"))</f>
        <v>未检测</v>
      </c>
    </row>
    <row r="3" spans="1:5">
      <c r="A3" s="14" t="s">
        <v>203</v>
      </c>
      <c r="B3" s="15">
        <v>500</v>
      </c>
      <c r="C3" s="22"/>
      <c r="D3" s="23">
        <v>0.05</v>
      </c>
      <c r="E3" s="9" t="str">
        <f>IF(C3="","未检测",IF(C3&lt;=D3,"合格","不合格"))</f>
        <v>未检测</v>
      </c>
    </row>
    <row r="4" spans="1:5">
      <c r="A4" s="14" t="s">
        <v>204</v>
      </c>
      <c r="B4" s="15">
        <v>250</v>
      </c>
      <c r="C4" s="22"/>
      <c r="D4" s="23">
        <v>0.12</v>
      </c>
      <c r="E4" s="9" t="str">
        <f>IF(C4="","未检测",IF(C4&lt;=D4,"合格","不合格"))</f>
        <v>未检测</v>
      </c>
    </row>
    <row r="5" spans="1:5">
      <c r="A5" s="14" t="s">
        <v>205</v>
      </c>
      <c r="B5" s="15">
        <v>250</v>
      </c>
      <c r="C5" s="22"/>
      <c r="D5" s="23">
        <v>0.05</v>
      </c>
      <c r="E5" s="9" t="str">
        <f>IF(C5="","未检测",IF(C5&lt;=D5,"合格","不合格"))</f>
        <v>未检测</v>
      </c>
    </row>
    <row r="7" spans="1:2">
      <c r="A7" s="18"/>
      <c r="B7" s="19"/>
    </row>
  </sheetData>
  <conditionalFormatting sqref="E2:E5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tabSelected="1" workbookViewId="0">
      <selection activeCell="L25" sqref="L25"/>
    </sheetView>
  </sheetViews>
  <sheetFormatPr defaultColWidth="9" defaultRowHeight="13.5" outlineLevelRow="6" outlineLevelCol="4"/>
  <cols>
    <col min="1" max="1" width="16.1083333333333" customWidth="1"/>
    <col min="2" max="2" width="11.3333333333333" customWidth="1"/>
    <col min="3" max="3" width="14.3333333333333" style="10" customWidth="1"/>
    <col min="4" max="4" width="14.2166666666667" style="10" customWidth="1"/>
    <col min="5" max="5" width="10.775" customWidth="1"/>
  </cols>
  <sheetData>
    <row r="1" ht="30" customHeight="1" spans="1:5">
      <c r="A1" s="11" t="s">
        <v>223</v>
      </c>
      <c r="B1" s="2" t="s">
        <v>363</v>
      </c>
      <c r="C1" s="12" t="s">
        <v>51</v>
      </c>
      <c r="D1" s="13" t="s">
        <v>362</v>
      </c>
      <c r="E1" s="2" t="s">
        <v>170</v>
      </c>
    </row>
    <row r="2" spans="1:5">
      <c r="A2" s="14" t="s">
        <v>207</v>
      </c>
      <c r="B2" s="15">
        <v>1090</v>
      </c>
      <c r="C2" s="16"/>
      <c r="D2" s="17">
        <v>0.5</v>
      </c>
      <c r="E2" s="9" t="str">
        <f>IF(C2="","未检测",IF(C2&lt;=D2,"合格","不合格"))</f>
        <v>未检测</v>
      </c>
    </row>
    <row r="3" spans="1:5">
      <c r="A3" s="14" t="s">
        <v>208</v>
      </c>
      <c r="B3" s="15">
        <v>1090</v>
      </c>
      <c r="C3" s="16"/>
      <c r="D3" s="17">
        <v>0.2</v>
      </c>
      <c r="E3" s="9" t="str">
        <f>IF(C3="","未检测",IF(C3&lt;=D3,"合格","不合格"))</f>
        <v>未检测</v>
      </c>
    </row>
    <row r="4" spans="1:5">
      <c r="A4" s="14" t="s">
        <v>209</v>
      </c>
      <c r="B4" s="15">
        <v>200</v>
      </c>
      <c r="C4" s="16"/>
      <c r="D4" s="17">
        <v>0.5</v>
      </c>
      <c r="E4" s="9" t="str">
        <f>IF(C4="","未检测",IF(C4&lt;=D4,"合格","不合格"))</f>
        <v>未检测</v>
      </c>
    </row>
    <row r="5" spans="1:5">
      <c r="A5" s="14" t="s">
        <v>210</v>
      </c>
      <c r="B5" s="15">
        <v>200</v>
      </c>
      <c r="C5" s="16"/>
      <c r="D5" s="17">
        <v>0.2</v>
      </c>
      <c r="E5" s="9" t="str">
        <f>IF(C5="","未检测",IF(C5&lt;=D5,"合格","不合格"))</f>
        <v>未检测</v>
      </c>
    </row>
    <row r="7" spans="1:2">
      <c r="A7" s="18"/>
      <c r="B7" s="19"/>
    </row>
  </sheetData>
  <conditionalFormatting sqref="E2:E5">
    <cfRule type="cellIs" dxfId="0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E12" sqref="E12"/>
    </sheetView>
  </sheetViews>
  <sheetFormatPr defaultColWidth="9" defaultRowHeight="13.5" outlineLevelCol="4"/>
  <cols>
    <col min="1" max="2" width="10.4416666666667" customWidth="1"/>
    <col min="3" max="3" width="16.6666666666667" style="1" customWidth="1"/>
    <col min="4" max="4" width="16.6666666666667" customWidth="1"/>
    <col min="5" max="5" width="10.775" customWidth="1"/>
  </cols>
  <sheetData>
    <row r="1" ht="30" customHeight="1" spans="1:5">
      <c r="A1" s="2" t="s">
        <v>223</v>
      </c>
      <c r="B1" s="2" t="s">
        <v>363</v>
      </c>
      <c r="C1" s="3" t="s">
        <v>51</v>
      </c>
      <c r="D1" s="4" t="s">
        <v>359</v>
      </c>
      <c r="E1" s="2" t="s">
        <v>170</v>
      </c>
    </row>
    <row r="2" spans="1:5">
      <c r="A2" s="5" t="s">
        <v>211</v>
      </c>
      <c r="B2" s="6">
        <v>500</v>
      </c>
      <c r="C2" s="7"/>
      <c r="D2" s="8">
        <v>0.24</v>
      </c>
      <c r="E2" s="9" t="str">
        <f>IF(C2="","未检测",IF(C2&lt;=D2,"合格","不合格"))</f>
        <v>未检测</v>
      </c>
    </row>
    <row r="3" spans="1:5">
      <c r="A3" s="5" t="s">
        <v>211</v>
      </c>
      <c r="B3" s="6">
        <v>500</v>
      </c>
      <c r="C3" s="7"/>
      <c r="D3" s="8">
        <v>0.24</v>
      </c>
      <c r="E3" s="9" t="str">
        <f>IF(C3="","未检测",IF(C3&lt;=D3,"合格","不合格"))</f>
        <v>未检测</v>
      </c>
    </row>
    <row r="4" spans="1:5">
      <c r="A4" s="5" t="s">
        <v>211</v>
      </c>
      <c r="B4" s="6">
        <v>500</v>
      </c>
      <c r="C4" s="7"/>
      <c r="D4" s="8">
        <v>0.24</v>
      </c>
      <c r="E4" s="9" t="str">
        <f>IF(C4="","未检测",IF(C4&lt;=D4,"合格","不合格"))</f>
        <v>未检测</v>
      </c>
    </row>
    <row r="5" spans="1:5">
      <c r="A5" s="5" t="s">
        <v>211</v>
      </c>
      <c r="B5" s="6">
        <v>500</v>
      </c>
      <c r="C5" s="7"/>
      <c r="D5" s="8">
        <v>0.24</v>
      </c>
      <c r="E5" s="9" t="str">
        <f>IF(C5="","未检测",IF(C5&lt;=D5,"合格","不合格"))</f>
        <v>未检测</v>
      </c>
    </row>
    <row r="6" spans="1:5">
      <c r="A6" s="5" t="s">
        <v>211</v>
      </c>
      <c r="B6" s="6">
        <v>500</v>
      </c>
      <c r="C6" s="7"/>
      <c r="D6" s="8">
        <v>0.24</v>
      </c>
      <c r="E6" s="9" t="str">
        <f>IF(C6="","未检测",IF(C6&lt;=D6,"合格","不合格"))</f>
        <v>未检测</v>
      </c>
    </row>
    <row r="7" spans="1:5">
      <c r="A7" s="5" t="s">
        <v>211</v>
      </c>
      <c r="B7" s="6">
        <v>500</v>
      </c>
      <c r="C7" s="7"/>
      <c r="D7" s="8">
        <v>0.24</v>
      </c>
      <c r="E7" s="9" t="str">
        <f>IF(C7="","未检测",IF(C7&lt;=D7,"合格","不合格"))</f>
        <v>未检测</v>
      </c>
    </row>
    <row r="8" spans="1:5">
      <c r="A8" s="5" t="s">
        <v>211</v>
      </c>
      <c r="B8" s="6">
        <v>500</v>
      </c>
      <c r="C8" s="7"/>
      <c r="D8" s="8">
        <v>0.24</v>
      </c>
      <c r="E8" s="9" t="str">
        <f>IF(C8="","未检测",IF(C8&lt;=D8,"合格","不合格"))</f>
        <v>未检测</v>
      </c>
    </row>
    <row r="9" spans="1:5">
      <c r="A9" s="5" t="s">
        <v>211</v>
      </c>
      <c r="B9" s="6">
        <v>500</v>
      </c>
      <c r="C9" s="7"/>
      <c r="D9" s="8">
        <v>0.24</v>
      </c>
      <c r="E9" s="9" t="str">
        <f>IF(C9="","未检测",IF(C9&lt;=D9,"合格","不合格"))</f>
        <v>未检测</v>
      </c>
    </row>
    <row r="10" spans="1:5">
      <c r="A10" s="5" t="s">
        <v>211</v>
      </c>
      <c r="B10" s="6">
        <v>500</v>
      </c>
      <c r="C10" s="7"/>
      <c r="D10" s="8">
        <v>0.24</v>
      </c>
      <c r="E10" s="9" t="str">
        <f>IF(C10="","未检测",IF(C10&lt;=D10,"合格","不合格"))</f>
        <v>未检测</v>
      </c>
    </row>
    <row r="11" spans="1:5">
      <c r="A11" s="5" t="s">
        <v>211</v>
      </c>
      <c r="B11" s="6">
        <v>500</v>
      </c>
      <c r="C11" s="7"/>
      <c r="D11" s="8">
        <v>0.24</v>
      </c>
      <c r="E11" s="9" t="str">
        <f>IF(C11="","未检测",IF(C11&lt;=D11,"合格","不合格"))</f>
        <v>未检测</v>
      </c>
    </row>
  </sheetData>
  <conditionalFormatting sqref="E2:E11">
    <cfRule type="cellIs" dxfId="0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字段对应</vt:lpstr>
      <vt:lpstr>标准值</vt:lpstr>
      <vt:lpstr>波长示值误差与重复性校验</vt:lpstr>
      <vt:lpstr>透射比示值误差与重复性校验</vt:lpstr>
      <vt:lpstr>杂散光校验</vt:lpstr>
      <vt:lpstr>基线平直度检验</vt:lpstr>
      <vt:lpstr>分辨率检验</vt:lpstr>
      <vt:lpstr>基线暗噪声检验</vt:lpstr>
      <vt:lpstr>光谱带宽与仪器最小光谱带宽</vt:lpstr>
      <vt:lpstr>噪声检验</vt:lpstr>
      <vt:lpstr>波长边缘噪声</vt:lpstr>
      <vt:lpstr>漂移检验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2025-08-12T08:02:43Z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A5DF62BE52AA4ADCABD9D4D957D87EF9_12</vt:lpwstr>
  </property>
  <property fmtid="{D5CDD505-2E9C-101B-9397-08002B2CF9AE}" pid="3" name="KSOProductBuildVer">
    <vt:lpwstr>2052-12.1.0.21915</vt:lpwstr>
  </property>
</Properties>
</file>