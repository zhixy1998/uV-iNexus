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9" firstSheet="3" activeTab="5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r:id="rId5"/>
    <sheet name="检测项信息" sheetId="14" r:id="rId6"/>
    <sheet name="仪器状态" sheetId="22" r:id="rId7"/>
    <sheet name="样品池准确度与重复性校验" sheetId="24" state="hidden" r:id="rId8"/>
    <sheet name="字段对应" sheetId="15" state="hidden" r:id="rId9"/>
    <sheet name="标准值" sheetId="16" r:id="rId10"/>
    <sheet name="样品池重复性" sheetId="27" r:id="rId11"/>
    <sheet name="能量扫描" sheetId="25" r:id="rId12"/>
    <sheet name="波长拟合" sheetId="26" r:id="rId13"/>
    <sheet name="波长示值误差校验" sheetId="3" r:id="rId14"/>
    <sheet name="杂散光校验" sheetId="5" r:id="rId15"/>
    <sheet name="基线平直度检验" sheetId="6" r:id="rId16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<sst xmlns="http://schemas.openxmlformats.org/spreadsheetml/2006/main" count="723" uniqueCount="308">
  <si>
    <t>北京普析通用仪器有限责任公司</t>
  </si>
  <si>
    <t>文件编号</t>
  </si>
  <si>
    <t>T500系列紫外可见分光光度计整机检验原始记录表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</si>
  <si>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</si>
  <si>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</si>
  <si>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</si>
  <si>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</si>
  <si>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</si>
  <si>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</si>
  <si>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</si>
  <si>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</si>
  <si>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</si>
  <si>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</si>
  <si>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UVWin版本号</t>
  </si>
  <si>
    <t>UVTouch版本号</t>
  </si>
  <si>
    <t>检验软件版本号</t>
  </si>
  <si>
    <t>序号</t>
  </si>
  <si>
    <t>检验项目</t>
  </si>
  <si>
    <t>结果</t>
  </si>
  <si>
    <t>样品池重复性</t>
  </si>
  <si>
    <t>准确度：100%±0.1%
重复性：&lt;0.1%</t>
  </si>
  <si>
    <t>1号池测量值(%)</t>
  </si>
  <si>
    <t>重复性(%)</t>
  </si>
  <si>
    <t>波长拟合</t>
  </si>
  <si>
    <t>检测工具</t>
  </si>
  <si>
    <t>模式</t>
  </si>
  <si>
    <t>增益</t>
  </si>
  <si>
    <t>标准值(nm)</t>
  </si>
  <si>
    <t>测量值（nm）</t>
  </si>
  <si>
    <t>氘灯</t>
  </si>
  <si>
    <t>钬溶液</t>
  </si>
  <si>
    <t>镨钕滤光片</t>
  </si>
  <si>
    <t>能量扫描</t>
  </si>
  <si>
    <t>提示</t>
  </si>
  <si>
    <t>标准值</t>
  </si>
  <si>
    <t>测量值</t>
  </si>
  <si>
    <t>定点波长：486nm</t>
  </si>
  <si>
    <t>波长段：656.1nm</t>
  </si>
  <si>
    <t>波长段：700nm-190nm</t>
  </si>
  <si>
    <t>钨灯</t>
  </si>
  <si>
    <t>波长段：1100nm-300nm</t>
  </si>
  <si>
    <t>波长示值误差校验</t>
  </si>
  <si>
    <t xml:space="preserve">
波长示值误差
氘灯：
±0.1nm
镨钕：
±0.3nm
波长重复性
≤0.1nm 
</t>
  </si>
  <si>
    <t>波长段</t>
  </si>
  <si>
    <t>B段</t>
  </si>
  <si>
    <t>误差值(nm)</t>
  </si>
  <si>
    <t xml:space="preserve">波长示值误差校验
</t>
  </si>
  <si>
    <t xml:space="preserve">
波长示值误差
钬溶液：
±0.3nm
波长重复性
≤0.1nm 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</si>
  <si>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</si>
  <si>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</si>
  <si>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</si>
  <si>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</si>
  <si>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</si>
  <si>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</si>
  <si>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</si>
  <si>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</si>
  <si>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</si>
  <si>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</si>
  <si>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</si>
  <si>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</si>
  <si>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</si>
  <si>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</si>
  <si>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</si>
  <si>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</si>
  <si>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</si>
  <si>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</si>
  <si>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</si>
  <si>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</si>
  <si>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</si>
  <si>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</si>
  <si>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</si>
  <si>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</si>
  <si>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</si>
  <si>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</si>
  <si>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</si>
  <si>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</si>
  <si>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</si>
  <si>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</si>
  <si>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响应时间</t>
  </si>
  <si>
    <t>是</t>
  </si>
  <si>
    <t>Abs</t>
  </si>
  <si>
    <t>快速</t>
  </si>
  <si>
    <t>低压汞灯A段</t>
  </si>
  <si>
    <t>否</t>
  </si>
  <si>
    <t>其它</t>
  </si>
  <si>
    <t>T%</t>
  </si>
  <si>
    <t>中速</t>
  </si>
  <si>
    <t>低压汞灯B段</t>
  </si>
  <si>
    <t>365.0,435.8,546.1</t>
  </si>
  <si>
    <t>汞灯</t>
  </si>
  <si>
    <t>Es</t>
  </si>
  <si>
    <t>慢速</t>
  </si>
  <si>
    <t>1.0</t>
  </si>
  <si>
    <t>739.2,,807.4</t>
  </si>
  <si>
    <t>Er</t>
  </si>
  <si>
    <t>最慢速</t>
  </si>
  <si>
    <t>2.0</t>
  </si>
  <si>
    <t>10%中性滤光片</t>
  </si>
  <si>
    <t>635.0,546.0,440.0</t>
  </si>
  <si>
    <t>R%</t>
  </si>
  <si>
    <t>5.0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</si>
  <si>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</si>
  <si>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</si>
  <si>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</si>
  <si>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</si>
  <si>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</si>
  <si>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</si>
  <si>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</si>
  <si>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</si>
  <si>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</si>
  <si>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</si>
  <si>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</si>
  <si>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</si>
  <si>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</si>
  <si>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</si>
  <si>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</si>
  <si>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</si>
  <si>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</si>
  <si>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</si>
  <si>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</si>
  <si>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</si>
  <si>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</si>
  <si>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</si>
  <si>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</si>
  <si>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</si>
  <si>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</si>
  <si>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</si>
  <si>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</si>
  <si>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</si>
  <si>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</si>
  <si>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</si>
  <si>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</si>
  <si>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</si>
  <si>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</si>
  <si>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</si>
  <si>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</si>
  <si>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</si>
  <si>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</si>
  <si>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紫外分光光度计标准物质GBW(E)130066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</si>
  <si>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</si>
  <si>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</si>
  <si>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</si>
  <si>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</si>
  <si>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</si>
  <si>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</si>
  <si>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</si>
  <si>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</si>
  <si>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</si>
  <si>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</si>
  <si>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基线暗噪声</t>
  </si>
  <si>
    <t>光谱带宽与仪器最小光谱带宽</t>
  </si>
  <si>
    <t>氘灯2.0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</si>
  <si>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</si>
  <si>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</si>
  <si>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</si>
  <si>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</si>
  <si>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</si>
  <si>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</si>
  <si>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</si>
  <si>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</si>
  <si>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</si>
  <si>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</si>
  <si>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</si>
  <si>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</si>
  <si>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1401</t>
  </si>
  <si>
    <t>T400</t>
  </si>
  <si>
    <t>1501</t>
  </si>
  <si>
    <t>T500</t>
  </si>
  <si>
    <t>1610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</si>
  <si>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6新悦</t>
    </r>
  </si>
  <si>
    <t>1650</t>
  </si>
  <si>
    <t>T6新世纪</t>
  </si>
  <si>
    <t>分辨率检验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</si>
  <si>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</si>
  <si>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</si>
  <si>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</si>
  <si>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</si>
  <si>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</si>
  <si>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</si>
  <si>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</si>
  <si>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</si>
  <si>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</si>
  <si>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</si>
  <si>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</si>
  <si>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</si>
  <si>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</si>
  <si>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</si>
  <si>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</si>
  <si>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</si>
  <si>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寻峰</t>
  </si>
  <si>
    <t>空气</t>
  </si>
  <si>
    <t>氘灯486.0</t>
  </si>
  <si>
    <t>氘灯656.1</t>
  </si>
  <si>
    <t>钬溶液241.0</t>
  </si>
  <si>
    <t>黑挡块</t>
  </si>
  <si>
    <t>钬溶液287.4</t>
  </si>
  <si>
    <t>钬溶液361.0</t>
  </si>
  <si>
    <t>钬溶液416.5</t>
  </si>
  <si>
    <t>钬溶液536.8</t>
  </si>
  <si>
    <t>钬溶液640.7</t>
  </si>
  <si>
    <t>640.7,536.8,416.5,361.0,287.4,241.0</t>
  </si>
  <si>
    <t>求最大偏移量</t>
  </si>
  <si>
    <t>220nm杂散光</t>
  </si>
  <si>
    <t>220</t>
  </si>
  <si>
    <t>多次测量</t>
  </si>
  <si>
    <t>碘化钠空白溶液</t>
  </si>
  <si>
    <t>360nm杂散光</t>
  </si>
  <si>
    <t>360</t>
  </si>
  <si>
    <t>亚硝酸钠空白溶液</t>
  </si>
  <si>
    <t>198-200nm杂散光</t>
  </si>
  <si>
    <t>200,199,198</t>
  </si>
  <si>
    <t>氯化钾空白溶液</t>
  </si>
  <si>
    <t>氯化钾溶液</t>
  </si>
  <si>
    <t>其中有一个点大于2.0就算合格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</si>
  <si>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</si>
  <si>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</si>
  <si>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</si>
  <si>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</si>
  <si>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</si>
  <si>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</si>
  <si>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</si>
  <si>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</si>
  <si>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</si>
  <si>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</si>
  <si>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</si>
  <si>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</si>
  <si>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</si>
  <si>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</si>
  <si>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</si>
  <si>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</si>
  <si>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</si>
  <si>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</si>
  <si>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</si>
  <si>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</si>
  <si>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</si>
  <si>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</si>
  <si>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</si>
  <si>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</si>
  <si>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</si>
  <si>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</si>
  <si>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</si>
  <si>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</si>
  <si>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</si>
  <si>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</si>
  <si>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求平均</t>
  </si>
  <si>
    <t>Validation.ViewModel.DataStructure.WlPointsAndAverageUVTestTool</t>
  </si>
  <si>
    <t>RepeatTimes</t>
  </si>
  <si>
    <t>Validation.ViewModel.DataStructure.WlPointsUVTestTool</t>
  </si>
  <si>
    <t>RepeatInterval</t>
  </si>
  <si>
    <t>最大最小值差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</si>
  <si>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</si>
  <si>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</si>
  <si>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</si>
  <si>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</si>
  <si>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</si>
  <si>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</si>
  <si>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</si>
  <si>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</si>
  <si>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</si>
  <si>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</si>
  <si>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</si>
  <si>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最大最小值比</t>
  </si>
  <si>
    <t>Validation.ViewModel.DataStructure.GetRatioOfMaxToMinUVTestTool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</si>
  <si>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</si>
  <si>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</si>
  <si>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</si>
  <si>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</si>
  <si>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</si>
  <si>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</si>
  <si>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</si>
  <si>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</si>
  <si>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</si>
  <si>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</si>
  <si>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</si>
  <si>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</si>
  <si>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</si>
  <si>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</si>
  <si>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</si>
  <si>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</si>
  <si>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</si>
  <si>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</si>
  <si>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测试项</t>
  </si>
  <si>
    <t>标准值（%）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</si>
  <si>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</si>
  <si>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</si>
  <si>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</si>
  <si>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</si>
  <si>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</si>
  <si>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</si>
  <si>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</si>
  <si>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测量值（T%）</t>
  </si>
  <si>
    <t>1号</t>
  </si>
  <si>
    <t>2号</t>
  </si>
  <si>
    <t>3号</t>
  </si>
  <si>
    <t>4号</t>
  </si>
  <si>
    <t>5号</t>
  </si>
  <si>
    <t>检测结果</t>
  </si>
  <si>
    <t>特征值（nm）</t>
  </si>
  <si>
    <t>氘灯486</t>
  </si>
  <si>
    <t>486</t>
  </si>
  <si>
    <t>全段</t>
  </si>
  <si>
    <t>光源</t>
  </si>
  <si>
    <t>误差值（nm）</t>
  </si>
  <si>
    <t>波长示值误差(nm)</t>
  </si>
  <si>
    <t>波长点</t>
  </si>
  <si>
    <t>测量值（%）</t>
  </si>
  <si>
    <t>指标要求</t>
  </si>
  <si>
    <t>氯化钾标准溶液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</si>
</sst>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);[Red]\(0.000\)"/>
    <numFmt numFmtId="178" formatCode="0.00_);[Red]\(0.00\)"/>
    <numFmt numFmtId="179" formatCode="0.0_);[Red]\(0.0\)"/>
    <numFmt numFmtId="180" formatCode="0.00_ ;[Red]\-0.00\ "/>
    <numFmt numFmtId="181" formatCode="0.0_ ;[Red]\-0.0\ "/>
    <numFmt numFmtId="182" formatCode="0.0_ "/>
    <numFmt numFmtId="183" formatCode="0.0000000_ ;[Red]\-0.0000000\ "/>
    <numFmt numFmtId="184" formatCode="0.00_ "/>
    <numFmt numFmtId="185" formatCode="0.00000_ "/>
    <numFmt numFmtId="186" formatCode="[$-F800]dddd\,\ mmmm\ dd\,\ yyyy"/>
    <numFmt numFmtId="187" formatCode="0.0000_);[Red]\(0.0000\)"/>
    <numFmt numFmtId="188" formatCode="0.0"/>
    <numFmt numFmtId="189" formatCode="0.000_ "/>
  </numFmts>
  <fonts count="4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.5"/>
      <color rgb="FF000000"/>
      <name val="Times New Roman"/>
      <charset val="134"/>
    </font>
    <font>
      <b/>
      <sz val="10.5"/>
      <color theme="1"/>
      <name val="Times New Roman"/>
      <charset val="134"/>
    </font>
    <font>
      <sz val="12"/>
      <color rgb="FF43436B"/>
      <name val="Segoe UI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4628742332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8" applyNumberFormat="0" applyAlignment="0" applyProtection="0">
      <alignment vertical="center"/>
    </xf>
    <xf numFmtId="0" fontId="31" fillId="12" borderId="19" applyNumberFormat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33" fillId="13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88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6" fontId="3" fillId="0" borderId="1" xfId="0" applyNumberFormat="1" applyFont="1" applyBorder="1"/>
    <xf numFmtId="177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76" fontId="4" fillId="0" borderId="0" xfId="0" applyNumberFormat="1" applyFont="1"/>
    <xf numFmtId="0" fontId="4" fillId="0" borderId="0" xfId="0" applyFont="1"/>
    <xf numFmtId="0" fontId="3" fillId="0" borderId="0" xfId="0" applyFont="1"/>
    <xf numFmtId="177" fontId="3" fillId="0" borderId="0" xfId="0" applyNumberFormat="1" applyFont="1"/>
    <xf numFmtId="178" fontId="3" fillId="0" borderId="0" xfId="0" applyNumberFormat="1" applyFont="1"/>
    <xf numFmtId="177" fontId="1" fillId="2" borderId="2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8" fontId="5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/>
    <xf numFmtId="179" fontId="3" fillId="0" borderId="1" xfId="0" applyNumberFormat="1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80" fontId="3" fillId="0" borderId="0" xfId="0" applyNumberFormat="1" applyFont="1"/>
    <xf numFmtId="179" fontId="3" fillId="0" borderId="0" xfId="0" applyNumberFormat="1" applyFont="1"/>
    <xf numFmtId="178" fontId="1" fillId="2" borderId="2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/>
    </xf>
    <xf numFmtId="182" fontId="3" fillId="0" borderId="1" xfId="0" applyNumberFormat="1" applyFont="1" applyBorder="1" applyAlignment="1">
      <alignment horizontal="center"/>
    </xf>
    <xf numFmtId="11" fontId="3" fillId="0" borderId="0" xfId="0" applyNumberFormat="1" applyFont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80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183" fontId="3" fillId="0" borderId="0" xfId="0" applyNumberFormat="1" applyFont="1"/>
    <xf numFmtId="0" fontId="1" fillId="4" borderId="3" xfId="0" applyFont="1" applyFill="1" applyBorder="1" applyAlignment="1">
      <alignment horizontal="center" vertical="center" wrapText="1"/>
    </xf>
    <xf numFmtId="178" fontId="1" fillId="4" borderId="9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8" fontId="1" fillId="4" borderId="10" xfId="0" applyNumberFormat="1" applyFont="1" applyFill="1" applyBorder="1" applyAlignment="1">
      <alignment horizontal="center" vertical="center" wrapText="1"/>
    </xf>
    <xf numFmtId="178" fontId="1" fillId="4" borderId="1" xfId="0" applyNumberFormat="1" applyFont="1" applyFill="1" applyBorder="1" applyAlignment="1">
      <alignment horizontal="center" vertical="center" wrapText="1"/>
    </xf>
    <xf numFmtId="178" fontId="6" fillId="0" borderId="1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78" fontId="6" fillId="0" borderId="11" xfId="0" applyNumberFormat="1" applyFont="1" applyBorder="1" applyAlignment="1">
      <alignment vertical="center" wrapText="1"/>
    </xf>
    <xf numFmtId="0" fontId="0" fillId="0" borderId="1" xfId="0" applyBorder="1" applyAlignment="1"/>
    <xf numFmtId="0" fontId="1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185" fontId="1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5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84" fontId="0" fillId="0" borderId="1" xfId="0" applyNumberFormat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6" borderId="1" xfId="0" applyFont="1" applyFill="1" applyBorder="1"/>
    <xf numFmtId="0" fontId="0" fillId="5" borderId="1" xfId="0" applyFont="1" applyFill="1" applyBorder="1"/>
    <xf numFmtId="0" fontId="0" fillId="0" borderId="1" xfId="0" applyFont="1" applyBorder="1"/>
    <xf numFmtId="0" fontId="0" fillId="5" borderId="1" xfId="0" applyFill="1" applyBorder="1"/>
    <xf numFmtId="0" fontId="8" fillId="5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horizontal="center" vertical="center" wrapText="1"/>
    </xf>
    <xf numFmtId="182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5" borderId="1" xfId="0" applyNumberFormat="1" applyFont="1" applyFill="1" applyBorder="1" applyAlignment="1">
      <alignment wrapText="1"/>
    </xf>
    <xf numFmtId="0" fontId="0" fillId="5" borderId="0" xfId="0" applyFont="1" applyFill="1" applyAlignment="1">
      <alignment wrapText="1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8" borderId="1" xfId="49" applyFont="1" applyFill="1" applyBorder="1" applyAlignment="1">
      <alignment horizontal="center"/>
    </xf>
    <xf numFmtId="0" fontId="0" fillId="8" borderId="1" xfId="49" applyFont="1" applyFill="1" applyBorder="1" applyAlignment="1">
      <alignment horizontal="center" vertical="center"/>
    </xf>
    <xf numFmtId="0" fontId="0" fillId="8" borderId="4" xfId="49" applyFont="1" applyFill="1" applyBorder="1" applyAlignment="1">
      <alignment horizontal="center"/>
    </xf>
    <xf numFmtId="0" fontId="0" fillId="0" borderId="0" xfId="49"/>
    <xf numFmtId="186" fontId="0" fillId="0" borderId="0" xfId="49" applyNumberFormat="1"/>
    <xf numFmtId="0" fontId="0" fillId="0" borderId="0" xfId="49" applyAlignment="1">
      <alignment horizontal="center"/>
    </xf>
    <xf numFmtId="0" fontId="3" fillId="8" borderId="2" xfId="49" applyFont="1" applyFill="1" applyBorder="1" applyAlignment="1">
      <alignment horizontal="center" vertical="center"/>
    </xf>
    <xf numFmtId="0" fontId="3" fillId="8" borderId="13" xfId="49" applyFont="1" applyFill="1" applyBorder="1" applyAlignment="1">
      <alignment horizontal="center" vertical="center"/>
    </xf>
    <xf numFmtId="0" fontId="3" fillId="8" borderId="14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center"/>
    </xf>
    <xf numFmtId="0" fontId="3" fillId="8" borderId="1" xfId="50" applyFont="1" applyFill="1" applyBorder="1" applyAlignment="1">
      <alignment horizontal="center"/>
    </xf>
    <xf numFmtId="0" fontId="11" fillId="8" borderId="1" xfId="50" applyFont="1" applyFill="1" applyBorder="1" applyAlignment="1">
      <alignment horizontal="center" vertical="center" wrapText="1"/>
    </xf>
    <xf numFmtId="49" fontId="12" fillId="8" borderId="1" xfId="50" applyNumberFormat="1" applyFont="1" applyFill="1" applyBorder="1" applyAlignment="1">
      <alignment horizontal="center" vertical="center" wrapText="1"/>
    </xf>
    <xf numFmtId="178" fontId="0" fillId="8" borderId="1" xfId="50" applyNumberFormat="1" applyFont="1" applyFill="1" applyBorder="1" applyAlignment="1">
      <alignment horizontal="center"/>
    </xf>
    <xf numFmtId="49" fontId="0" fillId="8" borderId="1" xfId="50" applyNumberFormat="1" applyFont="1" applyFill="1" applyBorder="1" applyAlignment="1">
      <alignment horizontal="center"/>
    </xf>
    <xf numFmtId="0" fontId="12" fillId="8" borderId="1" xfId="50" applyFont="1" applyFill="1" applyBorder="1" applyAlignment="1">
      <alignment horizontal="center" vertical="center" wrapText="1"/>
    </xf>
    <xf numFmtId="0" fontId="0" fillId="8" borderId="1" xfId="50" applyFont="1" applyFill="1" applyBorder="1" applyAlignment="1">
      <alignment horizontal="center"/>
    </xf>
    <xf numFmtId="0" fontId="8" fillId="8" borderId="1" xfId="50" applyFont="1" applyFill="1" applyBorder="1" applyAlignment="1">
      <alignment horizontal="center" vertical="center" wrapText="1"/>
    </xf>
    <xf numFmtId="0" fontId="13" fillId="8" borderId="1" xfId="50" applyFont="1" applyFill="1" applyBorder="1" applyAlignment="1">
      <alignment horizontal="center" vertical="center" wrapText="1"/>
    </xf>
    <xf numFmtId="178" fontId="13" fillId="8" borderId="1" xfId="50" applyNumberFormat="1" applyFont="1" applyFill="1" applyBorder="1" applyAlignment="1">
      <alignment horizontal="center" vertical="center" wrapText="1"/>
    </xf>
    <xf numFmtId="187" fontId="0" fillId="8" borderId="1" xfId="50" applyNumberFormat="1" applyFont="1" applyFill="1" applyBorder="1" applyAlignment="1">
      <alignment horizontal="center"/>
    </xf>
    <xf numFmtId="179" fontId="0" fillId="8" borderId="1" xfId="50" applyNumberFormat="1" applyFont="1" applyFill="1" applyBorder="1" applyAlignment="1">
      <alignment horizontal="center"/>
    </xf>
    <xf numFmtId="184" fontId="11" fillId="8" borderId="1" xfId="50" applyNumberFormat="1" applyFont="1" applyFill="1" applyBorder="1" applyAlignment="1">
      <alignment horizontal="center" vertical="center" wrapText="1"/>
    </xf>
    <xf numFmtId="188" fontId="13" fillId="8" borderId="1" xfId="50" applyNumberFormat="1" applyFont="1" applyFill="1" applyBorder="1" applyAlignment="1">
      <alignment horizontal="center" vertical="center" wrapText="1"/>
    </xf>
    <xf numFmtId="178" fontId="11" fillId="8" borderId="1" xfId="50" applyNumberFormat="1" applyFont="1" applyFill="1" applyBorder="1" applyAlignment="1">
      <alignment horizontal="center" vertical="center" wrapText="1"/>
    </xf>
    <xf numFmtId="177" fontId="11" fillId="8" borderId="1" xfId="50" applyNumberFormat="1" applyFont="1" applyFill="1" applyBorder="1" applyAlignment="1">
      <alignment horizontal="center" vertical="center" wrapText="1"/>
    </xf>
    <xf numFmtId="179" fontId="11" fillId="8" borderId="1" xfId="50" applyNumberFormat="1" applyFont="1" applyFill="1" applyBorder="1" applyAlignment="1">
      <alignment horizontal="center" vertical="center" wrapText="1"/>
    </xf>
    <xf numFmtId="0" fontId="0" fillId="8" borderId="1" xfId="50" applyFont="1" applyFill="1" applyBorder="1" applyAlignment="1">
      <alignment horizontal="center" vertical="center"/>
    </xf>
    <xf numFmtId="179" fontId="0" fillId="8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5" borderId="0" xfId="49" applyFont="1" applyFill="1" applyAlignment="1">
      <alignment horizontal="left"/>
    </xf>
    <xf numFmtId="0" fontId="0" fillId="5" borderId="0" xfId="49" applyFont="1" applyFill="1" applyAlignment="1">
      <alignment horizontal="left" vertical="center"/>
    </xf>
    <xf numFmtId="186" fontId="0" fillId="0" borderId="0" xfId="49" applyNumberFormat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9" borderId="1" xfId="49" applyFont="1" applyFill="1" applyBorder="1" applyAlignment="1">
      <alignment horizontal="center" vertical="center"/>
    </xf>
    <xf numFmtId="0" fontId="3" fillId="9" borderId="1" xfId="49" applyFont="1" applyFill="1" applyBorder="1" applyAlignment="1">
      <alignment horizontal="left" vertical="center"/>
    </xf>
    <xf numFmtId="0" fontId="3" fillId="9" borderId="1" xfId="49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186" fontId="3" fillId="9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Font="1"/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5" borderId="0" xfId="49" applyFill="1"/>
    <xf numFmtId="0" fontId="12" fillId="0" borderId="1" xfId="49" applyFont="1" applyBorder="1" applyAlignment="1">
      <alignment vertical="center" wrapText="1"/>
    </xf>
    <xf numFmtId="0" fontId="16" fillId="0" borderId="1" xfId="49" applyFont="1" applyBorder="1" applyAlignment="1">
      <alignment horizontal="center" vertical="center" wrapText="1"/>
    </xf>
    <xf numFmtId="0" fontId="17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" xfId="49" applyBorder="1" applyAlignment="1">
      <alignment horizontal="center"/>
    </xf>
    <xf numFmtId="0" fontId="18" fillId="0" borderId="1" xfId="49" applyFont="1" applyBorder="1" applyAlignment="1">
      <alignment horizontal="center" vertical="center" wrapText="1"/>
    </xf>
    <xf numFmtId="178" fontId="0" fillId="0" borderId="1" xfId="49" applyNumberFormat="1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  <xf numFmtId="184" fontId="0" fillId="0" borderId="1" xfId="49" applyNumberFormat="1" applyBorder="1" applyAlignment="1">
      <alignment horizontal="center" vertical="center" wrapText="1"/>
    </xf>
    <xf numFmtId="180" fontId="0" fillId="0" borderId="1" xfId="49" applyNumberFormat="1" applyBorder="1" applyAlignment="1">
      <alignment horizontal="center" vertical="center" wrapText="1"/>
    </xf>
    <xf numFmtId="0" fontId="18" fillId="0" borderId="1" xfId="49" applyFont="1" applyBorder="1" applyAlignment="1">
      <alignment horizontal="center" vertical="center"/>
    </xf>
    <xf numFmtId="0" fontId="19" fillId="0" borderId="1" xfId="49" applyFont="1" applyBorder="1" applyAlignment="1">
      <alignment horizontal="left" vertical="center" wrapText="1"/>
    </xf>
    <xf numFmtId="0" fontId="8" fillId="0" borderId="1" xfId="49" applyFont="1" applyBorder="1" applyAlignment="1">
      <alignment horizontal="left" vertical="center" wrapText="1"/>
    </xf>
    <xf numFmtId="0" fontId="20" fillId="0" borderId="1" xfId="49" applyFont="1" applyBorder="1" applyAlignment="1">
      <alignment horizontal="center" vertical="center" wrapText="1"/>
    </xf>
    <xf numFmtId="0" fontId="21" fillId="0" borderId="1" xfId="49" applyFont="1" applyBorder="1" applyAlignment="1">
      <alignment horizontal="center" vertical="center" wrapText="1"/>
    </xf>
    <xf numFmtId="0" fontId="20" fillId="0" borderId="1" xfId="49" applyFont="1" applyBorder="1" applyAlignment="1">
      <alignment horizontal="center" vertical="center"/>
    </xf>
    <xf numFmtId="0" fontId="11" fillId="0" borderId="1" xfId="49" applyFont="1" applyBorder="1" applyAlignment="1">
      <alignment horizontal="center" vertical="center" wrapText="1"/>
    </xf>
    <xf numFmtId="189" fontId="18" fillId="0" borderId="1" xfId="49" applyNumberFormat="1" applyFont="1" applyBorder="1" applyAlignment="1">
      <alignment horizontal="center" vertical="center" wrapText="1"/>
    </xf>
    <xf numFmtId="0" fontId="0" fillId="0" borderId="1" xfId="49" applyFill="1" applyBorder="1" applyAlignment="1">
      <alignment horizontal="center" vertical="center" wrapText="1"/>
    </xf>
    <xf numFmtId="189" fontId="15" fillId="0" borderId="1" xfId="49" applyNumberFormat="1" applyFont="1" applyBorder="1" applyAlignment="1">
      <alignment horizontal="center" vertical="center" wrapText="1"/>
    </xf>
    <xf numFmtId="185" fontId="18" fillId="0" borderId="1" xfId="49" applyNumberFormat="1" applyFont="1" applyBorder="1" applyAlignment="1">
      <alignment horizontal="center" vertical="center" wrapText="1"/>
    </xf>
    <xf numFmtId="0" fontId="18" fillId="0" borderId="1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89916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3" name="图片 1"/>
        <xdr:cNvSpPr/>
      </xdr:nvSpPr>
      <xdr:spPr>
        <a:xfrm>
          <a:off x="38100" y="57150"/>
          <a:ext cx="89916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4" name="图片 1"/>
        <xdr:cNvSpPr/>
      </xdr:nvSpPr>
      <xdr:spPr>
        <a:xfrm>
          <a:off x="38100" y="57150"/>
          <a:ext cx="89916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US" alt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showGridLines="0" zoomScale="70" zoomScaleNormal="70" zoomScalePageLayoutView="80" topLeftCell="A17" workbookViewId="0">
      <selection activeCell="U43" sqref="U43"/>
    </sheetView>
  </sheetViews>
  <sheetFormatPr defaultColWidth="9" defaultRowHeight="14.4"/>
  <cols>
    <col min="1" max="1" width="5.33333333333333" style="118" customWidth="1"/>
    <col min="2" max="2" width="8.77777777777778" style="118" customWidth="1"/>
    <col min="3" max="3" width="6.19444444444444" style="118" customWidth="1"/>
    <col min="4" max="5" width="8.44444444444444" style="118" customWidth="1"/>
    <col min="6" max="6" width="3.33333333333333" style="118" customWidth="1"/>
    <col min="7" max="7" width="3.44444444444444" style="118" customWidth="1"/>
    <col min="8" max="8" width="8.87962962962963" style="118" customWidth="1"/>
    <col min="9" max="9" width="2.85185185185185" style="118" customWidth="1"/>
    <col min="10" max="10" width="9.83333333333333" style="118" customWidth="1"/>
    <col min="11" max="11" width="9.67592592592593" style="118" customWidth="1"/>
    <col min="12" max="12" width="8.40740740740741" style="118" customWidth="1"/>
    <col min="13" max="13" width="9.51851851851852" style="118" customWidth="1"/>
    <col min="14" max="14" width="4.77777777777778" style="118" customWidth="1"/>
    <col min="15" max="15" width="6.66666666666667" style="165" customWidth="1"/>
    <col min="16" max="16384" width="9" style="118"/>
  </cols>
  <sheetData>
    <row r="1" s="118" customFormat="1" ht="20.25" customHeight="1" spans="1:15">
      <c r="A1" s="166"/>
      <c r="B1" s="166"/>
      <c r="C1" s="167" t="s">
        <v>0</v>
      </c>
      <c r="D1" s="167"/>
      <c r="E1" s="167"/>
      <c r="F1" s="167"/>
      <c r="G1" s="167"/>
      <c r="H1" s="167"/>
      <c r="I1" s="167"/>
      <c r="J1" s="167"/>
      <c r="K1" s="167"/>
      <c r="L1" s="179" t="s">
        <v>1</v>
      </c>
      <c r="M1" s="179"/>
      <c r="N1" s="180"/>
      <c r="O1" s="180"/>
    </row>
    <row r="2" s="118" customFormat="1" ht="20.25" customHeight="1" spans="1:15">
      <c r="A2" s="166"/>
      <c r="B2" s="166"/>
      <c r="C2" s="168" t="s">
        <v>2</v>
      </c>
      <c r="D2" s="168"/>
      <c r="E2" s="168"/>
      <c r="F2" s="168"/>
      <c r="G2" s="168"/>
      <c r="H2" s="168"/>
      <c r="I2" s="168"/>
      <c r="J2" s="168"/>
      <c r="K2" s="168"/>
      <c r="L2" s="179" t="s">
        <v>3</v>
      </c>
      <c r="M2" s="179"/>
      <c r="N2" s="180"/>
      <c r="O2" s="180"/>
    </row>
    <row r="3" s="118" customFormat="1" ht="20.25" customHeight="1" spans="1:15">
      <c r="A3" s="166"/>
      <c r="B3" s="166"/>
      <c r="C3" s="168"/>
      <c r="D3" s="168"/>
      <c r="E3" s="168"/>
      <c r="F3" s="168"/>
      <c r="G3" s="168"/>
      <c r="H3" s="168"/>
      <c r="I3" s="168"/>
      <c r="J3" s="168"/>
      <c r="K3" s="168"/>
      <c r="L3" s="181" t="s">
        <v>4</v>
      </c>
      <c r="M3" s="181"/>
      <c r="N3" s="182"/>
      <c r="O3" s="182"/>
    </row>
    <row r="4" s="118" customFormat="1" ht="18" customHeight="1" spans="1:15">
      <c r="A4" s="169" t="s">
        <v>5</v>
      </c>
      <c r="B4" s="169"/>
      <c r="C4" s="169"/>
      <c r="D4" s="169" t="s">
        <v>6</v>
      </c>
      <c r="E4" s="169"/>
      <c r="F4" s="169"/>
      <c r="G4" s="169"/>
      <c r="H4" s="169" t="s">
        <v>7</v>
      </c>
      <c r="I4" s="169"/>
      <c r="J4" s="169"/>
      <c r="K4" s="169"/>
      <c r="L4" s="169" t="s">
        <v>8</v>
      </c>
      <c r="M4" s="169"/>
      <c r="N4" s="169" t="s">
        <v>9</v>
      </c>
      <c r="O4" s="169"/>
    </row>
    <row r="5" s="118" customFormat="1" ht="18" customHeight="1" spans="1:15">
      <c r="A5" s="169" t="str">
        <f>IFERROR(VLOOKUP(MID(D5,3,5),对应信息!A:B,2,0),"")</f>
        <v/>
      </c>
      <c r="B5" s="169"/>
      <c r="C5" s="169"/>
      <c r="D5" s="169"/>
      <c r="E5" s="169"/>
      <c r="F5" s="169"/>
      <c r="G5" s="169"/>
      <c r="H5" s="169">
        <v>345</v>
      </c>
      <c r="I5" s="169"/>
      <c r="J5" s="169"/>
      <c r="K5" s="169"/>
      <c r="L5" s="169"/>
      <c r="M5" s="169"/>
      <c r="N5" s="169"/>
      <c r="O5" s="169"/>
    </row>
    <row r="6" s="118" customFormat="1" ht="18" customHeight="1" spans="1:15">
      <c r="A6" s="169" t="s">
        <v>10</v>
      </c>
      <c r="B6" s="169"/>
      <c r="C6" s="169"/>
      <c r="D6" s="169"/>
      <c r="E6" s="169" t="s">
        <v>11</v>
      </c>
      <c r="F6" s="169"/>
      <c r="G6" s="169"/>
      <c r="H6" s="170"/>
      <c r="I6" s="170"/>
      <c r="J6" s="170"/>
      <c r="K6" s="170"/>
      <c r="L6" s="169" t="s">
        <v>12</v>
      </c>
      <c r="M6" s="169"/>
      <c r="N6" s="169"/>
      <c r="O6" s="169"/>
    </row>
    <row r="7" s="118" customFormat="1" ht="18" customHeight="1" spans="1:15">
      <c r="A7" s="169" t="s">
        <v>13</v>
      </c>
      <c r="B7" s="169"/>
      <c r="C7" s="169"/>
      <c r="D7" s="169"/>
      <c r="E7" s="169" t="s">
        <v>14</v>
      </c>
      <c r="F7" s="169"/>
      <c r="G7" s="169"/>
      <c r="H7" s="169"/>
      <c r="I7" s="169"/>
      <c r="J7" s="169"/>
      <c r="K7" s="170" t="s">
        <v>15</v>
      </c>
      <c r="L7" s="170"/>
      <c r="M7" s="170"/>
      <c r="N7" s="170"/>
      <c r="O7" s="170"/>
    </row>
    <row r="8" s="118" customFormat="1" ht="19.05" customHeight="1" spans="1:15">
      <c r="A8" s="169" t="s">
        <v>16</v>
      </c>
      <c r="B8" s="169" t="s">
        <v>17</v>
      </c>
      <c r="C8" s="169"/>
      <c r="D8" s="169"/>
      <c r="E8" s="169" t="s">
        <v>18</v>
      </c>
      <c r="F8" s="169"/>
      <c r="G8" s="169"/>
      <c r="H8" s="169"/>
      <c r="I8" s="169"/>
      <c r="J8" s="169"/>
      <c r="K8" s="169"/>
      <c r="L8" s="169"/>
      <c r="M8" s="169"/>
      <c r="N8" s="169"/>
      <c r="O8" s="169"/>
    </row>
    <row r="9" s="118" customFormat="1" ht="30" customHeight="1" spans="1:15">
      <c r="A9" s="171">
        <v>1</v>
      </c>
      <c r="B9" s="171" t="s">
        <v>19</v>
      </c>
      <c r="C9" s="171"/>
      <c r="D9" s="171" t="s">
        <v>20</v>
      </c>
      <c r="E9" s="171"/>
      <c r="F9" s="171"/>
      <c r="G9" s="171" t="s">
        <v>21</v>
      </c>
      <c r="H9" s="171"/>
      <c r="I9" s="171"/>
      <c r="J9" s="171">
        <f>样品池重复性!B2</f>
        <v>0</v>
      </c>
      <c r="K9" s="171"/>
      <c r="L9" s="171" t="s">
        <v>22</v>
      </c>
      <c r="M9" s="183">
        <f>样品池重复性!B8</f>
        <v>0</v>
      </c>
      <c r="N9" s="183"/>
      <c r="O9" s="183"/>
    </row>
    <row r="10" s="118" customFormat="1" ht="19.05" customHeight="1" spans="1:15">
      <c r="A10" s="169">
        <v>2</v>
      </c>
      <c r="B10" s="169" t="s">
        <v>23</v>
      </c>
      <c r="C10" s="169" t="s">
        <v>24</v>
      </c>
      <c r="D10" s="169"/>
      <c r="E10" s="169" t="s">
        <v>25</v>
      </c>
      <c r="F10" s="169"/>
      <c r="G10" s="169"/>
      <c r="H10" s="170" t="s">
        <v>26</v>
      </c>
      <c r="I10" s="170"/>
      <c r="J10" s="170"/>
      <c r="K10" s="172" t="s">
        <v>27</v>
      </c>
      <c r="L10" s="172"/>
      <c r="M10" s="169" t="s">
        <v>28</v>
      </c>
      <c r="N10" s="169"/>
      <c r="O10" s="169"/>
    </row>
    <row r="11" s="118" customFormat="1" ht="19.05" customHeight="1" spans="1:15">
      <c r="A11" s="169"/>
      <c r="B11" s="169"/>
      <c r="C11" s="169" t="s">
        <v>29</v>
      </c>
      <c r="D11" s="169"/>
      <c r="E11" s="172" t="str">
        <f>波长拟合!C2</f>
        <v>Abs</v>
      </c>
      <c r="F11" s="172"/>
      <c r="G11" s="172"/>
      <c r="H11" s="172"/>
      <c r="I11" s="172"/>
      <c r="J11" s="172"/>
      <c r="K11" s="172">
        <f>波长拟合!B2</f>
        <v>486</v>
      </c>
      <c r="L11" s="172"/>
      <c r="M11" s="172">
        <f>波长拟合!F2</f>
        <v>0</v>
      </c>
      <c r="N11" s="172"/>
      <c r="O11" s="172"/>
    </row>
    <row r="12" s="118" customFormat="1" ht="19.05" customHeight="1" spans="1:15">
      <c r="A12" s="169"/>
      <c r="B12" s="169"/>
      <c r="C12" s="169"/>
      <c r="D12" s="169"/>
      <c r="E12" s="172" t="str">
        <f>波长拟合!C3</f>
        <v>Abs</v>
      </c>
      <c r="F12" s="172"/>
      <c r="G12" s="172"/>
      <c r="H12" s="172"/>
      <c r="I12" s="172"/>
      <c r="J12" s="172"/>
      <c r="K12" s="172">
        <f>波长拟合!B3</f>
        <v>656.1</v>
      </c>
      <c r="L12" s="172"/>
      <c r="M12" s="172">
        <f>波长拟合!F3</f>
        <v>0</v>
      </c>
      <c r="N12" s="172"/>
      <c r="O12" s="172"/>
    </row>
    <row r="13" s="118" customFormat="1" ht="19.05" customHeight="1" spans="1:15">
      <c r="A13" s="169"/>
      <c r="B13" s="169"/>
      <c r="C13" s="169" t="s">
        <v>30</v>
      </c>
      <c r="D13" s="169"/>
      <c r="E13" s="172" t="str">
        <f>波长拟合!C4</f>
        <v>Abs</v>
      </c>
      <c r="F13" s="172"/>
      <c r="G13" s="172"/>
      <c r="H13" s="172"/>
      <c r="I13" s="172"/>
      <c r="J13" s="172"/>
      <c r="K13" s="172">
        <f>波长拟合!B4</f>
        <v>241</v>
      </c>
      <c r="L13" s="172"/>
      <c r="M13" s="172">
        <f>波长拟合!F4</f>
        <v>0</v>
      </c>
      <c r="N13" s="172"/>
      <c r="O13" s="172"/>
    </row>
    <row r="14" s="118" customFormat="1" ht="19.05" customHeight="1" spans="1:15">
      <c r="A14" s="169"/>
      <c r="B14" s="169"/>
      <c r="C14" s="169"/>
      <c r="D14" s="169"/>
      <c r="E14" s="172" t="str">
        <f>波长拟合!C5</f>
        <v>Abs</v>
      </c>
      <c r="F14" s="172"/>
      <c r="G14" s="172"/>
      <c r="H14" s="172"/>
      <c r="I14" s="172"/>
      <c r="J14" s="172"/>
      <c r="K14" s="172">
        <f>波长拟合!B5</f>
        <v>287.4</v>
      </c>
      <c r="L14" s="172"/>
      <c r="M14" s="172">
        <f>波长拟合!F5</f>
        <v>0</v>
      </c>
      <c r="N14" s="172"/>
      <c r="O14" s="172"/>
    </row>
    <row r="15" s="118" customFormat="1" ht="19.05" customHeight="1" spans="1:15">
      <c r="A15" s="169"/>
      <c r="B15" s="169"/>
      <c r="C15" s="169"/>
      <c r="D15" s="169"/>
      <c r="E15" s="172" t="str">
        <f>波长拟合!C6</f>
        <v>Abs</v>
      </c>
      <c r="F15" s="172"/>
      <c r="G15" s="172"/>
      <c r="H15" s="172"/>
      <c r="I15" s="172"/>
      <c r="J15" s="172"/>
      <c r="K15" s="172">
        <f>波长拟合!B6</f>
        <v>361</v>
      </c>
      <c r="L15" s="172"/>
      <c r="M15" s="172">
        <f>波长拟合!F6</f>
        <v>0</v>
      </c>
      <c r="N15" s="172"/>
      <c r="O15" s="172"/>
    </row>
    <row r="16" s="118" customFormat="1" ht="19.05" customHeight="1" spans="1:15">
      <c r="A16" s="169"/>
      <c r="B16" s="169"/>
      <c r="C16" s="169"/>
      <c r="D16" s="169"/>
      <c r="E16" s="172" t="str">
        <f>波长拟合!C7</f>
        <v>Abs</v>
      </c>
      <c r="F16" s="172"/>
      <c r="G16" s="172"/>
      <c r="H16" s="172"/>
      <c r="I16" s="172"/>
      <c r="J16" s="172"/>
      <c r="K16" s="172">
        <f>波长拟合!B7</f>
        <v>416.5</v>
      </c>
      <c r="L16" s="172"/>
      <c r="M16" s="172">
        <f>波长拟合!F7</f>
        <v>0</v>
      </c>
      <c r="N16" s="172"/>
      <c r="O16" s="172"/>
    </row>
    <row r="17" s="118" customFormat="1" ht="19.05" customHeight="1" spans="1:15">
      <c r="A17" s="169"/>
      <c r="B17" s="169"/>
      <c r="C17" s="169"/>
      <c r="D17" s="169"/>
      <c r="E17" s="172" t="str">
        <f>波长拟合!C8</f>
        <v>Abs</v>
      </c>
      <c r="F17" s="172"/>
      <c r="G17" s="172"/>
      <c r="H17" s="172"/>
      <c r="I17" s="172"/>
      <c r="J17" s="172"/>
      <c r="K17" s="172">
        <f>波长拟合!B8</f>
        <v>536.8</v>
      </c>
      <c r="L17" s="172"/>
      <c r="M17" s="172">
        <f>波长拟合!F8</f>
        <v>0</v>
      </c>
      <c r="N17" s="172"/>
      <c r="O17" s="172"/>
    </row>
    <row r="18" s="118" customFormat="1" ht="19.05" customHeight="1" spans="1:15">
      <c r="A18" s="169"/>
      <c r="B18" s="169"/>
      <c r="C18" s="169"/>
      <c r="D18" s="169"/>
      <c r="E18" s="172" t="str">
        <f>波长拟合!C9</f>
        <v>Abs</v>
      </c>
      <c r="F18" s="172"/>
      <c r="G18" s="172"/>
      <c r="H18" s="172"/>
      <c r="I18" s="172"/>
      <c r="J18" s="172"/>
      <c r="K18" s="172">
        <f>波长拟合!B9</f>
        <v>640.7</v>
      </c>
      <c r="L18" s="172"/>
      <c r="M18" s="172">
        <f>波长拟合!F9</f>
        <v>0</v>
      </c>
      <c r="N18" s="172"/>
      <c r="O18" s="172"/>
    </row>
    <row r="19" s="118" customFormat="1" ht="19.05" customHeight="1" spans="1:15">
      <c r="A19" s="169"/>
      <c r="B19" s="169"/>
      <c r="C19" s="169" t="s">
        <v>31</v>
      </c>
      <c r="D19" s="169"/>
      <c r="E19" s="172" t="str">
        <f>波长拟合!C10</f>
        <v>Abs</v>
      </c>
      <c r="F19" s="172"/>
      <c r="G19" s="172"/>
      <c r="H19" s="172"/>
      <c r="I19" s="172"/>
      <c r="J19" s="172"/>
      <c r="K19" s="172">
        <f>波长拟合!B10</f>
        <v>807.4</v>
      </c>
      <c r="L19" s="172"/>
      <c r="M19" s="172">
        <f>波长拟合!F10</f>
        <v>0</v>
      </c>
      <c r="N19" s="172"/>
      <c r="O19" s="172"/>
    </row>
    <row r="20" s="118" customFormat="1" ht="19.05" customHeight="1" spans="1:15">
      <c r="A20" s="169">
        <v>3</v>
      </c>
      <c r="B20" s="169" t="s">
        <v>32</v>
      </c>
      <c r="C20" s="169" t="s">
        <v>24</v>
      </c>
      <c r="D20" s="169"/>
      <c r="E20" s="169" t="s">
        <v>33</v>
      </c>
      <c r="F20" s="169"/>
      <c r="G20" s="169"/>
      <c r="H20" s="169"/>
      <c r="I20" s="169" t="s">
        <v>34</v>
      </c>
      <c r="J20" s="169"/>
      <c r="K20" s="169" t="s">
        <v>35</v>
      </c>
      <c r="L20" s="169"/>
      <c r="M20" s="169"/>
      <c r="N20" s="169"/>
      <c r="O20" s="169"/>
    </row>
    <row r="21" s="118" customFormat="1" ht="19.05" customHeight="1" spans="1:15">
      <c r="A21" s="169"/>
      <c r="B21" s="169"/>
      <c r="C21" s="169" t="s">
        <v>29</v>
      </c>
      <c r="D21" s="169"/>
      <c r="E21" s="173" t="s">
        <v>36</v>
      </c>
      <c r="F21" s="173"/>
      <c r="G21" s="173"/>
      <c r="H21" s="173"/>
      <c r="I21" s="169" t="str">
        <f>能量扫描!B2</f>
        <v>486</v>
      </c>
      <c r="J21" s="169"/>
      <c r="K21" s="169">
        <f>能量扫描!C2</f>
        <v>0</v>
      </c>
      <c r="L21" s="169"/>
      <c r="M21" s="169"/>
      <c r="N21" s="169"/>
      <c r="O21" s="169"/>
    </row>
    <row r="22" s="118" customFormat="1" ht="19.05" customHeight="1" spans="1:15">
      <c r="A22" s="169"/>
      <c r="B22" s="169"/>
      <c r="C22" s="169"/>
      <c r="D22" s="169"/>
      <c r="E22" s="173" t="s">
        <v>37</v>
      </c>
      <c r="F22" s="173"/>
      <c r="G22" s="173"/>
      <c r="H22" s="173"/>
      <c r="I22" s="169" t="str">
        <f>能量扫描!B3</f>
        <v>656.1</v>
      </c>
      <c r="J22" s="169"/>
      <c r="K22" s="169">
        <f>能量扫描!C3</f>
        <v>0</v>
      </c>
      <c r="L22" s="169"/>
      <c r="M22" s="169"/>
      <c r="N22" s="169"/>
      <c r="O22" s="169"/>
    </row>
    <row r="23" s="118" customFormat="1" ht="19.05" customHeight="1" spans="1:15">
      <c r="A23" s="169"/>
      <c r="B23" s="169"/>
      <c r="C23" s="169"/>
      <c r="D23" s="169"/>
      <c r="E23" s="173" t="s">
        <v>38</v>
      </c>
      <c r="F23" s="173"/>
      <c r="G23" s="173"/>
      <c r="H23" s="173"/>
      <c r="I23" s="169"/>
      <c r="J23" s="169"/>
      <c r="K23" s="169"/>
      <c r="L23" s="169"/>
      <c r="M23" s="169"/>
      <c r="N23" s="169"/>
      <c r="O23" s="169"/>
    </row>
    <row r="24" s="118" customFormat="1" ht="19.05" customHeight="1" spans="1:15">
      <c r="A24" s="169"/>
      <c r="B24" s="169"/>
      <c r="C24" s="169" t="s">
        <v>39</v>
      </c>
      <c r="D24" s="169"/>
      <c r="E24" s="173" t="s">
        <v>40</v>
      </c>
      <c r="F24" s="173"/>
      <c r="G24" s="173"/>
      <c r="H24" s="173"/>
      <c r="I24" s="169"/>
      <c r="J24" s="169"/>
      <c r="K24" s="169"/>
      <c r="L24" s="169"/>
      <c r="M24" s="169"/>
      <c r="N24" s="169"/>
      <c r="O24" s="169"/>
    </row>
    <row r="25" s="118" customFormat="1" ht="19.05" customHeight="1" spans="1:15">
      <c r="A25" s="169">
        <v>4</v>
      </c>
      <c r="B25" s="169" t="s">
        <v>41</v>
      </c>
      <c r="C25" s="169" t="s">
        <v>42</v>
      </c>
      <c r="D25" s="169"/>
      <c r="E25" s="169" t="s">
        <v>43</v>
      </c>
      <c r="F25" s="169"/>
      <c r="G25" s="169"/>
      <c r="H25" s="169" t="s">
        <v>44</v>
      </c>
      <c r="I25" s="169"/>
      <c r="J25" s="169"/>
      <c r="K25" s="169"/>
      <c r="L25" s="169"/>
      <c r="M25" s="169"/>
      <c r="N25" s="169"/>
      <c r="O25" s="169"/>
    </row>
    <row r="26" s="118" customFormat="1" ht="19.05" customHeight="1" spans="1:15">
      <c r="A26" s="169"/>
      <c r="B26" s="169"/>
      <c r="C26" s="169"/>
      <c r="D26" s="169"/>
      <c r="E26" s="169" t="s">
        <v>24</v>
      </c>
      <c r="F26" s="169"/>
      <c r="G26" s="169"/>
      <c r="H26" s="169" t="s">
        <v>29</v>
      </c>
      <c r="I26" s="169"/>
      <c r="J26" s="169"/>
      <c r="K26" s="172" t="s">
        <v>29</v>
      </c>
      <c r="L26" s="172"/>
      <c r="M26" s="169" t="s">
        <v>31</v>
      </c>
      <c r="N26" s="169"/>
      <c r="O26" s="169"/>
    </row>
    <row r="27" s="118" customFormat="1" ht="19.05" customHeight="1" spans="1:15">
      <c r="A27" s="169"/>
      <c r="B27" s="169"/>
      <c r="C27" s="169"/>
      <c r="D27" s="169"/>
      <c r="E27" s="169" t="s">
        <v>27</v>
      </c>
      <c r="F27" s="169"/>
      <c r="G27" s="169"/>
      <c r="H27" s="172" t="str">
        <f>波长示值误差校验!B2</f>
        <v>656.1</v>
      </c>
      <c r="I27" s="172"/>
      <c r="J27" s="172"/>
      <c r="K27" s="172" t="str">
        <f>波长示值误差校验!B3</f>
        <v>486</v>
      </c>
      <c r="L27" s="172"/>
      <c r="M27" s="172" t="str">
        <f>波长示值误差校验!B4</f>
        <v>807.4</v>
      </c>
      <c r="N27" s="172"/>
      <c r="O27" s="172"/>
    </row>
    <row r="28" s="118" customFormat="1" ht="19.05" customHeight="1" spans="1:15">
      <c r="A28" s="169"/>
      <c r="B28" s="169"/>
      <c r="C28" s="169"/>
      <c r="D28" s="169"/>
      <c r="E28" s="169" t="s">
        <v>28</v>
      </c>
      <c r="F28" s="169"/>
      <c r="G28" s="169"/>
      <c r="H28" s="174">
        <f>波长示值误差校验!C2</f>
        <v>0</v>
      </c>
      <c r="I28" s="174"/>
      <c r="J28" s="174"/>
      <c r="K28" s="174">
        <f>波长示值误差校验!C3</f>
        <v>0</v>
      </c>
      <c r="L28" s="174"/>
      <c r="M28" s="174">
        <f>波长示值误差校验!C4</f>
        <v>0</v>
      </c>
      <c r="N28" s="174"/>
      <c r="O28" s="174"/>
    </row>
    <row r="29" s="118" customFormat="1" ht="19.05" customHeight="1" spans="1:15">
      <c r="A29" s="169"/>
      <c r="B29" s="169"/>
      <c r="C29" s="169"/>
      <c r="D29" s="169"/>
      <c r="E29" s="169" t="s">
        <v>45</v>
      </c>
      <c r="F29" s="169"/>
      <c r="G29" s="169"/>
      <c r="H29" s="174" t="str">
        <f>波长示值误差校验!D2</f>
        <v/>
      </c>
      <c r="I29" s="174"/>
      <c r="J29" s="174"/>
      <c r="K29" s="174" t="str">
        <f>波长示值误差校验!D3</f>
        <v/>
      </c>
      <c r="L29" s="174"/>
      <c r="M29" s="174" t="str">
        <f>波长示值误差校验!D4</f>
        <v/>
      </c>
      <c r="N29" s="174"/>
      <c r="O29" s="174"/>
    </row>
    <row r="30" s="118" customFormat="1" ht="19.05" customHeight="1" spans="1:15">
      <c r="A30" s="169"/>
      <c r="B30" s="169" t="s">
        <v>46</v>
      </c>
      <c r="C30" s="169" t="s">
        <v>47</v>
      </c>
      <c r="D30" s="169"/>
      <c r="E30" s="169" t="s">
        <v>24</v>
      </c>
      <c r="F30" s="169"/>
      <c r="G30" s="169"/>
      <c r="H30" s="169" t="s">
        <v>30</v>
      </c>
      <c r="I30" s="169"/>
      <c r="J30" s="169"/>
      <c r="K30" s="169"/>
      <c r="L30" s="169"/>
      <c r="M30" s="169"/>
      <c r="N30" s="169"/>
      <c r="O30" s="169"/>
    </row>
    <row r="31" s="118" customFormat="1" ht="19.05" customHeight="1" spans="1:15">
      <c r="A31" s="169"/>
      <c r="B31" s="169"/>
      <c r="C31" s="169"/>
      <c r="D31" s="169"/>
      <c r="E31" s="169" t="s">
        <v>27</v>
      </c>
      <c r="F31" s="169"/>
      <c r="G31" s="169"/>
      <c r="H31" s="172" t="str">
        <f>波长示值误差校验!B5</f>
        <v>640.7</v>
      </c>
      <c r="I31" s="172"/>
      <c r="J31" s="172" t="str">
        <f>波长示值误差校验!B6</f>
        <v>536.8</v>
      </c>
      <c r="K31" s="172" t="str">
        <f>波长示值误差校验!B7</f>
        <v>416.5</v>
      </c>
      <c r="L31" s="172" t="str">
        <f>波长示值误差校验!B8</f>
        <v>361.0</v>
      </c>
      <c r="M31" s="172" t="str">
        <f>波长示值误差校验!B9</f>
        <v>287.4</v>
      </c>
      <c r="N31" s="172" t="str">
        <f>波长示值误差校验!B10</f>
        <v>241.0</v>
      </c>
      <c r="O31" s="172"/>
    </row>
    <row r="32" s="118" customFormat="1" ht="19.5" customHeight="1" spans="1:15">
      <c r="A32" s="169"/>
      <c r="B32" s="169"/>
      <c r="C32" s="169"/>
      <c r="D32" s="169"/>
      <c r="E32" s="169"/>
      <c r="F32" s="169"/>
      <c r="G32" s="169"/>
      <c r="H32" s="172"/>
      <c r="I32" s="172"/>
      <c r="J32" s="172"/>
      <c r="K32" s="172"/>
      <c r="L32" s="172"/>
      <c r="M32" s="172"/>
      <c r="N32" s="172"/>
      <c r="O32" s="172"/>
    </row>
    <row r="33" s="118" customFormat="1" ht="19.05" customHeight="1" spans="1:15">
      <c r="A33" s="169"/>
      <c r="B33" s="169"/>
      <c r="C33" s="169"/>
      <c r="D33" s="169"/>
      <c r="E33" s="169" t="s">
        <v>28</v>
      </c>
      <c r="F33" s="169"/>
      <c r="G33" s="169"/>
      <c r="H33" s="174">
        <f>波长示值误差校验!C5</f>
        <v>0</v>
      </c>
      <c r="I33" s="174"/>
      <c r="J33" s="174">
        <f>波长示值误差校验!C6</f>
        <v>0</v>
      </c>
      <c r="K33" s="174">
        <f>波长示值误差校验!C7</f>
        <v>0</v>
      </c>
      <c r="L33" s="174">
        <f>波长示值误差校验!C8</f>
        <v>0</v>
      </c>
      <c r="M33" s="174">
        <f>波长示值误差校验!C9</f>
        <v>0</v>
      </c>
      <c r="N33" s="174">
        <f>波长示值误差校验!C10</f>
        <v>0</v>
      </c>
      <c r="O33" s="174"/>
    </row>
    <row r="34" s="118" customFormat="1" ht="19.5" customHeight="1" spans="1:15">
      <c r="A34" s="169"/>
      <c r="B34" s="169"/>
      <c r="C34" s="169"/>
      <c r="D34" s="169"/>
      <c r="E34" s="169"/>
      <c r="F34" s="169"/>
      <c r="G34" s="169"/>
      <c r="H34" s="174"/>
      <c r="I34" s="174"/>
      <c r="J34" s="174"/>
      <c r="K34" s="174"/>
      <c r="L34" s="174"/>
      <c r="M34" s="174"/>
      <c r="N34" s="174"/>
      <c r="O34" s="174"/>
    </row>
    <row r="35" s="118" customFormat="1" ht="19.5" hidden="1" customHeight="1" spans="1:15">
      <c r="A35" s="169"/>
      <c r="B35" s="169"/>
      <c r="C35" s="169"/>
      <c r="D35" s="169"/>
      <c r="E35" s="169"/>
      <c r="F35" s="169"/>
      <c r="G35" s="169"/>
      <c r="H35" s="174"/>
      <c r="I35" s="174"/>
      <c r="J35" s="174"/>
      <c r="K35" s="174"/>
      <c r="L35" s="174"/>
      <c r="M35" s="174"/>
      <c r="N35" s="174"/>
      <c r="O35" s="174"/>
    </row>
    <row r="36" s="118" customFormat="1" ht="19.5" hidden="1" customHeight="1" spans="1:15">
      <c r="A36" s="169"/>
      <c r="B36" s="169"/>
      <c r="C36" s="169"/>
      <c r="D36" s="169"/>
      <c r="E36" s="169"/>
      <c r="F36" s="169"/>
      <c r="G36" s="169"/>
      <c r="H36" s="174"/>
      <c r="I36" s="174"/>
      <c r="J36" s="174"/>
      <c r="K36" s="174"/>
      <c r="L36" s="174"/>
      <c r="M36" s="174"/>
      <c r="N36" s="174"/>
      <c r="O36" s="174"/>
    </row>
    <row r="37" s="118" customFormat="1" ht="19.05" customHeight="1" spans="1:15">
      <c r="A37" s="169"/>
      <c r="B37" s="169"/>
      <c r="C37" s="169"/>
      <c r="D37" s="169"/>
      <c r="E37" s="169" t="s">
        <v>45</v>
      </c>
      <c r="F37" s="169"/>
      <c r="G37" s="169"/>
      <c r="H37" s="174" t="str">
        <f>波长示值误差校验!D5</f>
        <v/>
      </c>
      <c r="I37" s="174"/>
      <c r="J37" s="174" t="str">
        <f>波长示值误差校验!D6</f>
        <v/>
      </c>
      <c r="K37" s="174" t="str">
        <f>波长示值误差校验!D7</f>
        <v/>
      </c>
      <c r="L37" s="174" t="str">
        <f>波长示值误差校验!D8</f>
        <v/>
      </c>
      <c r="M37" s="174" t="str">
        <f>波长示值误差校验!D9</f>
        <v/>
      </c>
      <c r="N37" s="174" t="str">
        <f>波长示值误差校验!D10</f>
        <v/>
      </c>
      <c r="O37" s="174"/>
    </row>
    <row r="38" s="118" customFormat="1" ht="18" hidden="1" customHeight="1" spans="1:15">
      <c r="A38" s="169"/>
      <c r="B38" s="169"/>
      <c r="C38" s="169"/>
      <c r="D38" s="169"/>
      <c r="E38" s="169"/>
      <c r="F38" s="169"/>
      <c r="G38" s="169"/>
      <c r="H38" s="174"/>
      <c r="I38" s="174"/>
      <c r="J38" s="174"/>
      <c r="K38" s="174"/>
      <c r="L38" s="174"/>
      <c r="M38" s="174"/>
      <c r="N38" s="174"/>
      <c r="O38" s="174"/>
    </row>
    <row r="39" s="118" customFormat="1" ht="19.5" hidden="1" customHeight="1" spans="1:15">
      <c r="A39" s="169"/>
      <c r="B39" s="169"/>
      <c r="C39" s="169"/>
      <c r="D39" s="169"/>
      <c r="E39" s="169"/>
      <c r="F39" s="169"/>
      <c r="G39" s="169"/>
      <c r="H39" s="175"/>
      <c r="I39" s="175"/>
      <c r="J39" s="175"/>
      <c r="K39" s="175"/>
      <c r="L39" s="175"/>
      <c r="M39" s="175"/>
      <c r="N39" s="175"/>
      <c r="O39" s="175"/>
    </row>
    <row r="40" s="118" customFormat="1" ht="19.05" customHeight="1" spans="1:15">
      <c r="A40" s="169">
        <v>5</v>
      </c>
      <c r="B40" s="171" t="s">
        <v>48</v>
      </c>
      <c r="C40" s="169"/>
      <c r="D40" s="169"/>
      <c r="E40" s="171" t="s">
        <v>49</v>
      </c>
      <c r="F40" s="171"/>
      <c r="G40" s="171"/>
      <c r="H40" s="171"/>
      <c r="I40" s="171"/>
      <c r="J40" s="169">
        <v>1</v>
      </c>
      <c r="K40" s="169">
        <v>2</v>
      </c>
      <c r="L40" s="169">
        <v>3</v>
      </c>
      <c r="M40" s="184" t="s">
        <v>18</v>
      </c>
      <c r="N40" s="184"/>
      <c r="O40" s="184"/>
    </row>
    <row r="41" s="118" customFormat="1" ht="30" hidden="1" customHeight="1" spans="1:15">
      <c r="A41" s="169"/>
      <c r="B41" s="171"/>
      <c r="C41" s="169"/>
      <c r="D41" s="169"/>
      <c r="E41" s="171"/>
      <c r="F41" s="171"/>
      <c r="G41" s="171"/>
      <c r="H41" s="171"/>
      <c r="I41" s="171"/>
      <c r="J41" s="169"/>
      <c r="K41" s="169"/>
      <c r="L41" s="169"/>
      <c r="M41" s="184"/>
      <c r="N41" s="184"/>
      <c r="O41" s="184"/>
    </row>
    <row r="42" s="118" customFormat="1" ht="19.05" customHeight="1" spans="1:15">
      <c r="A42" s="169"/>
      <c r="B42" s="171"/>
      <c r="C42" s="176" t="s">
        <v>50</v>
      </c>
      <c r="D42" s="169" t="s">
        <v>51</v>
      </c>
      <c r="E42" s="171" t="s">
        <v>52</v>
      </c>
      <c r="F42" s="171"/>
      <c r="G42" s="171"/>
      <c r="H42" s="169" t="s">
        <v>53</v>
      </c>
      <c r="I42" s="169"/>
      <c r="J42" s="185">
        <f>杂散光校验!C2</f>
        <v>0</v>
      </c>
      <c r="K42" s="185">
        <f>杂散光校验!D2</f>
        <v>0</v>
      </c>
      <c r="L42" s="185">
        <f>杂散光校验!E2</f>
        <v>0</v>
      </c>
      <c r="M42" s="184" t="str">
        <f>杂散光校验!G2</f>
        <v>不合格</v>
      </c>
      <c r="N42" s="184"/>
      <c r="O42" s="184"/>
    </row>
    <row r="43" s="118" customFormat="1" ht="30" customHeight="1" spans="1:15">
      <c r="A43" s="169"/>
      <c r="B43" s="171"/>
      <c r="C43" s="176"/>
      <c r="D43" s="169"/>
      <c r="E43" s="171"/>
      <c r="F43" s="171"/>
      <c r="G43" s="171"/>
      <c r="H43" s="169"/>
      <c r="I43" s="169"/>
      <c r="J43" s="185"/>
      <c r="K43" s="185"/>
      <c r="L43" s="185"/>
      <c r="M43" s="184"/>
      <c r="N43" s="184"/>
      <c r="O43" s="184"/>
    </row>
    <row r="44" s="118" customFormat="1" ht="30" customHeight="1" spans="1:15">
      <c r="A44" s="169"/>
      <c r="B44" s="171"/>
      <c r="C44" s="176" t="s">
        <v>54</v>
      </c>
      <c r="D44" s="169" t="s">
        <v>55</v>
      </c>
      <c r="E44" s="171" t="s">
        <v>56</v>
      </c>
      <c r="F44" s="171"/>
      <c r="G44" s="171"/>
      <c r="H44" s="169"/>
      <c r="I44" s="169"/>
      <c r="J44" s="185">
        <f>杂散光校验!C3</f>
        <v>0</v>
      </c>
      <c r="K44" s="185">
        <f>杂散光校验!D3</f>
        <v>0</v>
      </c>
      <c r="L44" s="185">
        <f>杂散光校验!E3</f>
        <v>0</v>
      </c>
      <c r="M44" s="184" t="str">
        <f>杂散光校验!G3</f>
        <v>不合格</v>
      </c>
      <c r="N44" s="184"/>
      <c r="O44" s="184"/>
    </row>
    <row r="45" s="118" customFormat="1" ht="30" customHeight="1" spans="1:15">
      <c r="A45" s="169"/>
      <c r="B45" s="171"/>
      <c r="C45" s="176"/>
      <c r="D45" s="169"/>
      <c r="E45" s="171"/>
      <c r="F45" s="171"/>
      <c r="G45" s="171"/>
      <c r="H45" s="169"/>
      <c r="I45" s="169"/>
      <c r="J45" s="185"/>
      <c r="K45" s="185"/>
      <c r="L45" s="185"/>
      <c r="M45" s="184"/>
      <c r="N45" s="184"/>
      <c r="O45" s="184"/>
    </row>
    <row r="46" s="118" customFormat="1" ht="30" customHeight="1" spans="1:15">
      <c r="A46" s="169">
        <v>6</v>
      </c>
      <c r="B46" s="171" t="s">
        <v>57</v>
      </c>
      <c r="C46" s="169" t="s">
        <v>58</v>
      </c>
      <c r="D46" s="169"/>
      <c r="E46" s="169"/>
      <c r="F46" s="169"/>
      <c r="G46" s="169"/>
      <c r="H46" s="169" t="s">
        <v>59</v>
      </c>
      <c r="I46" s="169"/>
      <c r="J46" s="169"/>
      <c r="K46" s="169"/>
      <c r="L46" s="169"/>
      <c r="M46" s="186">
        <f>基线平直度检验!B2</f>
        <v>0</v>
      </c>
      <c r="N46" s="186"/>
      <c r="O46" s="186"/>
    </row>
    <row r="47" s="118" customFormat="1" ht="30" customHeight="1" spans="1:15">
      <c r="A47" s="169"/>
      <c r="B47" s="171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86"/>
      <c r="N47" s="186"/>
      <c r="O47" s="186"/>
    </row>
    <row r="48" s="118" customFormat="1" ht="77.25" customHeight="1" spans="1:15">
      <c r="A48" s="171">
        <v>7</v>
      </c>
      <c r="B48" s="169" t="s">
        <v>60</v>
      </c>
      <c r="C48" s="171" t="s">
        <v>61</v>
      </c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87" t="s">
        <v>62</v>
      </c>
      <c r="O48" s="187"/>
    </row>
    <row r="49" s="118" customFormat="1" ht="30" customHeight="1" spans="1:15">
      <c r="A49" s="171"/>
      <c r="B49" s="169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87"/>
      <c r="O49" s="187"/>
    </row>
    <row r="50" s="118" customFormat="1" ht="27.75" customHeight="1" spans="1:15">
      <c r="A50" s="171" t="s">
        <v>63</v>
      </c>
      <c r="B50" s="171"/>
      <c r="C50" s="171" t="s">
        <v>64</v>
      </c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</row>
    <row r="51" s="118" customFormat="1" ht="14.25" customHeight="1" spans="1:15">
      <c r="A51" s="169" t="s">
        <v>65</v>
      </c>
      <c r="B51" s="169"/>
      <c r="C51" s="177" t="s">
        <v>66</v>
      </c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</row>
    <row r="52" s="118" customFormat="1" ht="14.25" customHeight="1" spans="1:15">
      <c r="A52" s="169"/>
      <c r="B52" s="169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</row>
    <row r="53" s="118" customFormat="1" ht="27" customHeight="1" spans="1:15">
      <c r="A53" s="169"/>
      <c r="B53" s="169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</row>
  </sheetData>
  <mergeCells count="200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A7:B7"/>
    <mergeCell ref="C7:D7"/>
    <mergeCell ref="E7:G7"/>
    <mergeCell ref="H7:J7"/>
    <mergeCell ref="K7:L7"/>
    <mergeCell ref="M7:O7"/>
    <mergeCell ref="B8:D8"/>
    <mergeCell ref="E8:O8"/>
    <mergeCell ref="B9:C9"/>
    <mergeCell ref="D9:F9"/>
    <mergeCell ref="G9:I9"/>
    <mergeCell ref="J9:K9"/>
    <mergeCell ref="M9:O9"/>
    <mergeCell ref="C10:D10"/>
    <mergeCell ref="E10:G10"/>
    <mergeCell ref="H10:J10"/>
    <mergeCell ref="K10:L10"/>
    <mergeCell ref="M10:O10"/>
    <mergeCell ref="E11:G11"/>
    <mergeCell ref="H11:J11"/>
    <mergeCell ref="K11:L11"/>
    <mergeCell ref="M11:O11"/>
    <mergeCell ref="E12:G12"/>
    <mergeCell ref="H12:J12"/>
    <mergeCell ref="K12:L12"/>
    <mergeCell ref="M12:O12"/>
    <mergeCell ref="E13:G13"/>
    <mergeCell ref="H13:J13"/>
    <mergeCell ref="K13:L13"/>
    <mergeCell ref="M13:O13"/>
    <mergeCell ref="E14:G14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J17"/>
    <mergeCell ref="K17:L17"/>
    <mergeCell ref="M17:O17"/>
    <mergeCell ref="E18:G18"/>
    <mergeCell ref="H18:J18"/>
    <mergeCell ref="K18:L18"/>
    <mergeCell ref="M18:O18"/>
    <mergeCell ref="C19:D19"/>
    <mergeCell ref="E19:G19"/>
    <mergeCell ref="H19:J19"/>
    <mergeCell ref="K19:L19"/>
    <mergeCell ref="M19:O19"/>
    <mergeCell ref="C20:D20"/>
    <mergeCell ref="E20:H20"/>
    <mergeCell ref="I20:J20"/>
    <mergeCell ref="K20:L20"/>
    <mergeCell ref="M20:O20"/>
    <mergeCell ref="E21:H21"/>
    <mergeCell ref="I21:J21"/>
    <mergeCell ref="K21:L21"/>
    <mergeCell ref="M21:O21"/>
    <mergeCell ref="E22:H22"/>
    <mergeCell ref="I22:J22"/>
    <mergeCell ref="K22:L22"/>
    <mergeCell ref="M22:O22"/>
    <mergeCell ref="E23:H23"/>
    <mergeCell ref="I23:J23"/>
    <mergeCell ref="K23:L23"/>
    <mergeCell ref="M23:O23"/>
    <mergeCell ref="C24:D24"/>
    <mergeCell ref="E24:H24"/>
    <mergeCell ref="I24:J24"/>
    <mergeCell ref="K24:L24"/>
    <mergeCell ref="M24:O24"/>
    <mergeCell ref="E25:G25"/>
    <mergeCell ref="H25:O25"/>
    <mergeCell ref="E26:G26"/>
    <mergeCell ref="H26:J26"/>
    <mergeCell ref="K26:L26"/>
    <mergeCell ref="M26:O26"/>
    <mergeCell ref="E27:G27"/>
    <mergeCell ref="H27:J27"/>
    <mergeCell ref="K27:L27"/>
    <mergeCell ref="M27:O27"/>
    <mergeCell ref="E28:G28"/>
    <mergeCell ref="H28:J28"/>
    <mergeCell ref="K28:L28"/>
    <mergeCell ref="M28:O28"/>
    <mergeCell ref="E29:G29"/>
    <mergeCell ref="H29:J29"/>
    <mergeCell ref="K29:L29"/>
    <mergeCell ref="M29:O29"/>
    <mergeCell ref="E30:G30"/>
    <mergeCell ref="H30:O30"/>
    <mergeCell ref="H35:I35"/>
    <mergeCell ref="N35:O35"/>
    <mergeCell ref="E36:G36"/>
    <mergeCell ref="H36:I36"/>
    <mergeCell ref="N36:O36"/>
    <mergeCell ref="E39:G39"/>
    <mergeCell ref="H39:I39"/>
    <mergeCell ref="N39:O39"/>
    <mergeCell ref="A50:B50"/>
    <mergeCell ref="C50:O50"/>
    <mergeCell ref="A10:A19"/>
    <mergeCell ref="A20:A24"/>
    <mergeCell ref="A25:A39"/>
    <mergeCell ref="A40:A45"/>
    <mergeCell ref="A46:A47"/>
    <mergeCell ref="A48:A49"/>
    <mergeCell ref="B10:B19"/>
    <mergeCell ref="B20:B24"/>
    <mergeCell ref="B25:B29"/>
    <mergeCell ref="B30:B39"/>
    <mergeCell ref="B40:B45"/>
    <mergeCell ref="B46:B47"/>
    <mergeCell ref="B48:B49"/>
    <mergeCell ref="C42:C43"/>
    <mergeCell ref="C44:C45"/>
    <mergeCell ref="D42:D43"/>
    <mergeCell ref="D44:D45"/>
    <mergeCell ref="J31:J32"/>
    <mergeCell ref="J33:J34"/>
    <mergeCell ref="J37:J38"/>
    <mergeCell ref="J40:J41"/>
    <mergeCell ref="J42:J43"/>
    <mergeCell ref="J44:J45"/>
    <mergeCell ref="K31:K32"/>
    <mergeCell ref="K33:K34"/>
    <mergeCell ref="K37:K38"/>
    <mergeCell ref="K40:K41"/>
    <mergeCell ref="K42:K43"/>
    <mergeCell ref="K44:K45"/>
    <mergeCell ref="L31:L32"/>
    <mergeCell ref="L33:L34"/>
    <mergeCell ref="L37:L38"/>
    <mergeCell ref="L40:L41"/>
    <mergeCell ref="L42:L43"/>
    <mergeCell ref="L44:L45"/>
    <mergeCell ref="M31:M32"/>
    <mergeCell ref="M33:M34"/>
    <mergeCell ref="M37:M38"/>
    <mergeCell ref="A1:B3"/>
    <mergeCell ref="C2:K3"/>
    <mergeCell ref="C11:D12"/>
    <mergeCell ref="C13:D18"/>
    <mergeCell ref="C21:D23"/>
    <mergeCell ref="C25:D29"/>
    <mergeCell ref="C30:D39"/>
    <mergeCell ref="E31:G32"/>
    <mergeCell ref="H31:I32"/>
    <mergeCell ref="N31:O32"/>
    <mergeCell ref="E33:G35"/>
    <mergeCell ref="H33:I34"/>
    <mergeCell ref="N33:O34"/>
    <mergeCell ref="E37:G38"/>
    <mergeCell ref="H37:I38"/>
    <mergeCell ref="N37:O38"/>
    <mergeCell ref="C40:D41"/>
    <mergeCell ref="E40:G41"/>
    <mergeCell ref="H40:I41"/>
    <mergeCell ref="M40:O41"/>
    <mergeCell ref="E42:G43"/>
    <mergeCell ref="H42:I45"/>
    <mergeCell ref="M42:O43"/>
    <mergeCell ref="E44:G45"/>
    <mergeCell ref="M44:O45"/>
    <mergeCell ref="C46:G47"/>
    <mergeCell ref="H46:L47"/>
    <mergeCell ref="M46:O47"/>
    <mergeCell ref="C48:M49"/>
    <mergeCell ref="N48:O49"/>
    <mergeCell ref="A51:B53"/>
    <mergeCell ref="C51:O53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selection activeCell="J6" sqref="J6"/>
    </sheetView>
  </sheetViews>
  <sheetFormatPr defaultColWidth="8.87962962962963" defaultRowHeight="14.4"/>
  <cols>
    <col min="1" max="1" width="18.3333333333333" style="159" customWidth="1"/>
    <col min="2" max="2" width="19.3333333333333" style="159" customWidth="1"/>
    <col min="3" max="3" width="21.4444444444444" style="159" customWidth="1"/>
    <col min="4" max="4" width="7.87962962962963" style="159" customWidth="1"/>
    <col min="5" max="7" width="14.1111111111111" style="159" customWidth="1"/>
    <col min="8" max="12" width="11" style="159" customWidth="1"/>
    <col min="13" max="13" width="16.3333333333333" style="159" customWidth="1"/>
    <col min="14" max="14" width="11" style="159" customWidth="1"/>
    <col min="15" max="15" width="20.1111111111111" style="159" customWidth="1"/>
    <col min="16" max="16" width="16.3333333333333" style="112" customWidth="1"/>
    <col min="17" max="16384" width="8.87962962962963" style="159"/>
  </cols>
  <sheetData>
    <row r="1" s="92" customFormat="1" ht="32.25" customHeight="1" spans="1:18">
      <c r="A1" s="104" t="s">
        <v>67</v>
      </c>
      <c r="B1" s="104" t="s">
        <v>68</v>
      </c>
      <c r="C1" s="104" t="s">
        <v>34</v>
      </c>
      <c r="D1" s="104"/>
      <c r="E1" s="160" t="s">
        <v>69</v>
      </c>
      <c r="F1" s="160" t="s">
        <v>70</v>
      </c>
      <c r="G1" s="160" t="s">
        <v>70</v>
      </c>
      <c r="H1" s="160" t="s">
        <v>71</v>
      </c>
      <c r="I1" s="160" t="s">
        <v>72</v>
      </c>
      <c r="J1" s="160" t="s">
        <v>72</v>
      </c>
      <c r="K1" s="160" t="s">
        <v>73</v>
      </c>
      <c r="L1" s="160" t="s">
        <v>73</v>
      </c>
      <c r="M1" s="160" t="s">
        <v>74</v>
      </c>
      <c r="N1" s="160" t="s">
        <v>75</v>
      </c>
      <c r="O1" s="160" t="s">
        <v>76</v>
      </c>
      <c r="P1" s="163" t="s">
        <v>77</v>
      </c>
      <c r="Q1" s="160" t="s">
        <v>26</v>
      </c>
      <c r="R1" s="160" t="s">
        <v>78</v>
      </c>
    </row>
    <row r="2" spans="1:18">
      <c r="A2" s="48" t="s">
        <v>29</v>
      </c>
      <c r="B2" s="48">
        <v>656.1</v>
      </c>
      <c r="C2" s="48">
        <v>656.1</v>
      </c>
      <c r="D2" s="48"/>
      <c r="E2" s="48" t="s">
        <v>79</v>
      </c>
      <c r="F2" s="81" t="s">
        <v>39</v>
      </c>
      <c r="G2" s="81">
        <v>0</v>
      </c>
      <c r="H2" s="48"/>
      <c r="I2" s="48" t="s">
        <v>80</v>
      </c>
      <c r="J2" s="48">
        <v>0</v>
      </c>
      <c r="K2" s="81" t="s">
        <v>81</v>
      </c>
      <c r="L2" s="48">
        <v>0</v>
      </c>
      <c r="M2" s="48"/>
      <c r="N2" s="48">
        <v>1</v>
      </c>
      <c r="P2" s="164">
        <v>0.2</v>
      </c>
      <c r="Q2" s="164"/>
      <c r="R2" s="48"/>
    </row>
    <row r="3" spans="1:18">
      <c r="A3" s="48" t="s">
        <v>82</v>
      </c>
      <c r="B3" s="48">
        <v>253.7</v>
      </c>
      <c r="C3" s="48">
        <v>253.7</v>
      </c>
      <c r="D3" s="48"/>
      <c r="E3" s="48" t="s">
        <v>83</v>
      </c>
      <c r="F3" s="81" t="s">
        <v>29</v>
      </c>
      <c r="G3" s="81">
        <v>1</v>
      </c>
      <c r="H3" s="48" t="s">
        <v>84</v>
      </c>
      <c r="I3" s="48" t="s">
        <v>85</v>
      </c>
      <c r="J3" s="48">
        <v>1</v>
      </c>
      <c r="K3" s="81" t="s">
        <v>86</v>
      </c>
      <c r="L3" s="48">
        <v>1</v>
      </c>
      <c r="M3" s="159">
        <v>0.02</v>
      </c>
      <c r="N3" s="48">
        <v>2</v>
      </c>
      <c r="O3" s="48">
        <v>1</v>
      </c>
      <c r="P3" s="164">
        <v>0.5</v>
      </c>
      <c r="Q3" s="48">
        <v>1</v>
      </c>
      <c r="R3" s="48">
        <v>0.5</v>
      </c>
    </row>
    <row r="4" spans="1:18">
      <c r="A4" s="48" t="s">
        <v>87</v>
      </c>
      <c r="B4" s="48" t="s">
        <v>88</v>
      </c>
      <c r="C4" s="48" t="s">
        <v>88</v>
      </c>
      <c r="D4" s="48"/>
      <c r="E4" s="48"/>
      <c r="F4" s="81" t="s">
        <v>89</v>
      </c>
      <c r="G4" s="81">
        <v>2</v>
      </c>
      <c r="H4" s="48"/>
      <c r="I4" s="48" t="s">
        <v>90</v>
      </c>
      <c r="J4" s="48">
        <v>2</v>
      </c>
      <c r="K4" s="81" t="s">
        <v>91</v>
      </c>
      <c r="L4" s="48">
        <v>2</v>
      </c>
      <c r="M4" s="48">
        <v>0.1</v>
      </c>
      <c r="N4" s="48">
        <v>3</v>
      </c>
      <c r="O4" s="48">
        <v>2</v>
      </c>
      <c r="P4" s="114" t="s">
        <v>92</v>
      </c>
      <c r="Q4" s="48">
        <v>2</v>
      </c>
      <c r="R4" s="48">
        <v>1</v>
      </c>
    </row>
    <row r="5" spans="1:18">
      <c r="A5" s="48" t="s">
        <v>31</v>
      </c>
      <c r="B5" s="48" t="s">
        <v>93</v>
      </c>
      <c r="C5" s="48" t="s">
        <v>93</v>
      </c>
      <c r="D5" s="48"/>
      <c r="E5" s="48"/>
      <c r="F5" s="48"/>
      <c r="G5" s="48"/>
      <c r="H5" s="48"/>
      <c r="I5" s="48" t="s">
        <v>94</v>
      </c>
      <c r="J5" s="48">
        <v>3</v>
      </c>
      <c r="K5" s="81" t="s">
        <v>95</v>
      </c>
      <c r="L5" s="48">
        <v>3</v>
      </c>
      <c r="M5" s="48">
        <v>0.2</v>
      </c>
      <c r="N5" s="48">
        <v>4</v>
      </c>
      <c r="O5" s="48"/>
      <c r="P5" s="114" t="s">
        <v>96</v>
      </c>
      <c r="Q5" s="48">
        <v>3</v>
      </c>
      <c r="R5" s="48">
        <v>2</v>
      </c>
    </row>
    <row r="6" spans="1:18">
      <c r="A6" s="48" t="s">
        <v>97</v>
      </c>
      <c r="B6" s="48" t="s">
        <v>98</v>
      </c>
      <c r="C6" s="48"/>
      <c r="D6" s="48"/>
      <c r="E6" s="48"/>
      <c r="F6" s="48"/>
      <c r="G6" s="48"/>
      <c r="H6" s="48"/>
      <c r="I6" s="48" t="s">
        <v>99</v>
      </c>
      <c r="J6" s="48">
        <v>4</v>
      </c>
      <c r="K6" s="48"/>
      <c r="L6" s="48"/>
      <c r="M6" s="48">
        <v>0.5</v>
      </c>
      <c r="N6" s="48">
        <v>5</v>
      </c>
      <c r="O6" s="48"/>
      <c r="P6" s="114" t="s">
        <v>100</v>
      </c>
      <c r="Q6" s="48">
        <v>4</v>
      </c>
      <c r="R6" s="48"/>
    </row>
    <row r="7" spans="1:18">
      <c r="A7" s="48" t="s">
        <v>101</v>
      </c>
      <c r="B7" s="48" t="s">
        <v>102</v>
      </c>
      <c r="C7" s="48"/>
      <c r="D7" s="48"/>
      <c r="E7" s="48"/>
      <c r="F7" s="48"/>
      <c r="G7" s="48"/>
      <c r="H7" s="48"/>
      <c r="I7" s="48"/>
      <c r="J7" s="48"/>
      <c r="K7" s="48" t="s">
        <v>103</v>
      </c>
      <c r="L7" s="48"/>
      <c r="M7" s="48">
        <v>1</v>
      </c>
      <c r="N7" s="48"/>
      <c r="O7" s="48"/>
      <c r="P7" s="164"/>
      <c r="Q7" s="48">
        <v>5</v>
      </c>
      <c r="R7" s="48"/>
    </row>
    <row r="8" spans="1:18">
      <c r="A8" s="48" t="s">
        <v>104</v>
      </c>
      <c r="B8" s="48" t="s">
        <v>105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>
        <v>2</v>
      </c>
      <c r="N8" s="48"/>
      <c r="O8" s="48"/>
      <c r="P8" s="164"/>
      <c r="Q8" s="48"/>
      <c r="R8" s="48"/>
    </row>
    <row r="9" spans="1:18">
      <c r="A9" s="161" t="s">
        <v>106</v>
      </c>
      <c r="B9" s="162">
        <v>350313257235</v>
      </c>
      <c r="C9" s="48" t="s">
        <v>107</v>
      </c>
      <c r="D9" s="162"/>
      <c r="E9" s="48"/>
      <c r="F9" s="48"/>
      <c r="G9" s="48"/>
      <c r="H9" s="48"/>
      <c r="I9" s="48"/>
      <c r="J9" s="48"/>
      <c r="K9" s="48"/>
      <c r="L9" s="48"/>
      <c r="M9" s="48">
        <v>5</v>
      </c>
      <c r="N9" s="48"/>
      <c r="O9" s="48"/>
      <c r="P9" s="164"/>
      <c r="Q9" s="48"/>
      <c r="R9" s="48"/>
    </row>
    <row r="10" spans="1:18">
      <c r="A10" s="48" t="s">
        <v>108</v>
      </c>
      <c r="B10" s="48">
        <v>220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164"/>
      <c r="Q10" s="48"/>
      <c r="R10" s="48"/>
    </row>
    <row r="11" spans="1:18">
      <c r="A11" s="48" t="s">
        <v>109</v>
      </c>
      <c r="B11" s="162">
        <v>340360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164"/>
      <c r="Q11" s="48"/>
      <c r="R11" s="48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showGridLines="0" zoomScale="85" zoomScaleNormal="85" workbookViewId="0">
      <pane ySplit="1" topLeftCell="A2" activePane="bottomLeft" state="frozen"/>
      <selection/>
      <selection pane="bottomLeft" activeCell="E36" sqref="E36"/>
    </sheetView>
  </sheetViews>
  <sheetFormatPr defaultColWidth="9" defaultRowHeight="14.4"/>
  <cols>
    <col min="1" max="1" width="10" style="148" customWidth="1"/>
    <col min="2" max="2" width="13.6666666666667" style="148" customWidth="1"/>
    <col min="3" max="3" width="7.87962962962963" style="148" customWidth="1"/>
    <col min="4" max="4" width="15.3333333333333" style="149" customWidth="1"/>
    <col min="9" max="9" width="17.212962962963" customWidth="1"/>
    <col min="11" max="11" width="10" customWidth="1"/>
    <col min="14" max="14" width="10" style="148" customWidth="1"/>
    <col min="15" max="15" width="5.77777777777778" customWidth="1"/>
    <col min="16" max="16" width="36.6666666666667" style="148" customWidth="1"/>
    <col min="17" max="17" width="11.6666666666667" customWidth="1"/>
  </cols>
  <sheetData>
    <row r="1" spans="1:17">
      <c r="A1" s="150" t="s">
        <v>110</v>
      </c>
      <c r="B1" s="150" t="s">
        <v>111</v>
      </c>
      <c r="C1" s="150" t="s">
        <v>34</v>
      </c>
      <c r="D1" s="151" t="s">
        <v>28</v>
      </c>
      <c r="E1" s="151" t="s">
        <v>112</v>
      </c>
      <c r="F1" s="151" t="s">
        <v>113</v>
      </c>
      <c r="G1" s="151" t="s">
        <v>114</v>
      </c>
      <c r="H1" s="152" t="s">
        <v>7</v>
      </c>
      <c r="I1" s="156" t="s">
        <v>8</v>
      </c>
      <c r="J1" s="152" t="s">
        <v>9</v>
      </c>
      <c r="K1" s="152" t="s">
        <v>115</v>
      </c>
      <c r="L1" s="152" t="s">
        <v>116</v>
      </c>
      <c r="M1" s="152" t="s">
        <v>117</v>
      </c>
      <c r="N1" s="150" t="s">
        <v>118</v>
      </c>
      <c r="O1" s="151" t="s">
        <v>119</v>
      </c>
      <c r="P1" s="150" t="s">
        <v>120</v>
      </c>
      <c r="Q1" s="158"/>
    </row>
    <row r="2" spans="1:16">
      <c r="A2" s="153">
        <v>1001</v>
      </c>
      <c r="B2" s="153" t="str">
        <f ca="1" t="shared" ref="B2:B37" si="0">MID(CELL("filename"),FIND("[",CELL("filename"),1)+1,FIND(".",CELL("filename"),1)-FIND("[",CELL("filename"),1)-1)</f>
        <v>T500</v>
      </c>
      <c r="C2" s="79"/>
      <c r="D2" s="154" t="e">
        <f>波长示值误差校验!$C2&amp;";"&amp;波长示值误差校验!#REF!&amp;";"&amp;波长示值误差校验!#REF!</f>
        <v>#REF!</v>
      </c>
      <c r="E2" s="154" t="e">
        <f>波长示值误差校验!#REF!</f>
        <v>#REF!</v>
      </c>
      <c r="F2" s="154" t="str">
        <f>波长示值误差校验!$D2</f>
        <v/>
      </c>
      <c r="G2" s="154" t="e">
        <f>波长示值误差校验!#REF!</f>
        <v>#REF!</v>
      </c>
      <c r="H2" s="154">
        <f>Report!$F$5</f>
        <v>0</v>
      </c>
      <c r="I2" s="157">
        <f ca="1" t="shared" ref="I2:I37" si="1">NOW()</f>
        <v>45645.6399537037</v>
      </c>
      <c r="J2" s="154">
        <f>Report!$N$5</f>
        <v>0</v>
      </c>
      <c r="K2" s="154"/>
      <c r="L2" s="154">
        <f>Report!$C$6</f>
        <v>0</v>
      </c>
      <c r="M2" s="154">
        <f>Report!$H$6</f>
        <v>0</v>
      </c>
      <c r="N2" s="79" t="str">
        <f>波长示值误差校验!$F2</f>
        <v>不合格</v>
      </c>
      <c r="O2" s="154"/>
      <c r="P2" s="81">
        <v>1001</v>
      </c>
    </row>
    <row r="3" spans="1:16">
      <c r="A3" s="79">
        <v>1002</v>
      </c>
      <c r="B3" s="153" t="str">
        <f ca="1" t="shared" si="0"/>
        <v>T500</v>
      </c>
      <c r="C3" s="79"/>
      <c r="D3" s="154" t="e">
        <f>波长示值误差校验!$C3&amp;";"&amp;波长示值误差校验!#REF!&amp;";"&amp;波长示值误差校验!#REF!</f>
        <v>#REF!</v>
      </c>
      <c r="E3" s="154" t="e">
        <f>波长示值误差校验!#REF!</f>
        <v>#REF!</v>
      </c>
      <c r="F3" s="154" t="str">
        <f>波长示值误差校验!$D3</f>
        <v/>
      </c>
      <c r="G3" s="154" t="e">
        <f>波长示值误差校验!#REF!</f>
        <v>#REF!</v>
      </c>
      <c r="H3" s="154">
        <f>Report!$F$5</f>
        <v>0</v>
      </c>
      <c r="I3" s="157">
        <f ca="1" t="shared" si="1"/>
        <v>45645.6399537037</v>
      </c>
      <c r="J3" s="154">
        <f>Report!$N$5</f>
        <v>0</v>
      </c>
      <c r="K3" s="154"/>
      <c r="L3" s="154">
        <f>Report!$C$6</f>
        <v>0</v>
      </c>
      <c r="M3" s="154">
        <f>Report!$H$6</f>
        <v>0</v>
      </c>
      <c r="N3" s="79" t="str">
        <f>波长示值误差校验!$F3</f>
        <v>不合格</v>
      </c>
      <c r="O3" s="154"/>
      <c r="P3" s="81">
        <v>1002</v>
      </c>
    </row>
    <row r="4" spans="1:16">
      <c r="A4" s="79">
        <v>1003</v>
      </c>
      <c r="B4" s="153" t="str">
        <f ca="1" t="shared" si="0"/>
        <v>T500</v>
      </c>
      <c r="C4" s="79"/>
      <c r="D4" s="154" t="e">
        <f>波长示值误差校验!$C4&amp;";"&amp;波长示值误差校验!#REF!&amp;";"&amp;波长示值误差校验!#REF!</f>
        <v>#REF!</v>
      </c>
      <c r="E4" s="154" t="e">
        <f>波长示值误差校验!#REF!</f>
        <v>#REF!</v>
      </c>
      <c r="F4" s="154" t="str">
        <f>波长示值误差校验!$D4</f>
        <v/>
      </c>
      <c r="G4" s="154" t="e">
        <f>波长示值误差校验!#REF!</f>
        <v>#REF!</v>
      </c>
      <c r="H4" s="154">
        <f>Report!$F$5</f>
        <v>0</v>
      </c>
      <c r="I4" s="157">
        <f ca="1" t="shared" si="1"/>
        <v>45645.6399537037</v>
      </c>
      <c r="J4" s="154">
        <f>Report!$N$5</f>
        <v>0</v>
      </c>
      <c r="K4" s="154"/>
      <c r="L4" s="154">
        <f>Report!$C$6</f>
        <v>0</v>
      </c>
      <c r="M4" s="154">
        <f>Report!$H$6</f>
        <v>0</v>
      </c>
      <c r="N4" s="79" t="str">
        <f>波长示值误差校验!$F4</f>
        <v>不合格</v>
      </c>
      <c r="O4" s="154"/>
      <c r="P4" s="81">
        <v>1003</v>
      </c>
    </row>
    <row r="5" spans="1:16">
      <c r="A5" s="79">
        <v>1008</v>
      </c>
      <c r="B5" s="153" t="str">
        <f ca="1" t="shared" si="0"/>
        <v>T500</v>
      </c>
      <c r="C5" s="79"/>
      <c r="D5" s="154" t="e">
        <f>波长示值误差校验!$C5&amp;";"&amp;波长示值误差校验!#REF!&amp;";"&amp;波长示值误差校验!#REF!</f>
        <v>#REF!</v>
      </c>
      <c r="E5" s="154" t="e">
        <f>波长示值误差校验!#REF!</f>
        <v>#REF!</v>
      </c>
      <c r="F5" s="154" t="str">
        <f>波长示值误差校验!$D5</f>
        <v/>
      </c>
      <c r="G5" s="154" t="e">
        <f>波长示值误差校验!#REF!</f>
        <v>#REF!</v>
      </c>
      <c r="H5" s="154">
        <f>Report!$F$5</f>
        <v>0</v>
      </c>
      <c r="I5" s="157">
        <f ca="1" t="shared" si="1"/>
        <v>45645.6399537037</v>
      </c>
      <c r="J5" s="154">
        <f>Report!$N$5</f>
        <v>0</v>
      </c>
      <c r="K5" s="154"/>
      <c r="L5" s="154">
        <f>Report!$C$6</f>
        <v>0</v>
      </c>
      <c r="M5" s="154">
        <f>Report!$H$6</f>
        <v>0</v>
      </c>
      <c r="N5" s="79" t="str">
        <f>波长示值误差校验!$F5</f>
        <v>不合格</v>
      </c>
      <c r="O5" s="154"/>
      <c r="P5" s="81">
        <v>1004</v>
      </c>
    </row>
    <row r="6" spans="1:16">
      <c r="A6" s="79">
        <v>1009</v>
      </c>
      <c r="B6" s="153" t="str">
        <f ca="1" t="shared" si="0"/>
        <v>T500</v>
      </c>
      <c r="C6" s="79"/>
      <c r="D6" s="154" t="e">
        <f>波长示值误差校验!$C6&amp;";"&amp;波长示值误差校验!#REF!&amp;";"&amp;波长示值误差校验!#REF!</f>
        <v>#REF!</v>
      </c>
      <c r="E6" s="154" t="e">
        <f>波长示值误差校验!#REF!</f>
        <v>#REF!</v>
      </c>
      <c r="F6" s="154" t="str">
        <f>波长示值误差校验!$D6</f>
        <v/>
      </c>
      <c r="G6" s="154" t="e">
        <f>波长示值误差校验!#REF!</f>
        <v>#REF!</v>
      </c>
      <c r="H6" s="154">
        <f>Report!$F$5</f>
        <v>0</v>
      </c>
      <c r="I6" s="157">
        <f ca="1" t="shared" si="1"/>
        <v>45645.6399537037</v>
      </c>
      <c r="J6" s="154">
        <f>Report!$N$5</f>
        <v>0</v>
      </c>
      <c r="K6" s="154"/>
      <c r="L6" s="154">
        <f>Report!$C$6</f>
        <v>0</v>
      </c>
      <c r="M6" s="154">
        <f>Report!$H$6</f>
        <v>0</v>
      </c>
      <c r="N6" s="79" t="str">
        <f>波长示值误差校验!$F6</f>
        <v>不合格</v>
      </c>
      <c r="O6" s="154"/>
      <c r="P6" s="81">
        <v>1004</v>
      </c>
    </row>
    <row r="7" spans="1:16">
      <c r="A7" s="79">
        <v>1010</v>
      </c>
      <c r="B7" s="153" t="str">
        <f ca="1" t="shared" si="0"/>
        <v>T500</v>
      </c>
      <c r="C7" s="79"/>
      <c r="D7" s="154" t="e">
        <f>波长示值误差校验!$C7&amp;";"&amp;波长示值误差校验!#REF!&amp;";"&amp;波长示值误差校验!#REF!</f>
        <v>#REF!</v>
      </c>
      <c r="E7" s="154" t="e">
        <f>波长示值误差校验!#REF!</f>
        <v>#REF!</v>
      </c>
      <c r="F7" s="154" t="str">
        <f>波长示值误差校验!$D7</f>
        <v/>
      </c>
      <c r="G7" s="154" t="e">
        <f>波长示值误差校验!#REF!</f>
        <v>#REF!</v>
      </c>
      <c r="H7" s="154">
        <f>Report!$F$5</f>
        <v>0</v>
      </c>
      <c r="I7" s="157">
        <f ca="1" t="shared" si="1"/>
        <v>45645.6399537037</v>
      </c>
      <c r="J7" s="154">
        <f>Report!$N$5</f>
        <v>0</v>
      </c>
      <c r="K7" s="154"/>
      <c r="L7" s="154">
        <f>Report!$C$6</f>
        <v>0</v>
      </c>
      <c r="M7" s="154">
        <f>Report!$H$6</f>
        <v>0</v>
      </c>
      <c r="N7" s="79" t="str">
        <f>波长示值误差校验!$F7</f>
        <v>不合格</v>
      </c>
      <c r="O7" s="154"/>
      <c r="P7" s="81">
        <v>1004</v>
      </c>
    </row>
    <row r="8" spans="1:16">
      <c r="A8" s="79">
        <v>1011</v>
      </c>
      <c r="B8" s="153" t="str">
        <f ca="1" t="shared" si="0"/>
        <v>T500</v>
      </c>
      <c r="C8" s="79"/>
      <c r="D8" s="154" t="e">
        <f>波长示值误差校验!$C8&amp;";"&amp;波长示值误差校验!#REF!&amp;";"&amp;波长示值误差校验!#REF!</f>
        <v>#REF!</v>
      </c>
      <c r="E8" s="154" t="e">
        <f>波长示值误差校验!#REF!</f>
        <v>#REF!</v>
      </c>
      <c r="F8" s="154" t="str">
        <f>波长示值误差校验!$D8</f>
        <v/>
      </c>
      <c r="G8" s="154" t="e">
        <f>波长示值误差校验!#REF!</f>
        <v>#REF!</v>
      </c>
      <c r="H8" s="154">
        <f>Report!$F$5</f>
        <v>0</v>
      </c>
      <c r="I8" s="157">
        <f ca="1" t="shared" si="1"/>
        <v>45645.6399537037</v>
      </c>
      <c r="J8" s="154">
        <f>Report!$N$5</f>
        <v>0</v>
      </c>
      <c r="K8" s="154"/>
      <c r="L8" s="154">
        <f>Report!$C$6</f>
        <v>0</v>
      </c>
      <c r="M8" s="154">
        <f>Report!$H$6</f>
        <v>0</v>
      </c>
      <c r="N8" s="79" t="str">
        <f>波长示值误差校验!$F8</f>
        <v>不合格</v>
      </c>
      <c r="O8" s="154"/>
      <c r="P8" s="81">
        <v>1004</v>
      </c>
    </row>
    <row r="9" spans="1:16">
      <c r="A9" s="79">
        <v>1012</v>
      </c>
      <c r="B9" s="153" t="str">
        <f ca="1" t="shared" si="0"/>
        <v>T500</v>
      </c>
      <c r="C9" s="79"/>
      <c r="D9" s="154" t="e">
        <f>波长示值误差校验!$C9&amp;";"&amp;波长示值误差校验!#REF!&amp;";"&amp;波长示值误差校验!#REF!</f>
        <v>#REF!</v>
      </c>
      <c r="E9" s="154" t="e">
        <f>波长示值误差校验!#REF!</f>
        <v>#REF!</v>
      </c>
      <c r="F9" s="154" t="str">
        <f>波长示值误差校验!$D9</f>
        <v/>
      </c>
      <c r="G9" s="154" t="e">
        <f>波长示值误差校验!#REF!</f>
        <v>#REF!</v>
      </c>
      <c r="H9" s="154">
        <f>Report!$F$5</f>
        <v>0</v>
      </c>
      <c r="I9" s="157">
        <f ca="1" t="shared" si="1"/>
        <v>45645.6399537037</v>
      </c>
      <c r="J9" s="154">
        <f>Report!$N$5</f>
        <v>0</v>
      </c>
      <c r="K9" s="154"/>
      <c r="L9" s="154">
        <f>Report!$C$6</f>
        <v>0</v>
      </c>
      <c r="M9" s="154">
        <f>Report!$H$6</f>
        <v>0</v>
      </c>
      <c r="N9" s="79" t="str">
        <f>波长示值误差校验!$F9</f>
        <v>不合格</v>
      </c>
      <c r="O9" s="154"/>
      <c r="P9" s="81">
        <v>1004</v>
      </c>
    </row>
    <row r="10" spans="1:16">
      <c r="A10" s="79">
        <v>1013</v>
      </c>
      <c r="B10" s="153" t="str">
        <f ca="1" t="shared" si="0"/>
        <v>T500</v>
      </c>
      <c r="C10" s="79"/>
      <c r="D10" s="154" t="e">
        <f>波长示值误差校验!$C10&amp;";"&amp;波长示值误差校验!#REF!&amp;";"&amp;波长示值误差校验!#REF!</f>
        <v>#REF!</v>
      </c>
      <c r="E10" s="154" t="e">
        <f>波长示值误差校验!#REF!</f>
        <v>#REF!</v>
      </c>
      <c r="F10" s="154" t="str">
        <f>波长示值误差校验!$D10</f>
        <v/>
      </c>
      <c r="G10" s="154" t="e">
        <f>波长示值误差校验!#REF!</f>
        <v>#REF!</v>
      </c>
      <c r="H10" s="154">
        <f>Report!$F$5</f>
        <v>0</v>
      </c>
      <c r="I10" s="157">
        <f ca="1" t="shared" si="1"/>
        <v>45645.6399537037</v>
      </c>
      <c r="J10" s="154">
        <f>Report!$N$5</f>
        <v>0</v>
      </c>
      <c r="K10" s="154"/>
      <c r="L10" s="154">
        <f>Report!$C$6</f>
        <v>0</v>
      </c>
      <c r="M10" s="154">
        <f>Report!$H$6</f>
        <v>0</v>
      </c>
      <c r="N10" s="79" t="str">
        <f>波长示值误差校验!$F10</f>
        <v>不合格</v>
      </c>
      <c r="O10" s="154"/>
      <c r="P10" s="81">
        <v>1004</v>
      </c>
    </row>
    <row r="11" spans="1:16">
      <c r="A11" s="79">
        <v>2001</v>
      </c>
      <c r="B11" s="153" t="str">
        <f ca="1" t="shared" si="0"/>
        <v>T500</v>
      </c>
      <c r="C11" s="79" t="e">
        <f>#REF!</f>
        <v>#REF!</v>
      </c>
      <c r="D11" s="154" t="e">
        <f>#REF!&amp;";"&amp;#REF!&amp;";"&amp;#REF!</f>
        <v>#REF!</v>
      </c>
      <c r="E11" s="154" t="e">
        <f>#REF!</f>
        <v>#REF!</v>
      </c>
      <c r="F11" s="154" t="e">
        <f>#REF!</f>
        <v>#REF!</v>
      </c>
      <c r="G11" s="154" t="e">
        <f>#REF!</f>
        <v>#REF!</v>
      </c>
      <c r="H11" s="154">
        <f>Report!$F$5</f>
        <v>0</v>
      </c>
      <c r="I11" s="157">
        <f ca="1" t="shared" si="1"/>
        <v>45645.6399537037</v>
      </c>
      <c r="J11" s="154">
        <f>Report!$N$5</f>
        <v>0</v>
      </c>
      <c r="K11" s="154"/>
      <c r="L11" s="154">
        <f>Report!$C$6</f>
        <v>0</v>
      </c>
      <c r="M11" s="154">
        <f>Report!$H$6</f>
        <v>0</v>
      </c>
      <c r="N11" s="79" t="e">
        <f>#REF!</f>
        <v>#REF!</v>
      </c>
      <c r="O11" s="154"/>
      <c r="P11" s="79">
        <v>2001</v>
      </c>
    </row>
    <row r="12" spans="1:16">
      <c r="A12" s="79">
        <v>2002</v>
      </c>
      <c r="B12" s="153" t="str">
        <f ca="1" t="shared" si="0"/>
        <v>T500</v>
      </c>
      <c r="C12" s="79" t="e">
        <f>#REF!</f>
        <v>#REF!</v>
      </c>
      <c r="D12" s="154" t="e">
        <f>#REF!&amp;";"&amp;#REF!&amp;";"&amp;#REF!</f>
        <v>#REF!</v>
      </c>
      <c r="E12" s="154" t="e">
        <f>#REF!</f>
        <v>#REF!</v>
      </c>
      <c r="F12" s="154" t="e">
        <f>#REF!</f>
        <v>#REF!</v>
      </c>
      <c r="G12" s="154" t="e">
        <f>#REF!</f>
        <v>#REF!</v>
      </c>
      <c r="H12" s="154">
        <f>Report!$F$5</f>
        <v>0</v>
      </c>
      <c r="I12" s="157">
        <f ca="1" t="shared" si="1"/>
        <v>45645.6399537037</v>
      </c>
      <c r="J12" s="154">
        <f>Report!$N$5</f>
        <v>0</v>
      </c>
      <c r="K12" s="154"/>
      <c r="L12" s="154">
        <f>Report!$C$6</f>
        <v>0</v>
      </c>
      <c r="M12" s="154">
        <f>Report!$H$6</f>
        <v>0</v>
      </c>
      <c r="N12" s="79" t="e">
        <f>#REF!</f>
        <v>#REF!</v>
      </c>
      <c r="O12" s="154"/>
      <c r="P12" s="79">
        <v>2001</v>
      </c>
    </row>
    <row r="13" spans="1:16">
      <c r="A13" s="79">
        <v>2003</v>
      </c>
      <c r="B13" s="153" t="str">
        <f ca="1" t="shared" si="0"/>
        <v>T500</v>
      </c>
      <c r="C13" s="79" t="e">
        <f>#REF!</f>
        <v>#REF!</v>
      </c>
      <c r="D13" s="154" t="e">
        <f>#REF!&amp;";"&amp;#REF!&amp;";"&amp;#REF!</f>
        <v>#REF!</v>
      </c>
      <c r="E13" s="154" t="e">
        <f>#REF!</f>
        <v>#REF!</v>
      </c>
      <c r="F13" s="154" t="e">
        <f>#REF!</f>
        <v>#REF!</v>
      </c>
      <c r="G13" s="154" t="e">
        <f>#REF!</f>
        <v>#REF!</v>
      </c>
      <c r="H13" s="154">
        <f>Report!$F$5</f>
        <v>0</v>
      </c>
      <c r="I13" s="157">
        <f ca="1" t="shared" si="1"/>
        <v>45645.6399537037</v>
      </c>
      <c r="J13" s="154">
        <f>Report!$N$5</f>
        <v>0</v>
      </c>
      <c r="K13" s="154"/>
      <c r="L13" s="154">
        <f>Report!$C$6</f>
        <v>0</v>
      </c>
      <c r="M13" s="154">
        <f>Report!$H$6</f>
        <v>0</v>
      </c>
      <c r="N13" s="79" t="e">
        <f>#REF!</f>
        <v>#REF!</v>
      </c>
      <c r="O13" s="154"/>
      <c r="P13" s="79">
        <v>2001</v>
      </c>
    </row>
    <row r="14" spans="1:16">
      <c r="A14" s="79">
        <v>2004</v>
      </c>
      <c r="B14" s="153" t="str">
        <f ca="1" t="shared" si="0"/>
        <v>T500</v>
      </c>
      <c r="C14" s="79" t="e">
        <f>#REF!</f>
        <v>#REF!</v>
      </c>
      <c r="D14" s="154" t="e">
        <f>#REF!&amp;";"&amp;#REF!&amp;";"&amp;#REF!</f>
        <v>#REF!</v>
      </c>
      <c r="E14" s="154" t="e">
        <f>#REF!</f>
        <v>#REF!</v>
      </c>
      <c r="F14" s="154" t="e">
        <f>#REF!</f>
        <v>#REF!</v>
      </c>
      <c r="G14" s="154" t="e">
        <f>#REF!</f>
        <v>#REF!</v>
      </c>
      <c r="H14" s="154">
        <f>Report!$F$5</f>
        <v>0</v>
      </c>
      <c r="I14" s="157">
        <f ca="1" t="shared" si="1"/>
        <v>45645.6399537037</v>
      </c>
      <c r="J14" s="154">
        <f>Report!$N$5</f>
        <v>0</v>
      </c>
      <c r="K14" s="154"/>
      <c r="L14" s="154">
        <f>Report!$C$6</f>
        <v>0</v>
      </c>
      <c r="M14" s="154">
        <f>Report!$H$6</f>
        <v>0</v>
      </c>
      <c r="N14" s="79" t="e">
        <f>#REF!</f>
        <v>#REF!</v>
      </c>
      <c r="O14" s="154"/>
      <c r="P14" s="79">
        <v>2001</v>
      </c>
    </row>
    <row r="15" spans="1:16">
      <c r="A15" s="79">
        <v>2005</v>
      </c>
      <c r="B15" s="153" t="str">
        <f ca="1" t="shared" si="0"/>
        <v>T500</v>
      </c>
      <c r="C15" s="79" t="e">
        <f>#REF!</f>
        <v>#REF!</v>
      </c>
      <c r="D15" s="154" t="e">
        <f>#REF!&amp;";"&amp;#REF!&amp;";"&amp;#REF!</f>
        <v>#REF!</v>
      </c>
      <c r="E15" s="154" t="e">
        <f>#REF!</f>
        <v>#REF!</v>
      </c>
      <c r="F15" s="154" t="e">
        <f>#REF!</f>
        <v>#REF!</v>
      </c>
      <c r="G15" s="154" t="e">
        <f>#REF!</f>
        <v>#REF!</v>
      </c>
      <c r="H15" s="154">
        <f>Report!$F$5</f>
        <v>0</v>
      </c>
      <c r="I15" s="157">
        <f ca="1" t="shared" si="1"/>
        <v>45645.6399537037</v>
      </c>
      <c r="J15" s="154">
        <f>Report!$N$5</f>
        <v>0</v>
      </c>
      <c r="K15" s="154"/>
      <c r="L15" s="154">
        <f>Report!$C$6</f>
        <v>0</v>
      </c>
      <c r="M15" s="154">
        <f>Report!$H$6</f>
        <v>0</v>
      </c>
      <c r="N15" s="79" t="e">
        <f>#REF!</f>
        <v>#REF!</v>
      </c>
      <c r="O15" s="154"/>
      <c r="P15" s="79">
        <v>2002</v>
      </c>
    </row>
    <row r="16" spans="1:16">
      <c r="A16" s="79">
        <v>2006</v>
      </c>
      <c r="B16" s="153" t="str">
        <f ca="1" t="shared" si="0"/>
        <v>T500</v>
      </c>
      <c r="C16" s="79" t="e">
        <f>#REF!</f>
        <v>#REF!</v>
      </c>
      <c r="D16" s="154" t="e">
        <f>#REF!&amp;";"&amp;#REF!&amp;";"&amp;#REF!</f>
        <v>#REF!</v>
      </c>
      <c r="E16" s="154" t="e">
        <f>#REF!</f>
        <v>#REF!</v>
      </c>
      <c r="F16" s="154" t="e">
        <f>#REF!</f>
        <v>#REF!</v>
      </c>
      <c r="G16" s="154" t="e">
        <f>#REF!</f>
        <v>#REF!</v>
      </c>
      <c r="H16" s="154">
        <f>Report!$F$5</f>
        <v>0</v>
      </c>
      <c r="I16" s="157">
        <f ca="1" t="shared" si="1"/>
        <v>45645.6399537037</v>
      </c>
      <c r="J16" s="154">
        <f>Report!$N$5</f>
        <v>0</v>
      </c>
      <c r="K16" s="154"/>
      <c r="L16" s="154">
        <f>Report!$C$6</f>
        <v>0</v>
      </c>
      <c r="M16" s="154">
        <f>Report!$H$6</f>
        <v>0</v>
      </c>
      <c r="N16" s="79" t="e">
        <f>#REF!</f>
        <v>#REF!</v>
      </c>
      <c r="O16" s="154"/>
      <c r="P16" s="79">
        <v>2002</v>
      </c>
    </row>
    <row r="17" spans="1:16">
      <c r="A17" s="79">
        <v>2007</v>
      </c>
      <c r="B17" s="153" t="str">
        <f ca="1" t="shared" si="0"/>
        <v>T500</v>
      </c>
      <c r="C17" s="79" t="e">
        <f>#REF!</f>
        <v>#REF!</v>
      </c>
      <c r="D17" s="154" t="e">
        <f>#REF!&amp;";"&amp;#REF!&amp;";"&amp;#REF!</f>
        <v>#REF!</v>
      </c>
      <c r="E17" s="154" t="e">
        <f>#REF!</f>
        <v>#REF!</v>
      </c>
      <c r="F17" s="154" t="e">
        <f>#REF!</f>
        <v>#REF!</v>
      </c>
      <c r="G17" s="154" t="e">
        <f>#REF!</f>
        <v>#REF!</v>
      </c>
      <c r="H17" s="154">
        <f>Report!$F$5</f>
        <v>0</v>
      </c>
      <c r="I17" s="157">
        <f ca="1" t="shared" si="1"/>
        <v>45645.6399537037</v>
      </c>
      <c r="J17" s="154">
        <f>Report!$N$5</f>
        <v>0</v>
      </c>
      <c r="K17" s="154"/>
      <c r="L17" s="154">
        <f>Report!$C$6</f>
        <v>0</v>
      </c>
      <c r="M17" s="154">
        <f>Report!$H$6</f>
        <v>0</v>
      </c>
      <c r="N17" s="79" t="e">
        <f>#REF!</f>
        <v>#REF!</v>
      </c>
      <c r="O17" s="154"/>
      <c r="P17" s="79">
        <v>2002</v>
      </c>
    </row>
    <row r="18" spans="1:16">
      <c r="A18" s="79">
        <v>2008</v>
      </c>
      <c r="B18" s="153" t="str">
        <f ca="1" t="shared" si="0"/>
        <v>T500</v>
      </c>
      <c r="C18" s="79" t="e">
        <f>#REF!</f>
        <v>#REF!</v>
      </c>
      <c r="D18" s="154" t="e">
        <f>#REF!&amp;";"&amp;#REF!&amp;";"&amp;#REF!</f>
        <v>#REF!</v>
      </c>
      <c r="E18" s="154" t="e">
        <f>#REF!</f>
        <v>#REF!</v>
      </c>
      <c r="F18" s="154" t="e">
        <f>#REF!</f>
        <v>#REF!</v>
      </c>
      <c r="G18" s="154" t="e">
        <f>#REF!</f>
        <v>#REF!</v>
      </c>
      <c r="H18" s="154">
        <f>Report!$F$5</f>
        <v>0</v>
      </c>
      <c r="I18" s="157">
        <f ca="1" t="shared" si="1"/>
        <v>45645.6399537037</v>
      </c>
      <c r="J18" s="154">
        <f>Report!$N$5</f>
        <v>0</v>
      </c>
      <c r="K18" s="154"/>
      <c r="L18" s="154">
        <f>Report!$C$6</f>
        <v>0</v>
      </c>
      <c r="M18" s="154">
        <f>Report!$H$6</f>
        <v>0</v>
      </c>
      <c r="N18" s="79" t="e">
        <f>#REF!</f>
        <v>#REF!</v>
      </c>
      <c r="O18" s="154"/>
      <c r="P18" s="80">
        <v>2003</v>
      </c>
    </row>
    <row r="19" spans="1:16">
      <c r="A19" s="79">
        <v>2009</v>
      </c>
      <c r="B19" s="153" t="str">
        <f ca="1" t="shared" si="0"/>
        <v>T500</v>
      </c>
      <c r="C19" s="79" t="e">
        <f>#REF!</f>
        <v>#REF!</v>
      </c>
      <c r="D19" s="154" t="e">
        <f>#REF!&amp;";"&amp;#REF!&amp;";"&amp;#REF!</f>
        <v>#REF!</v>
      </c>
      <c r="E19" s="154" t="e">
        <f>#REF!</f>
        <v>#REF!</v>
      </c>
      <c r="F19" s="154" t="e">
        <f>#REF!</f>
        <v>#REF!</v>
      </c>
      <c r="G19" s="154" t="e">
        <f>#REF!</f>
        <v>#REF!</v>
      </c>
      <c r="H19" s="154">
        <f>Report!$F$5</f>
        <v>0</v>
      </c>
      <c r="I19" s="157">
        <f ca="1" t="shared" si="1"/>
        <v>45645.6399537037</v>
      </c>
      <c r="J19" s="154">
        <f>Report!$N$5</f>
        <v>0</v>
      </c>
      <c r="K19" s="154"/>
      <c r="L19" s="154">
        <f>Report!$C$6</f>
        <v>0</v>
      </c>
      <c r="M19" s="154">
        <f>Report!$H$6</f>
        <v>0</v>
      </c>
      <c r="N19" s="79" t="e">
        <f>#REF!</f>
        <v>#REF!</v>
      </c>
      <c r="O19" s="154"/>
      <c r="P19" s="80">
        <v>2003</v>
      </c>
    </row>
    <row r="20" spans="1:16">
      <c r="A20" s="79">
        <v>2010</v>
      </c>
      <c r="B20" s="153" t="str">
        <f ca="1" t="shared" si="0"/>
        <v>T500</v>
      </c>
      <c r="C20" s="79" t="e">
        <f>#REF!</f>
        <v>#REF!</v>
      </c>
      <c r="D20" s="154" t="e">
        <f>#REF!&amp;";"&amp;#REF!&amp;";"&amp;#REF!</f>
        <v>#REF!</v>
      </c>
      <c r="E20" s="154" t="e">
        <f>#REF!</f>
        <v>#REF!</v>
      </c>
      <c r="F20" s="154" t="e">
        <f>#REF!</f>
        <v>#REF!</v>
      </c>
      <c r="G20" s="154" t="e">
        <f>#REF!</f>
        <v>#REF!</v>
      </c>
      <c r="H20" s="154">
        <f>Report!$F$5</f>
        <v>0</v>
      </c>
      <c r="I20" s="157">
        <f ca="1" t="shared" si="1"/>
        <v>45645.6399537037</v>
      </c>
      <c r="J20" s="154">
        <f>Report!$N$5</f>
        <v>0</v>
      </c>
      <c r="K20" s="154"/>
      <c r="L20" s="154">
        <f>Report!$C$6</f>
        <v>0</v>
      </c>
      <c r="M20" s="154">
        <f>Report!$H$6</f>
        <v>0</v>
      </c>
      <c r="N20" s="79" t="e">
        <f>#REF!</f>
        <v>#REF!</v>
      </c>
      <c r="O20" s="154"/>
      <c r="P20" s="80">
        <v>2003</v>
      </c>
    </row>
    <row r="21" spans="1:16">
      <c r="A21" s="79">
        <v>2011</v>
      </c>
      <c r="B21" s="153" t="str">
        <f ca="1" t="shared" si="0"/>
        <v>T500</v>
      </c>
      <c r="C21" s="79" t="e">
        <f>#REF!</f>
        <v>#REF!</v>
      </c>
      <c r="D21" s="154" t="e">
        <f>#REF!&amp;";"&amp;#REF!&amp;";"&amp;#REF!</f>
        <v>#REF!</v>
      </c>
      <c r="E21" s="154" t="e">
        <f>#REF!</f>
        <v>#REF!</v>
      </c>
      <c r="F21" s="154" t="e">
        <f>#REF!</f>
        <v>#REF!</v>
      </c>
      <c r="G21" s="154" t="e">
        <f>#REF!</f>
        <v>#REF!</v>
      </c>
      <c r="H21" s="154">
        <f>Report!$F$5</f>
        <v>0</v>
      </c>
      <c r="I21" s="157">
        <f ca="1" t="shared" si="1"/>
        <v>45645.6399537037</v>
      </c>
      <c r="J21" s="154">
        <f>Report!$N$5</f>
        <v>0</v>
      </c>
      <c r="K21" s="154"/>
      <c r="L21" s="154">
        <f>Report!$C$6</f>
        <v>0</v>
      </c>
      <c r="M21" s="154">
        <f>Report!$H$6</f>
        <v>0</v>
      </c>
      <c r="N21" s="79" t="e">
        <f>#REF!</f>
        <v>#REF!</v>
      </c>
      <c r="O21" s="154"/>
      <c r="P21" s="79">
        <v>2004</v>
      </c>
    </row>
    <row r="22" spans="1:16">
      <c r="A22" s="79">
        <v>2012</v>
      </c>
      <c r="B22" s="153" t="str">
        <f ca="1" t="shared" si="0"/>
        <v>T500</v>
      </c>
      <c r="C22" s="79" t="e">
        <f>#REF!</f>
        <v>#REF!</v>
      </c>
      <c r="D22" s="154" t="e">
        <f>#REF!&amp;";"&amp;#REF!&amp;";"&amp;#REF!</f>
        <v>#REF!</v>
      </c>
      <c r="E22" s="154" t="e">
        <f>#REF!</f>
        <v>#REF!</v>
      </c>
      <c r="F22" s="154" t="e">
        <f>#REF!</f>
        <v>#REF!</v>
      </c>
      <c r="G22" s="154" t="e">
        <f>#REF!</f>
        <v>#REF!</v>
      </c>
      <c r="H22" s="154">
        <f>Report!$F$5</f>
        <v>0</v>
      </c>
      <c r="I22" s="157">
        <f ca="1" t="shared" si="1"/>
        <v>45645.6399537037</v>
      </c>
      <c r="J22" s="154">
        <f>Report!$N$5</f>
        <v>0</v>
      </c>
      <c r="K22" s="154"/>
      <c r="L22" s="154">
        <f>Report!$C$6</f>
        <v>0</v>
      </c>
      <c r="M22" s="154">
        <f>Report!$H$6</f>
        <v>0</v>
      </c>
      <c r="N22" s="79" t="e">
        <f>#REF!</f>
        <v>#REF!</v>
      </c>
      <c r="O22" s="154"/>
      <c r="P22" s="79">
        <v>2004</v>
      </c>
    </row>
    <row r="23" spans="1:16">
      <c r="A23" s="79">
        <v>2013</v>
      </c>
      <c r="B23" s="153" t="str">
        <f ca="1" t="shared" si="0"/>
        <v>T500</v>
      </c>
      <c r="C23" s="79" t="e">
        <f>#REF!</f>
        <v>#REF!</v>
      </c>
      <c r="D23" s="154" t="e">
        <f>#REF!&amp;";"&amp;#REF!&amp;";"&amp;#REF!</f>
        <v>#REF!</v>
      </c>
      <c r="E23" s="154" t="e">
        <f>#REF!</f>
        <v>#REF!</v>
      </c>
      <c r="F23" s="154" t="e">
        <f>#REF!</f>
        <v>#REF!</v>
      </c>
      <c r="G23" s="154" t="e">
        <f>#REF!</f>
        <v>#REF!</v>
      </c>
      <c r="H23" s="154">
        <f>Report!$F$5</f>
        <v>0</v>
      </c>
      <c r="I23" s="157">
        <f ca="1" t="shared" si="1"/>
        <v>45645.6399537037</v>
      </c>
      <c r="J23" s="154">
        <f>Report!$N$5</f>
        <v>0</v>
      </c>
      <c r="K23" s="154"/>
      <c r="L23" s="154">
        <f>Report!$C$6</f>
        <v>0</v>
      </c>
      <c r="M23" s="154">
        <f>Report!$H$6</f>
        <v>0</v>
      </c>
      <c r="N23" s="79" t="e">
        <f>#REF!</f>
        <v>#REF!</v>
      </c>
      <c r="O23" s="154"/>
      <c r="P23" s="79">
        <v>2004</v>
      </c>
    </row>
    <row r="24" spans="1:16">
      <c r="A24" s="79">
        <v>3001</v>
      </c>
      <c r="B24" s="153" t="str">
        <f ca="1" t="shared" si="0"/>
        <v>T500</v>
      </c>
      <c r="C24" s="79">
        <f>杂散光校验!$B2</f>
        <v>220</v>
      </c>
      <c r="D24" s="155" t="str">
        <f>杂散光校验!$C2&amp;";"&amp;杂散光校验!$D2&amp;";"&amp;杂散光校验!$E2</f>
        <v>;;</v>
      </c>
      <c r="E24" s="154"/>
      <c r="F24" s="154"/>
      <c r="G24" s="154"/>
      <c r="H24" s="154">
        <f>Report!$F$5</f>
        <v>0</v>
      </c>
      <c r="I24" s="157">
        <f ca="1" t="shared" si="1"/>
        <v>45645.6399537037</v>
      </c>
      <c r="J24" s="154">
        <f>Report!$N$5</f>
        <v>0</v>
      </c>
      <c r="K24" s="154"/>
      <c r="L24" s="154">
        <f>Report!$C$6</f>
        <v>0</v>
      </c>
      <c r="M24" s="154">
        <f>Report!$H$6</f>
        <v>0</v>
      </c>
      <c r="N24" s="79" t="str">
        <f>杂散光校验!$G2</f>
        <v>不合格</v>
      </c>
      <c r="O24" s="154"/>
      <c r="P24" s="79">
        <v>3001</v>
      </c>
    </row>
    <row r="25" spans="1:16">
      <c r="A25" s="79">
        <v>3002</v>
      </c>
      <c r="B25" s="153" t="str">
        <f ca="1" t="shared" si="0"/>
        <v>T500</v>
      </c>
      <c r="C25" s="79">
        <f>杂散光校验!$B3</f>
        <v>360</v>
      </c>
      <c r="D25" s="155" t="str">
        <f>杂散光校验!$C3&amp;";"&amp;杂散光校验!$D3&amp;";"&amp;杂散光校验!$E3</f>
        <v>;;</v>
      </c>
      <c r="E25" s="154"/>
      <c r="F25" s="154"/>
      <c r="G25" s="154"/>
      <c r="H25" s="154">
        <f>Report!$F$5</f>
        <v>0</v>
      </c>
      <c r="I25" s="157">
        <f ca="1" t="shared" si="1"/>
        <v>45645.6399537037</v>
      </c>
      <c r="J25" s="154">
        <f>Report!$N$5</f>
        <v>0</v>
      </c>
      <c r="K25" s="154"/>
      <c r="L25" s="154">
        <f>Report!$C$6</f>
        <v>0</v>
      </c>
      <c r="M25" s="154">
        <f>Report!$H$6</f>
        <v>0</v>
      </c>
      <c r="N25" s="79" t="str">
        <f>杂散光校验!$G3</f>
        <v>不合格</v>
      </c>
      <c r="O25" s="154"/>
      <c r="P25" s="79">
        <v>3002</v>
      </c>
    </row>
    <row r="26" spans="1:16">
      <c r="A26" s="79">
        <v>4001</v>
      </c>
      <c r="B26" s="153" t="str">
        <f ca="1" t="shared" si="0"/>
        <v>T500</v>
      </c>
      <c r="C26" s="79"/>
      <c r="D26" s="154">
        <f>基线平直度检验!$B$2</f>
        <v>0</v>
      </c>
      <c r="E26" s="154"/>
      <c r="F26" s="154"/>
      <c r="G26" s="154"/>
      <c r="H26" s="154">
        <f>Report!$F$5</f>
        <v>0</v>
      </c>
      <c r="I26" s="157">
        <f ca="1" t="shared" si="1"/>
        <v>45645.6399537037</v>
      </c>
      <c r="J26" s="154">
        <f>Report!$N$5</f>
        <v>0</v>
      </c>
      <c r="K26" s="154"/>
      <c r="L26" s="154">
        <f>Report!$C$6</f>
        <v>0</v>
      </c>
      <c r="M26" s="154">
        <f>Report!$H$6</f>
        <v>0</v>
      </c>
      <c r="N26" s="79" t="str">
        <f>基线平直度检验!$D$2</f>
        <v>不合格</v>
      </c>
      <c r="O26" s="154"/>
      <c r="P26" s="79">
        <v>4001</v>
      </c>
    </row>
    <row r="27" spans="1:16">
      <c r="A27" s="79">
        <v>5001</v>
      </c>
      <c r="B27" s="153" t="str">
        <f ca="1" t="shared" si="0"/>
        <v>T500</v>
      </c>
      <c r="C27" s="79"/>
      <c r="D27" s="154" t="e">
        <f>#REF!</f>
        <v>#REF!</v>
      </c>
      <c r="E27" s="154"/>
      <c r="F27" s="154"/>
      <c r="G27" s="154"/>
      <c r="H27" s="154">
        <f>Report!$F$5</f>
        <v>0</v>
      </c>
      <c r="I27" s="157">
        <f ca="1" t="shared" si="1"/>
        <v>45645.6399537037</v>
      </c>
      <c r="J27" s="154">
        <f>Report!$N$5</f>
        <v>0</v>
      </c>
      <c r="K27" s="154"/>
      <c r="L27" s="154">
        <f>Report!$C$6</f>
        <v>0</v>
      </c>
      <c r="M27" s="154">
        <f>Report!$H$6</f>
        <v>0</v>
      </c>
      <c r="N27" s="79" t="e">
        <f>#REF!</f>
        <v>#REF!</v>
      </c>
      <c r="O27" s="154"/>
      <c r="P27" s="79">
        <v>5001</v>
      </c>
    </row>
    <row r="28" spans="1:16">
      <c r="A28" s="79">
        <v>6002</v>
      </c>
      <c r="B28" s="153" t="str">
        <f ca="1" t="shared" si="0"/>
        <v>T500</v>
      </c>
      <c r="C28" s="79" t="e">
        <f>#REF!</f>
        <v>#REF!</v>
      </c>
      <c r="D28" s="154" t="e">
        <f>#REF!</f>
        <v>#REF!</v>
      </c>
      <c r="E28" s="154"/>
      <c r="F28" s="154"/>
      <c r="G28" s="154"/>
      <c r="H28" s="154">
        <f>Report!$F$5</f>
        <v>0</v>
      </c>
      <c r="I28" s="157">
        <f ca="1" t="shared" si="1"/>
        <v>45645.6399537037</v>
      </c>
      <c r="J28" s="154">
        <f>Report!$N$5</f>
        <v>0</v>
      </c>
      <c r="K28" s="154"/>
      <c r="L28" s="154">
        <f>Report!$C$6</f>
        <v>0</v>
      </c>
      <c r="M28" s="154">
        <f>Report!$H$6</f>
        <v>0</v>
      </c>
      <c r="N28" s="79" t="e">
        <f>#REF!</f>
        <v>#REF!</v>
      </c>
      <c r="O28" s="154"/>
      <c r="P28" s="79">
        <v>6001</v>
      </c>
    </row>
    <row r="29" spans="1:16">
      <c r="A29" s="79">
        <v>7001</v>
      </c>
      <c r="B29" s="153" t="str">
        <f ca="1" t="shared" si="0"/>
        <v>T500</v>
      </c>
      <c r="C29" s="79" t="e">
        <f>#REF!</f>
        <v>#REF!</v>
      </c>
      <c r="D29" s="154" t="e">
        <f>#REF!</f>
        <v>#REF!</v>
      </c>
      <c r="E29" s="154"/>
      <c r="F29" s="154"/>
      <c r="G29" s="154"/>
      <c r="H29" s="154">
        <f>Report!$F$5</f>
        <v>0</v>
      </c>
      <c r="I29" s="157">
        <f ca="1" t="shared" si="1"/>
        <v>45645.6399537037</v>
      </c>
      <c r="J29" s="154">
        <f>Report!$N$5</f>
        <v>0</v>
      </c>
      <c r="K29" s="154"/>
      <c r="L29" s="154">
        <f>Report!$C$6</f>
        <v>0</v>
      </c>
      <c r="M29" s="154">
        <f>Report!$H$6</f>
        <v>0</v>
      </c>
      <c r="N29" s="79" t="e">
        <f>#REF!</f>
        <v>#REF!</v>
      </c>
      <c r="O29" s="154"/>
      <c r="P29" s="79">
        <v>7001</v>
      </c>
    </row>
    <row r="30" spans="1:16">
      <c r="A30" s="79">
        <v>7002</v>
      </c>
      <c r="B30" s="153" t="str">
        <f ca="1" t="shared" si="0"/>
        <v>T500</v>
      </c>
      <c r="C30" s="79" t="e">
        <f>#REF!</f>
        <v>#REF!</v>
      </c>
      <c r="D30" s="154" t="e">
        <f>#REF!</f>
        <v>#REF!</v>
      </c>
      <c r="E30" s="154"/>
      <c r="F30" s="154"/>
      <c r="G30" s="154"/>
      <c r="H30" s="154">
        <f>Report!$F$5</f>
        <v>0</v>
      </c>
      <c r="I30" s="157">
        <f ca="1" t="shared" si="1"/>
        <v>45645.6399537037</v>
      </c>
      <c r="J30" s="154">
        <f>Report!$N$5</f>
        <v>0</v>
      </c>
      <c r="K30" s="154"/>
      <c r="L30" s="154">
        <f>Report!$C$6</f>
        <v>0</v>
      </c>
      <c r="M30" s="154">
        <f>Report!$H$6</f>
        <v>0</v>
      </c>
      <c r="N30" s="79" t="e">
        <f>#REF!</f>
        <v>#REF!</v>
      </c>
      <c r="O30" s="154"/>
      <c r="P30" s="79">
        <v>7002</v>
      </c>
    </row>
    <row r="31" spans="1:16">
      <c r="A31" s="79">
        <v>7003</v>
      </c>
      <c r="B31" s="153" t="str">
        <f ca="1" t="shared" si="0"/>
        <v>T500</v>
      </c>
      <c r="C31" s="79" t="e">
        <f>#REF!</f>
        <v>#REF!</v>
      </c>
      <c r="D31" s="154" t="e">
        <f>#REF!</f>
        <v>#REF!</v>
      </c>
      <c r="E31" s="154"/>
      <c r="F31" s="154"/>
      <c r="G31" s="154"/>
      <c r="H31" s="154">
        <f>Report!$F$5</f>
        <v>0</v>
      </c>
      <c r="I31" s="157">
        <f ca="1" t="shared" si="1"/>
        <v>45645.6399537037</v>
      </c>
      <c r="J31" s="154">
        <f>Report!$N$5</f>
        <v>0</v>
      </c>
      <c r="K31" s="154"/>
      <c r="L31" s="154">
        <f>Report!$C$6</f>
        <v>0</v>
      </c>
      <c r="M31" s="154">
        <f>Report!$H$6</f>
        <v>0</v>
      </c>
      <c r="N31" s="79" t="e">
        <f>#REF!</f>
        <v>#REF!</v>
      </c>
      <c r="O31" s="154"/>
      <c r="P31" s="79">
        <v>7003</v>
      </c>
    </row>
    <row r="32" spans="1:16">
      <c r="A32" s="79">
        <v>7004</v>
      </c>
      <c r="B32" s="153" t="str">
        <f ca="1" t="shared" si="0"/>
        <v>T500</v>
      </c>
      <c r="C32" s="79" t="e">
        <f>#REF!</f>
        <v>#REF!</v>
      </c>
      <c r="D32" s="154" t="e">
        <f>#REF!</f>
        <v>#REF!</v>
      </c>
      <c r="E32" s="154"/>
      <c r="F32" s="154"/>
      <c r="G32" s="154"/>
      <c r="H32" s="154">
        <f>Report!$F$5</f>
        <v>0</v>
      </c>
      <c r="I32" s="157">
        <f ca="1" t="shared" si="1"/>
        <v>45645.6399537037</v>
      </c>
      <c r="J32" s="154">
        <f>Report!$N$5</f>
        <v>0</v>
      </c>
      <c r="K32" s="154"/>
      <c r="L32" s="154">
        <f>Report!$C$6</f>
        <v>0</v>
      </c>
      <c r="M32" s="154">
        <f>Report!$H$6</f>
        <v>0</v>
      </c>
      <c r="N32" s="79" t="e">
        <f>#REF!</f>
        <v>#REF!</v>
      </c>
      <c r="O32" s="154"/>
      <c r="P32" s="79">
        <v>7004</v>
      </c>
    </row>
    <row r="33" spans="1:16">
      <c r="A33" s="79">
        <v>8001</v>
      </c>
      <c r="B33" s="153" t="str">
        <f ca="1" t="shared" si="0"/>
        <v>T500</v>
      </c>
      <c r="C33" s="79" t="e">
        <f>#REF!</f>
        <v>#REF!</v>
      </c>
      <c r="D33" s="154" t="e">
        <f>#REF!</f>
        <v>#REF!</v>
      </c>
      <c r="E33" s="154"/>
      <c r="F33" s="154"/>
      <c r="G33" s="154"/>
      <c r="H33" s="154">
        <f>Report!$F$5</f>
        <v>0</v>
      </c>
      <c r="I33" s="157">
        <f ca="1" t="shared" si="1"/>
        <v>45645.6399537037</v>
      </c>
      <c r="J33" s="154">
        <f>Report!$N$5</f>
        <v>0</v>
      </c>
      <c r="K33" s="154"/>
      <c r="L33" s="154">
        <f>Report!$C$6</f>
        <v>0</v>
      </c>
      <c r="M33" s="154">
        <f>Report!$H$6</f>
        <v>0</v>
      </c>
      <c r="N33" s="79" t="e">
        <f>#REF!</f>
        <v>#REF!</v>
      </c>
      <c r="O33" s="154"/>
      <c r="P33" s="79">
        <v>8001</v>
      </c>
    </row>
    <row r="34" spans="1:16">
      <c r="A34" s="79">
        <v>8002</v>
      </c>
      <c r="B34" s="153" t="str">
        <f ca="1" t="shared" si="0"/>
        <v>T500</v>
      </c>
      <c r="C34" s="79" t="e">
        <f>#REF!</f>
        <v>#REF!</v>
      </c>
      <c r="D34" s="154" t="e">
        <f>#REF!</f>
        <v>#REF!</v>
      </c>
      <c r="E34" s="154"/>
      <c r="F34" s="154"/>
      <c r="G34" s="154"/>
      <c r="H34" s="154">
        <f>Report!$F$5</f>
        <v>0</v>
      </c>
      <c r="I34" s="157">
        <f ca="1" t="shared" si="1"/>
        <v>45645.6399537037</v>
      </c>
      <c r="J34" s="154">
        <f>Report!$N$5</f>
        <v>0</v>
      </c>
      <c r="K34" s="154"/>
      <c r="L34" s="154">
        <f>Report!$C$6</f>
        <v>0</v>
      </c>
      <c r="M34" s="154">
        <f>Report!$H$6</f>
        <v>0</v>
      </c>
      <c r="N34" s="79" t="e">
        <f>#REF!</f>
        <v>#REF!</v>
      </c>
      <c r="O34" s="154"/>
      <c r="P34" s="79">
        <v>8002</v>
      </c>
    </row>
    <row r="35" spans="1:16">
      <c r="A35" s="79">
        <v>8003</v>
      </c>
      <c r="B35" s="153" t="str">
        <f ca="1" t="shared" si="0"/>
        <v>T500</v>
      </c>
      <c r="C35" s="79" t="e">
        <f>#REF!</f>
        <v>#REF!</v>
      </c>
      <c r="D35" s="154" t="e">
        <f>#REF!</f>
        <v>#REF!</v>
      </c>
      <c r="E35" s="154"/>
      <c r="F35" s="154"/>
      <c r="G35" s="154"/>
      <c r="H35" s="154">
        <f>Report!$F$5</f>
        <v>0</v>
      </c>
      <c r="I35" s="157">
        <f ca="1" t="shared" si="1"/>
        <v>45645.6399537037</v>
      </c>
      <c r="J35" s="154">
        <f>Report!$N$5</f>
        <v>0</v>
      </c>
      <c r="K35" s="154"/>
      <c r="L35" s="154">
        <f>Report!$C$6</f>
        <v>0</v>
      </c>
      <c r="M35" s="154">
        <f>Report!$H$6</f>
        <v>0</v>
      </c>
      <c r="N35" s="79" t="e">
        <f>#REF!</f>
        <v>#REF!</v>
      </c>
      <c r="O35" s="154"/>
      <c r="P35" s="79">
        <v>8003</v>
      </c>
    </row>
    <row r="36" spans="1:16">
      <c r="A36" s="48">
        <v>8004</v>
      </c>
      <c r="B36" s="153" t="str">
        <f ca="1" t="shared" si="0"/>
        <v>T500</v>
      </c>
      <c r="C36" s="79" t="e">
        <f>#REF!</f>
        <v>#REF!</v>
      </c>
      <c r="D36" s="154" t="e">
        <f>#REF!</f>
        <v>#REF!</v>
      </c>
      <c r="E36" s="154"/>
      <c r="F36" s="154"/>
      <c r="G36" s="154"/>
      <c r="H36" s="154">
        <f>Report!$F$5</f>
        <v>0</v>
      </c>
      <c r="I36" s="157">
        <f ca="1" t="shared" si="1"/>
        <v>45645.6399537037</v>
      </c>
      <c r="J36" s="154">
        <f>Report!$N$5</f>
        <v>0</v>
      </c>
      <c r="K36" s="154"/>
      <c r="L36" s="154">
        <f>Report!$C$6</f>
        <v>0</v>
      </c>
      <c r="M36" s="154">
        <f>Report!$H$6</f>
        <v>0</v>
      </c>
      <c r="N36" s="79" t="e">
        <f>#REF!</f>
        <v>#REF!</v>
      </c>
      <c r="O36" s="154"/>
      <c r="P36" s="79">
        <v>8004</v>
      </c>
    </row>
    <row r="37" spans="1:16">
      <c r="A37" s="48">
        <v>9001</v>
      </c>
      <c r="B37" s="153" t="str">
        <f ca="1" t="shared" si="0"/>
        <v>T500</v>
      </c>
      <c r="C37" s="79" t="e">
        <f>#REF!</f>
        <v>#REF!</v>
      </c>
      <c r="D37" s="154" t="e">
        <f>#REF!</f>
        <v>#REF!</v>
      </c>
      <c r="E37" s="154"/>
      <c r="F37" s="154"/>
      <c r="G37" s="154"/>
      <c r="H37" s="154">
        <f>Report!$F$5</f>
        <v>0</v>
      </c>
      <c r="I37" s="157">
        <f ca="1" t="shared" si="1"/>
        <v>45645.6399537037</v>
      </c>
      <c r="J37" s="154">
        <f>Report!$N$5</f>
        <v>0</v>
      </c>
      <c r="K37" s="154"/>
      <c r="L37" s="154">
        <f>Report!$C$6</f>
        <v>0</v>
      </c>
      <c r="M37" s="154">
        <f>Report!$H$6</f>
        <v>0</v>
      </c>
      <c r="N37" s="79" t="e">
        <f>#REF!</f>
        <v>#REF!</v>
      </c>
      <c r="O37" s="154"/>
      <c r="P37" s="79">
        <v>9001</v>
      </c>
    </row>
    <row r="38" spans="8:8">
      <c r="H38" s="149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showGridLines="0" topLeftCell="C1" workbookViewId="0">
      <selection activeCell="K41" sqref="K41"/>
    </sheetView>
  </sheetViews>
  <sheetFormatPr defaultColWidth="9" defaultRowHeight="14.4"/>
  <cols>
    <col min="1" max="1" width="9" style="118"/>
    <col min="2" max="2" width="17.212962962963" style="118" customWidth="1"/>
    <col min="3" max="3" width="29.212962962963" style="118" customWidth="1"/>
    <col min="4" max="4" width="12.3333333333333" style="118" customWidth="1"/>
    <col min="5" max="5" width="22.6666666666667" style="119" customWidth="1"/>
    <col min="6" max="6" width="9" style="118"/>
    <col min="7" max="7" width="16.8796296296296" style="118" customWidth="1"/>
    <col min="8" max="8" width="29.212962962963" style="118" customWidth="1"/>
    <col min="9" max="9" width="12.3333333333333" style="118" customWidth="1"/>
    <col min="10" max="10" width="3.77777777777778" style="118" customWidth="1"/>
    <col min="11" max="11" width="17.212962962963" style="118" customWidth="1"/>
    <col min="12" max="12" width="16.8796296296296" style="118" customWidth="1"/>
    <col min="13" max="13" width="12.3333333333333" style="120" customWidth="1"/>
    <col min="14" max="14" width="5.77777777777778" style="118" customWidth="1"/>
    <col min="15" max="15" width="11.6666666666667" style="118" customWidth="1"/>
    <col min="16" max="16" width="5.77777777777778" style="118" customWidth="1"/>
    <col min="17" max="17" width="20.3333333333333" style="118" customWidth="1"/>
    <col min="18" max="18" width="14.8796296296296" style="118" customWidth="1"/>
    <col min="19" max="20" width="13.8796296296296" style="118" customWidth="1"/>
    <col min="21" max="21" width="19" style="118" customWidth="1"/>
    <col min="22" max="22" width="7.44444444444444" style="118" customWidth="1"/>
    <col min="23" max="23" width="19.3333333333333" style="118" customWidth="1"/>
    <col min="24" max="25" width="13.8796296296296" style="118" customWidth="1"/>
    <col min="26" max="26" width="14.8796296296296" style="118" customWidth="1"/>
    <col min="27" max="16384" width="9" style="118"/>
  </cols>
  <sheetData>
    <row r="1" spans="1:15">
      <c r="A1" s="121" t="s">
        <v>17</v>
      </c>
      <c r="B1" s="122"/>
      <c r="C1" s="122"/>
      <c r="D1" s="122"/>
      <c r="E1" s="122"/>
      <c r="F1" s="122"/>
      <c r="G1" s="122"/>
      <c r="H1" s="123"/>
      <c r="M1" s="118"/>
      <c r="O1" s="119"/>
    </row>
    <row r="2" spans="1:15">
      <c r="A2" s="124" t="s">
        <v>5</v>
      </c>
      <c r="B2" s="124" t="s">
        <v>121</v>
      </c>
      <c r="C2" s="124" t="s">
        <v>122</v>
      </c>
      <c r="D2" s="124" t="s">
        <v>123</v>
      </c>
      <c r="E2" s="124" t="s">
        <v>124</v>
      </c>
      <c r="F2" s="124" t="s">
        <v>68</v>
      </c>
      <c r="G2" s="125" t="s">
        <v>125</v>
      </c>
      <c r="H2" s="124" t="s">
        <v>126</v>
      </c>
      <c r="M2" s="118"/>
      <c r="O2" s="119"/>
    </row>
    <row r="3" spans="1:15">
      <c r="A3" s="115" t="s">
        <v>127</v>
      </c>
      <c r="B3" s="115">
        <v>1000</v>
      </c>
      <c r="C3" s="115" t="s">
        <v>128</v>
      </c>
      <c r="D3" s="115">
        <v>1001</v>
      </c>
      <c r="E3" s="126" t="s">
        <v>29</v>
      </c>
      <c r="F3" s="127" t="s">
        <v>129</v>
      </c>
      <c r="G3" s="128">
        <v>0.1</v>
      </c>
      <c r="H3" s="129">
        <v>0.1</v>
      </c>
      <c r="M3" s="118"/>
      <c r="O3" s="119"/>
    </row>
    <row r="4" spans="1:15">
      <c r="A4" s="115" t="s">
        <v>127</v>
      </c>
      <c r="B4" s="115">
        <v>1000</v>
      </c>
      <c r="C4" s="115" t="s">
        <v>128</v>
      </c>
      <c r="D4" s="115">
        <v>1002</v>
      </c>
      <c r="E4" s="126" t="s">
        <v>29</v>
      </c>
      <c r="F4" s="115">
        <v>486</v>
      </c>
      <c r="G4" s="128">
        <v>0.3</v>
      </c>
      <c r="H4" s="129">
        <v>0.1</v>
      </c>
      <c r="M4" s="118"/>
      <c r="O4" s="119"/>
    </row>
    <row r="5" spans="1:19">
      <c r="A5" s="115" t="s">
        <v>127</v>
      </c>
      <c r="B5" s="115">
        <v>1000</v>
      </c>
      <c r="C5" s="115" t="s">
        <v>128</v>
      </c>
      <c r="D5" s="115">
        <v>1003</v>
      </c>
      <c r="E5" s="126" t="s">
        <v>31</v>
      </c>
      <c r="F5" s="127" t="s">
        <v>130</v>
      </c>
      <c r="G5" s="128">
        <v>0.3</v>
      </c>
      <c r="H5" s="129">
        <v>0.1</v>
      </c>
      <c r="J5" s="144"/>
      <c r="K5" s="144"/>
      <c r="L5" s="144"/>
      <c r="M5" s="144"/>
      <c r="S5" s="147"/>
    </row>
    <row r="6" spans="1:13">
      <c r="A6" s="115" t="s">
        <v>127</v>
      </c>
      <c r="B6" s="115">
        <v>1000</v>
      </c>
      <c r="C6" s="115" t="s">
        <v>128</v>
      </c>
      <c r="D6" s="115">
        <v>1008</v>
      </c>
      <c r="E6" s="126" t="s">
        <v>30</v>
      </c>
      <c r="F6" s="127" t="s">
        <v>131</v>
      </c>
      <c r="G6" s="128">
        <v>0.3</v>
      </c>
      <c r="H6" s="129">
        <v>0.1</v>
      </c>
      <c r="I6" s="145"/>
      <c r="J6" s="146"/>
      <c r="K6" s="146"/>
      <c r="M6" s="118"/>
    </row>
    <row r="7" spans="1:13">
      <c r="A7" s="115" t="s">
        <v>127</v>
      </c>
      <c r="B7" s="115">
        <v>1000</v>
      </c>
      <c r="C7" s="115" t="s">
        <v>128</v>
      </c>
      <c r="D7" s="115">
        <v>1009</v>
      </c>
      <c r="E7" s="126" t="s">
        <v>30</v>
      </c>
      <c r="F7" s="127" t="s">
        <v>132</v>
      </c>
      <c r="G7" s="128">
        <v>0.3</v>
      </c>
      <c r="H7" s="129">
        <v>0.1</v>
      </c>
      <c r="J7" s="146"/>
      <c r="K7" s="146"/>
      <c r="M7" s="118"/>
    </row>
    <row r="8" spans="1:13">
      <c r="A8" s="115" t="s">
        <v>127</v>
      </c>
      <c r="B8" s="115">
        <v>1000</v>
      </c>
      <c r="C8" s="115" t="s">
        <v>128</v>
      </c>
      <c r="D8" s="115">
        <v>1010</v>
      </c>
      <c r="E8" s="126" t="s">
        <v>30</v>
      </c>
      <c r="F8" s="127" t="s">
        <v>133</v>
      </c>
      <c r="G8" s="128">
        <v>0.3</v>
      </c>
      <c r="H8" s="129">
        <v>0.1</v>
      </c>
      <c r="J8" s="146"/>
      <c r="K8" s="146"/>
      <c r="M8" s="118"/>
    </row>
    <row r="9" spans="1:13">
      <c r="A9" s="115" t="s">
        <v>127</v>
      </c>
      <c r="B9" s="115">
        <v>1000</v>
      </c>
      <c r="C9" s="115" t="s">
        <v>128</v>
      </c>
      <c r="D9" s="115">
        <v>1011</v>
      </c>
      <c r="E9" s="126" t="s">
        <v>30</v>
      </c>
      <c r="F9" s="127" t="s">
        <v>134</v>
      </c>
      <c r="G9" s="128">
        <v>0.3</v>
      </c>
      <c r="H9" s="129">
        <v>0.1</v>
      </c>
      <c r="J9" s="146"/>
      <c r="K9" s="146"/>
      <c r="M9" s="118"/>
    </row>
    <row r="10" spans="1:13">
      <c r="A10" s="115" t="s">
        <v>127</v>
      </c>
      <c r="B10" s="115">
        <v>1000</v>
      </c>
      <c r="C10" s="115" t="s">
        <v>128</v>
      </c>
      <c r="D10" s="115">
        <v>1012</v>
      </c>
      <c r="E10" s="126" t="s">
        <v>30</v>
      </c>
      <c r="F10" s="127" t="s">
        <v>135</v>
      </c>
      <c r="G10" s="128">
        <v>0.3</v>
      </c>
      <c r="H10" s="129">
        <v>0.1</v>
      </c>
      <c r="J10" s="146"/>
      <c r="K10" s="146"/>
      <c r="M10" s="118"/>
    </row>
    <row r="11" spans="1:13">
      <c r="A11" s="115" t="s">
        <v>127</v>
      </c>
      <c r="B11" s="115">
        <v>1000</v>
      </c>
      <c r="C11" s="115" t="s">
        <v>128</v>
      </c>
      <c r="D11" s="115">
        <v>1013</v>
      </c>
      <c r="E11" s="126" t="s">
        <v>30</v>
      </c>
      <c r="F11" s="127" t="s">
        <v>136</v>
      </c>
      <c r="G11" s="128">
        <v>0.3</v>
      </c>
      <c r="H11" s="129">
        <v>0.1</v>
      </c>
      <c r="J11" s="146"/>
      <c r="K11" s="146"/>
      <c r="M11" s="118"/>
    </row>
    <row r="12" ht="14.25" customHeight="1" spans="1:13">
      <c r="A12" s="115" t="s">
        <v>127</v>
      </c>
      <c r="B12" s="115">
        <v>2000</v>
      </c>
      <c r="C12" s="115" t="s">
        <v>137</v>
      </c>
      <c r="D12" s="115">
        <v>2001</v>
      </c>
      <c r="E12" s="126" t="s">
        <v>138</v>
      </c>
      <c r="F12" s="130" t="s">
        <v>139</v>
      </c>
      <c r="G12" s="131">
        <v>0.3</v>
      </c>
      <c r="H12" s="131">
        <v>0.1</v>
      </c>
      <c r="J12" s="146"/>
      <c r="K12" s="145"/>
      <c r="M12" s="118"/>
    </row>
    <row r="13" ht="28.8" spans="1:13">
      <c r="A13" s="115" t="s">
        <v>127</v>
      </c>
      <c r="B13" s="115">
        <v>2000</v>
      </c>
      <c r="C13" s="115" t="s">
        <v>137</v>
      </c>
      <c r="D13" s="115">
        <v>2002</v>
      </c>
      <c r="E13" s="126" t="s">
        <v>138</v>
      </c>
      <c r="F13" s="130" t="s">
        <v>140</v>
      </c>
      <c r="G13" s="131">
        <v>0.3</v>
      </c>
      <c r="H13" s="131">
        <v>0.1</v>
      </c>
      <c r="J13" s="146"/>
      <c r="K13" s="145"/>
      <c r="M13" s="118"/>
    </row>
    <row r="14" ht="28.8" spans="1:13">
      <c r="A14" s="115" t="s">
        <v>127</v>
      </c>
      <c r="B14" s="115">
        <v>2000</v>
      </c>
      <c r="C14" s="115" t="s">
        <v>137</v>
      </c>
      <c r="D14" s="115">
        <v>2003</v>
      </c>
      <c r="E14" s="126" t="s">
        <v>138</v>
      </c>
      <c r="F14" s="130" t="s">
        <v>141</v>
      </c>
      <c r="G14" s="131">
        <v>0.3</v>
      </c>
      <c r="H14" s="131">
        <v>0.1</v>
      </c>
      <c r="J14" s="146"/>
      <c r="K14" s="145"/>
      <c r="M14" s="118"/>
    </row>
    <row r="15" ht="28.8" spans="1:13">
      <c r="A15" s="115" t="s">
        <v>127</v>
      </c>
      <c r="B15" s="115">
        <v>2000</v>
      </c>
      <c r="C15" s="115" t="s">
        <v>137</v>
      </c>
      <c r="D15" s="115">
        <v>2004</v>
      </c>
      <c r="E15" s="126" t="s">
        <v>138</v>
      </c>
      <c r="F15" s="130" t="s">
        <v>142</v>
      </c>
      <c r="G15" s="131">
        <v>0.3</v>
      </c>
      <c r="H15" s="131">
        <v>0.1</v>
      </c>
      <c r="J15" s="146"/>
      <c r="K15" s="145"/>
      <c r="M15" s="118"/>
    </row>
    <row r="16" spans="1:13">
      <c r="A16" s="115" t="s">
        <v>127</v>
      </c>
      <c r="B16" s="115">
        <v>2000</v>
      </c>
      <c r="C16" s="115" t="s">
        <v>137</v>
      </c>
      <c r="D16" s="115">
        <v>2005</v>
      </c>
      <c r="E16" s="130" t="s">
        <v>97</v>
      </c>
      <c r="F16" s="130" t="s">
        <v>143</v>
      </c>
      <c r="G16" s="131">
        <v>0.3</v>
      </c>
      <c r="H16" s="131">
        <v>0.1</v>
      </c>
      <c r="M16" s="118"/>
    </row>
    <row r="17" spans="1:13">
      <c r="A17" s="115" t="s">
        <v>127</v>
      </c>
      <c r="B17" s="115">
        <v>2000</v>
      </c>
      <c r="C17" s="115" t="s">
        <v>137</v>
      </c>
      <c r="D17" s="115">
        <v>2006</v>
      </c>
      <c r="E17" s="130" t="s">
        <v>97</v>
      </c>
      <c r="F17" s="130" t="s">
        <v>144</v>
      </c>
      <c r="G17" s="131">
        <v>0.3</v>
      </c>
      <c r="H17" s="131">
        <v>0.1</v>
      </c>
      <c r="M17" s="118"/>
    </row>
    <row r="18" spans="1:13">
      <c r="A18" s="115" t="s">
        <v>127</v>
      </c>
      <c r="B18" s="115">
        <v>2000</v>
      </c>
      <c r="C18" s="115" t="s">
        <v>137</v>
      </c>
      <c r="D18" s="115">
        <v>2007</v>
      </c>
      <c r="E18" s="130" t="s">
        <v>97</v>
      </c>
      <c r="F18" s="130" t="s">
        <v>145</v>
      </c>
      <c r="G18" s="131">
        <v>0.3</v>
      </c>
      <c r="H18" s="131">
        <v>0.1</v>
      </c>
      <c r="M18" s="118"/>
    </row>
    <row r="19" spans="1:13">
      <c r="A19" s="115" t="s">
        <v>127</v>
      </c>
      <c r="B19" s="115">
        <v>2000</v>
      </c>
      <c r="C19" s="115" t="s">
        <v>137</v>
      </c>
      <c r="D19" s="115">
        <v>2008</v>
      </c>
      <c r="E19" s="130" t="s">
        <v>101</v>
      </c>
      <c r="F19" s="130" t="s">
        <v>143</v>
      </c>
      <c r="G19" s="131">
        <v>0.3</v>
      </c>
      <c r="H19" s="131">
        <v>0.1</v>
      </c>
      <c r="M19" s="118"/>
    </row>
    <row r="20" spans="1:13">
      <c r="A20" s="115" t="s">
        <v>127</v>
      </c>
      <c r="B20" s="115">
        <v>2000</v>
      </c>
      <c r="C20" s="115" t="s">
        <v>137</v>
      </c>
      <c r="D20" s="115">
        <v>2009</v>
      </c>
      <c r="E20" s="130" t="s">
        <v>101</v>
      </c>
      <c r="F20" s="130" t="s">
        <v>144</v>
      </c>
      <c r="G20" s="131">
        <v>0.3</v>
      </c>
      <c r="H20" s="131">
        <v>0.1</v>
      </c>
      <c r="M20" s="118"/>
    </row>
    <row r="21" spans="1:13">
      <c r="A21" s="115" t="s">
        <v>127</v>
      </c>
      <c r="B21" s="115">
        <v>2000</v>
      </c>
      <c r="C21" s="115" t="s">
        <v>137</v>
      </c>
      <c r="D21" s="115">
        <v>2010</v>
      </c>
      <c r="E21" s="130" t="s">
        <v>101</v>
      </c>
      <c r="F21" s="130" t="s">
        <v>145</v>
      </c>
      <c r="G21" s="131">
        <v>0.3</v>
      </c>
      <c r="H21" s="131">
        <v>0.1</v>
      </c>
      <c r="M21" s="118"/>
    </row>
    <row r="22" spans="1:13">
      <c r="A22" s="115" t="s">
        <v>127</v>
      </c>
      <c r="B22" s="115">
        <v>2000</v>
      </c>
      <c r="C22" s="115" t="s">
        <v>137</v>
      </c>
      <c r="D22" s="115">
        <v>2011</v>
      </c>
      <c r="E22" s="130" t="s">
        <v>104</v>
      </c>
      <c r="F22" s="130" t="s">
        <v>143</v>
      </c>
      <c r="G22" s="131">
        <v>0.3</v>
      </c>
      <c r="H22" s="131">
        <v>0.1</v>
      </c>
      <c r="M22" s="118"/>
    </row>
    <row r="23" spans="1:13">
      <c r="A23" s="115" t="s">
        <v>127</v>
      </c>
      <c r="B23" s="115">
        <v>2000</v>
      </c>
      <c r="C23" s="115" t="s">
        <v>137</v>
      </c>
      <c r="D23" s="115">
        <v>2012</v>
      </c>
      <c r="E23" s="130" t="s">
        <v>104</v>
      </c>
      <c r="F23" s="130" t="s">
        <v>144</v>
      </c>
      <c r="G23" s="131">
        <v>0.3</v>
      </c>
      <c r="H23" s="131">
        <v>0.1</v>
      </c>
      <c r="M23" s="118"/>
    </row>
    <row r="24" spans="1:13">
      <c r="A24" s="115" t="s">
        <v>127</v>
      </c>
      <c r="B24" s="115">
        <v>2000</v>
      </c>
      <c r="C24" s="115" t="s">
        <v>137</v>
      </c>
      <c r="D24" s="115">
        <v>2013</v>
      </c>
      <c r="E24" s="130" t="s">
        <v>104</v>
      </c>
      <c r="F24" s="130" t="s">
        <v>145</v>
      </c>
      <c r="G24" s="131">
        <v>0.3</v>
      </c>
      <c r="H24" s="131">
        <v>0.1</v>
      </c>
      <c r="M24" s="118"/>
    </row>
    <row r="25" spans="1:13">
      <c r="A25" s="115" t="s">
        <v>127</v>
      </c>
      <c r="B25" s="115">
        <v>3000</v>
      </c>
      <c r="C25" s="115" t="s">
        <v>146</v>
      </c>
      <c r="D25" s="115">
        <v>3001</v>
      </c>
      <c r="E25" s="132" t="s">
        <v>52</v>
      </c>
      <c r="F25" s="133" t="s">
        <v>50</v>
      </c>
      <c r="G25" s="134">
        <v>0.01</v>
      </c>
      <c r="H25" s="115"/>
      <c r="M25" s="118"/>
    </row>
    <row r="26" spans="1:13">
      <c r="A26" s="115" t="s">
        <v>127</v>
      </c>
      <c r="B26" s="115">
        <v>3000</v>
      </c>
      <c r="C26" s="115" t="s">
        <v>146</v>
      </c>
      <c r="D26" s="115">
        <v>3002</v>
      </c>
      <c r="E26" s="132" t="s">
        <v>56</v>
      </c>
      <c r="F26" s="133" t="s">
        <v>54</v>
      </c>
      <c r="G26" s="134">
        <v>0.02</v>
      </c>
      <c r="H26" s="115"/>
      <c r="M26" s="118"/>
    </row>
    <row r="27" spans="1:13">
      <c r="A27" s="115" t="s">
        <v>127</v>
      </c>
      <c r="B27" s="115">
        <v>4000</v>
      </c>
      <c r="C27" s="115" t="s">
        <v>147</v>
      </c>
      <c r="D27" s="115">
        <v>4001</v>
      </c>
      <c r="E27" s="132" t="s">
        <v>57</v>
      </c>
      <c r="F27" s="115"/>
      <c r="G27" s="135">
        <v>0.0005</v>
      </c>
      <c r="H27" s="115"/>
      <c r="M27" s="118"/>
    </row>
    <row r="28" spans="1:13">
      <c r="A28" s="115" t="s">
        <v>127</v>
      </c>
      <c r="B28" s="115">
        <v>5000</v>
      </c>
      <c r="C28" s="115" t="s">
        <v>148</v>
      </c>
      <c r="D28" s="115">
        <v>5001</v>
      </c>
      <c r="E28" s="132" t="s">
        <v>149</v>
      </c>
      <c r="F28" s="115"/>
      <c r="G28" s="136">
        <v>0.1</v>
      </c>
      <c r="H28" s="115"/>
      <c r="M28" s="118"/>
    </row>
    <row r="29" spans="1:13">
      <c r="A29" s="115" t="s">
        <v>127</v>
      </c>
      <c r="B29" s="115">
        <v>6000</v>
      </c>
      <c r="C29" s="115" t="s">
        <v>150</v>
      </c>
      <c r="D29" s="115">
        <v>6002</v>
      </c>
      <c r="E29" s="132" t="s">
        <v>151</v>
      </c>
      <c r="F29" s="132">
        <v>656.1</v>
      </c>
      <c r="G29" s="137">
        <v>20</v>
      </c>
      <c r="H29" s="115"/>
      <c r="M29" s="118"/>
    </row>
    <row r="30" spans="1:13">
      <c r="A30" s="115" t="s">
        <v>127</v>
      </c>
      <c r="B30" s="115">
        <v>7000</v>
      </c>
      <c r="C30" s="115" t="s">
        <v>152</v>
      </c>
      <c r="D30" s="115">
        <v>7001</v>
      </c>
      <c r="E30" s="131" t="s">
        <v>153</v>
      </c>
      <c r="F30" s="138">
        <v>500</v>
      </c>
      <c r="G30" s="139">
        <v>0.05</v>
      </c>
      <c r="H30" s="115"/>
      <c r="M30" s="118"/>
    </row>
    <row r="31" spans="1:13">
      <c r="A31" s="115" t="s">
        <v>127</v>
      </c>
      <c r="B31" s="115">
        <v>7000</v>
      </c>
      <c r="C31" s="115" t="s">
        <v>152</v>
      </c>
      <c r="D31" s="115">
        <v>7002</v>
      </c>
      <c r="E31" s="131" t="s">
        <v>154</v>
      </c>
      <c r="F31" s="138">
        <v>500</v>
      </c>
      <c r="G31" s="140">
        <v>0.005</v>
      </c>
      <c r="H31" s="115"/>
      <c r="M31" s="118"/>
    </row>
    <row r="32" spans="1:13">
      <c r="A32" s="115" t="s">
        <v>127</v>
      </c>
      <c r="B32" s="115">
        <v>7000</v>
      </c>
      <c r="C32" s="115" t="s">
        <v>152</v>
      </c>
      <c r="D32" s="115">
        <v>7003</v>
      </c>
      <c r="E32" s="131" t="s">
        <v>155</v>
      </c>
      <c r="F32" s="138">
        <v>250</v>
      </c>
      <c r="G32" s="139">
        <v>0.05</v>
      </c>
      <c r="H32" s="115"/>
      <c r="M32" s="118"/>
    </row>
    <row r="33" spans="1:13">
      <c r="A33" s="115" t="s">
        <v>127</v>
      </c>
      <c r="B33" s="115">
        <v>7000</v>
      </c>
      <c r="C33" s="115" t="s">
        <v>152</v>
      </c>
      <c r="D33" s="115">
        <v>7004</v>
      </c>
      <c r="E33" s="131" t="s">
        <v>156</v>
      </c>
      <c r="F33" s="138">
        <v>250</v>
      </c>
      <c r="G33" s="140">
        <v>0.005</v>
      </c>
      <c r="H33" s="115"/>
      <c r="M33" s="118"/>
    </row>
    <row r="34" spans="1:13">
      <c r="A34" s="115" t="s">
        <v>127</v>
      </c>
      <c r="B34" s="115">
        <v>8000</v>
      </c>
      <c r="C34" s="115" t="s">
        <v>157</v>
      </c>
      <c r="D34" s="115">
        <v>8001</v>
      </c>
      <c r="E34" s="131" t="s">
        <v>158</v>
      </c>
      <c r="F34" s="138">
        <v>1090</v>
      </c>
      <c r="G34" s="141">
        <v>0.1</v>
      </c>
      <c r="H34" s="115"/>
      <c r="M34" s="118"/>
    </row>
    <row r="35" spans="1:13">
      <c r="A35" s="115" t="s">
        <v>127</v>
      </c>
      <c r="B35" s="115">
        <v>8000</v>
      </c>
      <c r="C35" s="115" t="s">
        <v>157</v>
      </c>
      <c r="D35" s="115">
        <v>8002</v>
      </c>
      <c r="E35" s="131" t="s">
        <v>159</v>
      </c>
      <c r="F35" s="138">
        <v>1090</v>
      </c>
      <c r="G35" s="139">
        <v>0.02</v>
      </c>
      <c r="H35" s="115"/>
      <c r="M35" s="118"/>
    </row>
    <row r="36" spans="1:13">
      <c r="A36" s="115" t="s">
        <v>127</v>
      </c>
      <c r="B36" s="115">
        <v>8000</v>
      </c>
      <c r="C36" s="115" t="s">
        <v>157</v>
      </c>
      <c r="D36" s="115">
        <v>8003</v>
      </c>
      <c r="E36" s="131" t="s">
        <v>160</v>
      </c>
      <c r="F36" s="138">
        <v>200</v>
      </c>
      <c r="G36" s="141">
        <v>0.1</v>
      </c>
      <c r="H36" s="115"/>
      <c r="M36" s="118"/>
    </row>
    <row r="37" spans="1:13">
      <c r="A37" s="115" t="s">
        <v>127</v>
      </c>
      <c r="B37" s="116">
        <v>8000</v>
      </c>
      <c r="C37" s="116" t="s">
        <v>157</v>
      </c>
      <c r="D37" s="116">
        <v>8004</v>
      </c>
      <c r="E37" s="142" t="s">
        <v>161</v>
      </c>
      <c r="F37" s="138">
        <v>200</v>
      </c>
      <c r="G37" s="139">
        <v>0.02</v>
      </c>
      <c r="H37" s="116"/>
      <c r="M37" s="118"/>
    </row>
    <row r="38" spans="1:13">
      <c r="A38" s="115" t="s">
        <v>127</v>
      </c>
      <c r="B38" s="116">
        <v>9000</v>
      </c>
      <c r="C38" s="116" t="s">
        <v>162</v>
      </c>
      <c r="D38" s="116">
        <v>9001</v>
      </c>
      <c r="E38" s="132" t="s">
        <v>162</v>
      </c>
      <c r="F38" s="142" t="s">
        <v>163</v>
      </c>
      <c r="G38" s="143">
        <v>0.1</v>
      </c>
      <c r="H38" s="116"/>
      <c r="M38" s="118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9" defaultRowHeight="14.4" outlineLevelCol="4"/>
  <cols>
    <col min="1" max="1" width="10.1111111111111" style="112" customWidth="1"/>
    <col min="2" max="2" width="12.4444444444444" style="112" customWidth="1"/>
    <col min="4" max="4" width="29.212962962963" customWidth="1"/>
    <col min="5" max="5" width="12.3333333333333" customWidth="1"/>
    <col min="6" max="6" width="9" customWidth="1"/>
  </cols>
  <sheetData>
    <row r="1" spans="1:5">
      <c r="A1" s="113" t="s">
        <v>6</v>
      </c>
      <c r="B1" s="113" t="s">
        <v>5</v>
      </c>
      <c r="D1" s="8" t="s">
        <v>122</v>
      </c>
      <c r="E1" s="8" t="s">
        <v>121</v>
      </c>
    </row>
    <row r="2" spans="1:5">
      <c r="A2" s="114" t="s">
        <v>164</v>
      </c>
      <c r="B2" s="114" t="s">
        <v>165</v>
      </c>
      <c r="D2" s="115" t="s">
        <v>128</v>
      </c>
      <c r="E2" s="115">
        <v>1000</v>
      </c>
    </row>
    <row r="3" spans="1:5">
      <c r="A3" s="114" t="s">
        <v>166</v>
      </c>
      <c r="B3" s="114" t="s">
        <v>167</v>
      </c>
      <c r="D3" s="115" t="s">
        <v>137</v>
      </c>
      <c r="E3" s="115">
        <v>2000</v>
      </c>
    </row>
    <row r="4" spans="1:5">
      <c r="A4" s="114" t="s">
        <v>168</v>
      </c>
      <c r="B4" s="114" t="s">
        <v>169</v>
      </c>
      <c r="D4" s="115" t="s">
        <v>146</v>
      </c>
      <c r="E4" s="115">
        <v>3000</v>
      </c>
    </row>
    <row r="5" spans="1:5">
      <c r="A5" s="114" t="s">
        <v>170</v>
      </c>
      <c r="B5" s="114" t="s">
        <v>171</v>
      </c>
      <c r="D5" s="115" t="s">
        <v>147</v>
      </c>
      <c r="E5" s="115">
        <v>4000</v>
      </c>
    </row>
    <row r="6" spans="4:5">
      <c r="D6" s="115" t="s">
        <v>148</v>
      </c>
      <c r="E6" s="115">
        <v>5000</v>
      </c>
    </row>
    <row r="7" spans="4:5">
      <c r="D7" s="115" t="s">
        <v>150</v>
      </c>
      <c r="E7" s="115">
        <v>6000</v>
      </c>
    </row>
    <row r="8" spans="4:5">
      <c r="D8" s="115" t="s">
        <v>152</v>
      </c>
      <c r="E8" s="115">
        <v>7000</v>
      </c>
    </row>
    <row r="9" spans="4:5">
      <c r="D9" s="116" t="s">
        <v>157</v>
      </c>
      <c r="E9" s="116">
        <v>8000</v>
      </c>
    </row>
    <row r="10" spans="4:5">
      <c r="D10" s="116" t="s">
        <v>162</v>
      </c>
      <c r="E10" s="116">
        <v>9000</v>
      </c>
    </row>
    <row r="11" spans="4:5">
      <c r="D11" s="117" t="s">
        <v>172</v>
      </c>
      <c r="E11" s="117">
        <v>10000</v>
      </c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"/>
  <sheetViews>
    <sheetView showGridLines="0" tabSelected="1" zoomScale="70" zoomScaleNormal="70" topLeftCell="A7" workbookViewId="0">
      <pane xSplit="1" topLeftCell="I1" activePane="topRight" state="frozen"/>
      <selection/>
      <selection pane="topRight" activeCell="W11" sqref="W11"/>
    </sheetView>
  </sheetViews>
  <sheetFormatPr defaultColWidth="8.87962962962963" defaultRowHeight="14.4"/>
  <cols>
    <col min="1" max="1" width="29.212962962963" style="90" customWidth="1"/>
    <col min="2" max="2" width="18.3333333333333" style="91" customWidth="1"/>
    <col min="3" max="3" width="21.4444444444444" style="91" customWidth="1"/>
    <col min="4" max="4" width="40" style="91" customWidth="1"/>
    <col min="5" max="5" width="46.4444444444444" style="91" customWidth="1"/>
    <col min="6" max="6" width="8.87962962962963" style="91"/>
    <col min="7" max="7" width="10.4444444444444" style="91" customWidth="1"/>
    <col min="8" max="8" width="20.1111111111111" style="91" customWidth="1"/>
    <col min="9" max="9" width="53.0925925925926" style="91" customWidth="1"/>
    <col min="10" max="10" width="15.3333333333333" style="91" customWidth="1"/>
    <col min="11" max="11" width="11.4444444444444" style="91" customWidth="1"/>
    <col min="12" max="12" width="9.66666666666667" style="91" customWidth="1"/>
    <col min="13" max="13" width="8.44444444444444" style="91" customWidth="1"/>
    <col min="14" max="14" width="9.87962962962963" style="91" customWidth="1"/>
    <col min="15" max="15" width="10" style="91" customWidth="1"/>
    <col min="16" max="16" width="9.66666666666667" style="91" customWidth="1"/>
    <col min="17" max="17" width="8.44444444444444" style="91" customWidth="1"/>
    <col min="18" max="18" width="9.11111111111111" style="91" customWidth="1"/>
    <col min="19" max="19" width="9.44444444444444" style="91" customWidth="1"/>
    <col min="20" max="21" width="9.66666666666667" style="91" customWidth="1"/>
    <col min="22" max="22" width="18" style="91" customWidth="1"/>
    <col min="23" max="23" width="12.3333333333333" style="91" customWidth="1"/>
    <col min="24" max="24" width="18.4444444444444" style="91" customWidth="1"/>
    <col min="25" max="25" width="19.3333333333333" style="91" customWidth="1"/>
    <col min="26" max="26" width="15.1111111111111" style="92" customWidth="1"/>
    <col min="27" max="27" width="11.6666666666667" style="92" customWidth="1"/>
    <col min="28" max="28" width="17.212962962963" style="93" customWidth="1"/>
    <col min="29" max="29" width="27.3333333333333" style="91" customWidth="1"/>
    <col min="30" max="16384" width="8.87962962962963" style="91"/>
  </cols>
  <sheetData>
    <row r="1" s="88" customFormat="1" ht="40.8" spans="1:28">
      <c r="A1" s="94" t="s">
        <v>173</v>
      </c>
      <c r="B1" s="94" t="s">
        <v>174</v>
      </c>
      <c r="C1" s="94" t="s">
        <v>33</v>
      </c>
      <c r="D1" s="94" t="s">
        <v>175</v>
      </c>
      <c r="E1" s="94" t="s">
        <v>176</v>
      </c>
      <c r="F1" s="94" t="s">
        <v>75</v>
      </c>
      <c r="G1" s="94" t="s">
        <v>177</v>
      </c>
      <c r="H1" s="94" t="s">
        <v>68</v>
      </c>
      <c r="I1" s="104" t="s">
        <v>178</v>
      </c>
      <c r="J1" s="94" t="s">
        <v>178</v>
      </c>
      <c r="K1" s="105" t="s">
        <v>70</v>
      </c>
      <c r="L1" s="105" t="s">
        <v>179</v>
      </c>
      <c r="M1" s="105" t="s">
        <v>73</v>
      </c>
      <c r="N1" s="105" t="s">
        <v>180</v>
      </c>
      <c r="O1" s="105" t="s">
        <v>181</v>
      </c>
      <c r="P1" s="105" t="s">
        <v>182</v>
      </c>
      <c r="Q1" s="105" t="s">
        <v>26</v>
      </c>
      <c r="R1" s="105" t="s">
        <v>183</v>
      </c>
      <c r="S1" s="105" t="s">
        <v>184</v>
      </c>
      <c r="T1" s="105" t="s">
        <v>185</v>
      </c>
      <c r="U1" s="105" t="s">
        <v>78</v>
      </c>
      <c r="V1" s="94" t="s">
        <v>69</v>
      </c>
      <c r="W1" s="94" t="s">
        <v>186</v>
      </c>
      <c r="X1" s="94" t="s">
        <v>187</v>
      </c>
      <c r="Y1" s="94" t="s">
        <v>188</v>
      </c>
      <c r="Z1" s="94" t="s">
        <v>121</v>
      </c>
      <c r="AA1" s="94" t="s">
        <v>123</v>
      </c>
      <c r="AB1" s="108" t="s">
        <v>34</v>
      </c>
    </row>
    <row r="2" customFormat="1" ht="44.25" customHeight="1" spans="1:29">
      <c r="A2" s="95" t="s">
        <v>19</v>
      </c>
      <c r="B2" s="96" t="s">
        <v>19</v>
      </c>
      <c r="C2" s="97"/>
      <c r="D2" s="95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PhotoMode=2;ScanSpeed=1;WlRange=550,540,1;LampPos=1</v>
      </c>
      <c r="E2" s="95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空气:Scan</v>
      </c>
      <c r="F2" s="95">
        <v>1</v>
      </c>
      <c r="G2" s="95"/>
      <c r="H2" s="95">
        <v>546</v>
      </c>
      <c r="I2" s="95" t="str">
        <f>VLOOKUP(J2,字段对应!$D$2:$E$9,2,0)</f>
        <v>Validation.ViewModel.DataStructure.FindPeakAndAverageUVTestTool</v>
      </c>
      <c r="J2" s="96" t="s">
        <v>189</v>
      </c>
      <c r="K2" s="106" t="s">
        <v>29</v>
      </c>
      <c r="L2" s="106" t="s">
        <v>90</v>
      </c>
      <c r="M2" s="106" t="s">
        <v>86</v>
      </c>
      <c r="N2" s="106">
        <v>550</v>
      </c>
      <c r="O2" s="106">
        <v>540</v>
      </c>
      <c r="P2" s="106">
        <v>1</v>
      </c>
      <c r="Q2" s="106"/>
      <c r="R2" s="106"/>
      <c r="S2" s="106"/>
      <c r="T2" s="106"/>
      <c r="U2" s="106"/>
      <c r="V2" s="95" t="s">
        <v>79</v>
      </c>
      <c r="W2" s="95"/>
      <c r="X2" s="95"/>
      <c r="Y2" s="95" t="s">
        <v>190</v>
      </c>
      <c r="Z2" s="100" t="e">
        <f>VLOOKUP(A2,对应信息!$D$2:$E$11,2,0)</f>
        <v>#N/A</v>
      </c>
      <c r="AA2" s="95" t="e">
        <f>IF(#REF!=Z2,#REF!+1,Z2+1)</f>
        <v>#REF!</v>
      </c>
      <c r="AB2" s="109"/>
      <c r="AC2" s="91"/>
    </row>
    <row r="3" customFormat="1" ht="44.25" customHeight="1" spans="1:29">
      <c r="A3" s="95" t="s">
        <v>32</v>
      </c>
      <c r="B3" s="96" t="s">
        <v>191</v>
      </c>
      <c r="C3" s="97"/>
      <c r="D3" s="95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PhotoMode=2;ScanSpeed=1;WlRange=490,480,0.2;Gain=5;LampPos=1</v>
      </c>
      <c r="E3" s="95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空气:Scan</v>
      </c>
      <c r="F3" s="95">
        <v>1</v>
      </c>
      <c r="G3" s="95"/>
      <c r="H3" s="95">
        <v>486</v>
      </c>
      <c r="I3" s="95" t="str">
        <f>VLOOKUP(J3,字段对应!$D$2:$E$9,2,0)</f>
        <v>Validation.ViewModel.DataStructure.FindPeakAndAverageUVTestTool</v>
      </c>
      <c r="J3" s="96" t="s">
        <v>189</v>
      </c>
      <c r="K3" s="106" t="s">
        <v>29</v>
      </c>
      <c r="L3" s="106" t="s">
        <v>90</v>
      </c>
      <c r="M3" s="106" t="s">
        <v>86</v>
      </c>
      <c r="N3" s="106">
        <v>490</v>
      </c>
      <c r="O3" s="106">
        <v>480</v>
      </c>
      <c r="P3" s="106">
        <v>0.2</v>
      </c>
      <c r="Q3" s="106">
        <v>5</v>
      </c>
      <c r="R3" s="106"/>
      <c r="S3" s="106"/>
      <c r="T3" s="106"/>
      <c r="U3" s="106"/>
      <c r="V3" s="95" t="s">
        <v>79</v>
      </c>
      <c r="W3" s="95"/>
      <c r="X3" s="95"/>
      <c r="Y3" s="95" t="s">
        <v>190</v>
      </c>
      <c r="Z3" s="100" t="e">
        <f>VLOOKUP(A3,对应信息!$D$2:$E$11,2,0)</f>
        <v>#N/A</v>
      </c>
      <c r="AA3" s="95" t="e">
        <f>IF(#REF!=Z3,#REF!+1,Z3+1)</f>
        <v>#REF!</v>
      </c>
      <c r="AB3" s="109"/>
      <c r="AC3" s="91"/>
    </row>
    <row r="4" customFormat="1" ht="44.25" customHeight="1" spans="1:29">
      <c r="A4" s="95" t="s">
        <v>32</v>
      </c>
      <c r="B4" s="96" t="s">
        <v>192</v>
      </c>
      <c r="C4" s="97"/>
      <c r="D4" s="95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PhotoMode=2;ScanSpeed=1;WlRange=660,650,0.2;Gain=5;LampPos=1</v>
      </c>
      <c r="E4" s="95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空气:Scan</v>
      </c>
      <c r="F4" s="95">
        <v>1</v>
      </c>
      <c r="G4" s="95"/>
      <c r="H4" s="95">
        <v>656.1</v>
      </c>
      <c r="I4" s="95" t="str">
        <f>VLOOKUP(J4,字段对应!$D$2:$E$9,2,0)</f>
        <v>Validation.ViewModel.DataStructure.FindPeakAndAverageUVTestTool</v>
      </c>
      <c r="J4" s="96" t="s">
        <v>189</v>
      </c>
      <c r="K4" s="106" t="s">
        <v>29</v>
      </c>
      <c r="L4" s="106" t="s">
        <v>90</v>
      </c>
      <c r="M4" s="106" t="s">
        <v>86</v>
      </c>
      <c r="N4" s="106">
        <v>660</v>
      </c>
      <c r="O4" s="106">
        <v>650</v>
      </c>
      <c r="P4" s="106">
        <v>0.2</v>
      </c>
      <c r="Q4" s="106">
        <v>5</v>
      </c>
      <c r="R4" s="106"/>
      <c r="S4" s="106"/>
      <c r="T4" s="106"/>
      <c r="U4" s="106"/>
      <c r="V4" s="95" t="s">
        <v>79</v>
      </c>
      <c r="W4" s="95"/>
      <c r="X4" s="95"/>
      <c r="Y4" s="95" t="s">
        <v>190</v>
      </c>
      <c r="Z4" s="100" t="e">
        <f>VLOOKUP(A4,对应信息!$D$2:$E$11,2,0)</f>
        <v>#N/A</v>
      </c>
      <c r="AA4" s="95" t="e">
        <f>IF(#REF!=Z4,#REF!+1,Z4+1)</f>
        <v>#REF!</v>
      </c>
      <c r="AB4" s="109"/>
      <c r="AC4" s="91"/>
    </row>
    <row r="5" customFormat="1" ht="44.25" customHeight="1" spans="1:29">
      <c r="A5" s="95" t="s">
        <v>32</v>
      </c>
      <c r="B5" s="96" t="s">
        <v>39</v>
      </c>
      <c r="C5" s="97"/>
      <c r="D5" s="95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PhotoMode=2;ScanSpeed=1;WlRange=1100,300,0.2;Gain=1;LampPos=0</v>
      </c>
      <c r="E5" s="95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空气:Scan</v>
      </c>
      <c r="F5" s="95">
        <v>1</v>
      </c>
      <c r="G5" s="95"/>
      <c r="H5" s="95"/>
      <c r="I5" s="95" t="str">
        <f>VLOOKUP(J5,字段对应!$D$2:$E$9,2,0)</f>
        <v>Validation.ViewModel.DataStructure.FindPeakAndAverageUVTestTool</v>
      </c>
      <c r="J5" s="96" t="s">
        <v>189</v>
      </c>
      <c r="K5" s="106" t="s">
        <v>39</v>
      </c>
      <c r="L5" s="106" t="s">
        <v>90</v>
      </c>
      <c r="M5" s="106" t="s">
        <v>86</v>
      </c>
      <c r="N5" s="106">
        <v>1100</v>
      </c>
      <c r="O5" s="106">
        <v>300</v>
      </c>
      <c r="P5" s="106">
        <v>0.2</v>
      </c>
      <c r="Q5" s="106">
        <v>1</v>
      </c>
      <c r="R5" s="106"/>
      <c r="S5" s="106"/>
      <c r="T5" s="106"/>
      <c r="U5" s="106"/>
      <c r="V5" s="95" t="s">
        <v>79</v>
      </c>
      <c r="W5" s="95"/>
      <c r="X5" s="95"/>
      <c r="Y5" s="95" t="s">
        <v>190</v>
      </c>
      <c r="Z5" s="100" t="e">
        <f>VLOOKUP(A5,对应信息!$D$2:$E$11,2,0)</f>
        <v>#N/A</v>
      </c>
      <c r="AA5" s="95" t="e">
        <f>IF(#REF!=Z5,#REF!+1,Z5+1)</f>
        <v>#REF!</v>
      </c>
      <c r="AB5" s="109"/>
      <c r="AC5" s="91"/>
    </row>
    <row r="6" customFormat="1" ht="44.25" customHeight="1" spans="1:29">
      <c r="A6" s="95" t="s">
        <v>32</v>
      </c>
      <c r="B6" s="96" t="s">
        <v>29</v>
      </c>
      <c r="C6" s="97"/>
      <c r="D6" s="95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PhotoMode=2;ScanSpeed=1;WlRange=700,190,0.2;Gain=5;LampPos=1</v>
      </c>
      <c r="E6" s="95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空气:Scan</v>
      </c>
      <c r="F6" s="95">
        <v>1</v>
      </c>
      <c r="G6" s="95"/>
      <c r="H6" s="95"/>
      <c r="I6" s="95" t="str">
        <f>VLOOKUP(J6,字段对应!$D$2:$E$9,2,0)</f>
        <v>Validation.ViewModel.DataStructure.FindPeakAndAverageUVTestTool</v>
      </c>
      <c r="J6" s="96" t="s">
        <v>189</v>
      </c>
      <c r="K6" s="106" t="s">
        <v>29</v>
      </c>
      <c r="L6" s="106" t="s">
        <v>90</v>
      </c>
      <c r="M6" s="106" t="s">
        <v>86</v>
      </c>
      <c r="N6" s="106">
        <v>700</v>
      </c>
      <c r="O6" s="106">
        <v>190</v>
      </c>
      <c r="P6" s="106">
        <v>0.2</v>
      </c>
      <c r="Q6" s="106">
        <v>5</v>
      </c>
      <c r="R6" s="106"/>
      <c r="S6" s="106"/>
      <c r="T6" s="106"/>
      <c r="U6" s="106"/>
      <c r="V6" s="95" t="s">
        <v>79</v>
      </c>
      <c r="W6" s="95"/>
      <c r="X6" s="95"/>
      <c r="Y6" s="95" t="s">
        <v>190</v>
      </c>
      <c r="Z6" s="100" t="e">
        <f>VLOOKUP(A6,对应信息!$D$2:$E$11,2,0)</f>
        <v>#N/A</v>
      </c>
      <c r="AA6" s="95" t="e">
        <f>IF(#REF!=Z6,#REF!+1,Z6+1)</f>
        <v>#REF!</v>
      </c>
      <c r="AB6" s="109"/>
      <c r="AC6" s="91"/>
    </row>
    <row r="7" customFormat="1" ht="44.25" customHeight="1" spans="1:29">
      <c r="A7" s="95" t="s">
        <v>23</v>
      </c>
      <c r="B7" s="96" t="s">
        <v>191</v>
      </c>
      <c r="C7" s="97"/>
      <c r="D7" s="95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PhotoMode=2;ScanSpeed=1;WlRange=490,480,0.2;Gain=5;LampPos=1</v>
      </c>
      <c r="E7" s="95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空气:Scan</v>
      </c>
      <c r="F7" s="95">
        <v>1</v>
      </c>
      <c r="G7" s="95"/>
      <c r="H7" s="98">
        <v>486</v>
      </c>
      <c r="I7" s="95" t="str">
        <f>VLOOKUP(J7,字段对应!$D$2:$E$9,2,0)</f>
        <v>Validation.ViewModel.DataStructure.FindPeakAndAverageUVTestTool</v>
      </c>
      <c r="J7" s="96" t="s">
        <v>189</v>
      </c>
      <c r="K7" s="106" t="s">
        <v>29</v>
      </c>
      <c r="L7" s="106" t="s">
        <v>90</v>
      </c>
      <c r="M7" s="106" t="s">
        <v>86</v>
      </c>
      <c r="N7" s="106">
        <v>490</v>
      </c>
      <c r="O7" s="106">
        <v>480</v>
      </c>
      <c r="P7" s="106">
        <v>0.2</v>
      </c>
      <c r="Q7" s="106">
        <v>5</v>
      </c>
      <c r="R7" s="106"/>
      <c r="S7" s="106"/>
      <c r="T7" s="106"/>
      <c r="U7" s="106"/>
      <c r="V7" s="95" t="s">
        <v>79</v>
      </c>
      <c r="W7" s="95"/>
      <c r="X7" s="95"/>
      <c r="Y7" s="95" t="s">
        <v>190</v>
      </c>
      <c r="Z7" s="100" t="e">
        <f>VLOOKUP(A7,对应信息!$D$2:$E$11,2,0)</f>
        <v>#N/A</v>
      </c>
      <c r="AA7" s="95" t="e">
        <f>IF(#REF!=Z7,#REF!+1,Z7+1)</f>
        <v>#REF!</v>
      </c>
      <c r="AB7" s="109"/>
      <c r="AC7" s="91"/>
    </row>
    <row r="8" customFormat="1" ht="44.25" customHeight="1" spans="1:29">
      <c r="A8" s="95" t="s">
        <v>23</v>
      </c>
      <c r="B8" s="96" t="s">
        <v>192</v>
      </c>
      <c r="C8" s="97"/>
      <c r="D8" s="95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PhotoMode=2;ScanSpeed=1;WlRange=660,650,0.2;Gain=5;LampPos=1</v>
      </c>
      <c r="E8" s="95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空气:Scan</v>
      </c>
      <c r="F8" s="95">
        <v>1</v>
      </c>
      <c r="G8" s="95"/>
      <c r="H8" s="98">
        <v>656.1</v>
      </c>
      <c r="I8" s="95" t="str">
        <f>VLOOKUP(J8,字段对应!$D$2:$E$9,2,0)</f>
        <v>Validation.ViewModel.DataStructure.FindPeakAndAverageUVTestTool</v>
      </c>
      <c r="J8" s="96" t="s">
        <v>189</v>
      </c>
      <c r="K8" s="106" t="s">
        <v>29</v>
      </c>
      <c r="L8" s="106" t="s">
        <v>90</v>
      </c>
      <c r="M8" s="106" t="s">
        <v>86</v>
      </c>
      <c r="N8" s="106">
        <v>660</v>
      </c>
      <c r="O8" s="106">
        <v>650</v>
      </c>
      <c r="P8" s="106">
        <v>0.2</v>
      </c>
      <c r="Q8" s="106">
        <v>5</v>
      </c>
      <c r="R8" s="106"/>
      <c r="S8" s="106"/>
      <c r="T8" s="106"/>
      <c r="U8" s="106"/>
      <c r="V8" s="95" t="s">
        <v>79</v>
      </c>
      <c r="W8" s="95"/>
      <c r="X8" s="95"/>
      <c r="Y8" s="95" t="s">
        <v>190</v>
      </c>
      <c r="Z8" s="100" t="e">
        <f>VLOOKUP(A8,对应信息!$D$2:$E$11,2,0)</f>
        <v>#N/A</v>
      </c>
      <c r="AA8" s="95" t="e">
        <f>IF(#REF!=Z8,#REF!+1,Z8+1)</f>
        <v>#REF!</v>
      </c>
      <c r="AB8" s="109"/>
      <c r="AC8" s="91"/>
    </row>
    <row r="9" customFormat="1" ht="44.25" customHeight="1" spans="1:29">
      <c r="A9" s="95" t="s">
        <v>23</v>
      </c>
      <c r="B9" s="96" t="s">
        <v>193</v>
      </c>
      <c r="C9" s="97"/>
      <c r="D9" s="95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PhotoMode=0;ScanSpeed=1;WlRange=245,235,0.2;</v>
      </c>
      <c r="E9" s="95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黑挡块:Dark|空气:BaseLine|钬溶液:Scan</v>
      </c>
      <c r="F9" s="95">
        <v>1</v>
      </c>
      <c r="G9" s="95"/>
      <c r="H9" s="95">
        <v>241</v>
      </c>
      <c r="I9" s="95" t="str">
        <f>VLOOKUP(J9,字段对应!$D$2:$E$9,2,0)</f>
        <v>Validation.ViewModel.DataStructure.FindPeakAndAverageUVTestTool</v>
      </c>
      <c r="J9" s="96" t="s">
        <v>189</v>
      </c>
      <c r="K9" s="106"/>
      <c r="L9" s="106" t="s">
        <v>80</v>
      </c>
      <c r="M9" s="106" t="s">
        <v>86</v>
      </c>
      <c r="N9" s="106">
        <v>245</v>
      </c>
      <c r="O9" s="106">
        <v>235</v>
      </c>
      <c r="P9" s="106">
        <v>0.2</v>
      </c>
      <c r="Q9" s="106"/>
      <c r="R9" s="106"/>
      <c r="S9" s="106"/>
      <c r="T9" s="106"/>
      <c r="U9" s="106"/>
      <c r="V9" s="95" t="s">
        <v>79</v>
      </c>
      <c r="W9" s="95" t="s">
        <v>194</v>
      </c>
      <c r="X9" s="95" t="s">
        <v>190</v>
      </c>
      <c r="Y9" s="95" t="s">
        <v>30</v>
      </c>
      <c r="Z9" s="100"/>
      <c r="AA9" s="95"/>
      <c r="AB9" s="109"/>
      <c r="AC9" s="91"/>
    </row>
    <row r="10" customFormat="1" ht="44.25" customHeight="1" spans="1:29">
      <c r="A10" s="95" t="s">
        <v>23</v>
      </c>
      <c r="B10" s="96" t="s">
        <v>195</v>
      </c>
      <c r="C10" s="97"/>
      <c r="D10" s="95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PhotoMode=0;ScanSpeed=1;WlRange=290,280,0.2;</v>
      </c>
      <c r="E10" s="95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黑挡块:Dark|空气:BaseLine|钬溶液:Scan</v>
      </c>
      <c r="F10" s="95">
        <v>1</v>
      </c>
      <c r="G10" s="95"/>
      <c r="H10" s="99">
        <v>287.4</v>
      </c>
      <c r="I10" s="95" t="str">
        <f>VLOOKUP(J10,字段对应!$D$2:$E$9,2,0)</f>
        <v>Validation.ViewModel.DataStructure.FindPeakAndAverageUVTestTool</v>
      </c>
      <c r="J10" s="96" t="s">
        <v>189</v>
      </c>
      <c r="K10" s="106"/>
      <c r="L10" s="106" t="s">
        <v>80</v>
      </c>
      <c r="M10" s="106" t="s">
        <v>86</v>
      </c>
      <c r="N10" s="106">
        <v>290</v>
      </c>
      <c r="O10" s="106">
        <v>280</v>
      </c>
      <c r="P10" s="106">
        <v>0.2</v>
      </c>
      <c r="Q10" s="106"/>
      <c r="R10" s="106"/>
      <c r="S10" s="106"/>
      <c r="T10" s="106"/>
      <c r="U10" s="106"/>
      <c r="V10" s="95" t="s">
        <v>79</v>
      </c>
      <c r="W10" s="95" t="s">
        <v>194</v>
      </c>
      <c r="X10" s="95" t="s">
        <v>190</v>
      </c>
      <c r="Y10" s="95" t="s">
        <v>30</v>
      </c>
      <c r="Z10" s="100"/>
      <c r="AA10" s="95"/>
      <c r="AB10" s="109"/>
      <c r="AC10" s="91"/>
    </row>
    <row r="11" customFormat="1" ht="44.25" customHeight="1" spans="1:29">
      <c r="A11" s="95" t="s">
        <v>23</v>
      </c>
      <c r="B11" s="96" t="s">
        <v>196</v>
      </c>
      <c r="C11" s="97"/>
      <c r="D11" s="95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PhotoMode=0;ScanSpeed=1;WlRange=365,355,0.2;</v>
      </c>
      <c r="E11" s="95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黑挡块:Dark|空气:BaseLine|钬溶液:Scan</v>
      </c>
      <c r="F11" s="95">
        <v>1</v>
      </c>
      <c r="G11" s="95"/>
      <c r="H11" s="99">
        <v>361</v>
      </c>
      <c r="I11" s="95" t="str">
        <f>VLOOKUP(J11,字段对应!$D$2:$E$9,2,0)</f>
        <v>Validation.ViewModel.DataStructure.FindPeakAndAverageUVTestTool</v>
      </c>
      <c r="J11" s="96" t="s">
        <v>189</v>
      </c>
      <c r="K11" s="106"/>
      <c r="L11" s="106" t="s">
        <v>80</v>
      </c>
      <c r="M11" s="106" t="s">
        <v>86</v>
      </c>
      <c r="N11" s="106">
        <v>365</v>
      </c>
      <c r="O11" s="106">
        <v>355</v>
      </c>
      <c r="P11" s="106">
        <v>0.2</v>
      </c>
      <c r="Q11" s="106"/>
      <c r="R11" s="106"/>
      <c r="S11" s="106"/>
      <c r="T11" s="106"/>
      <c r="U11" s="106"/>
      <c r="V11" s="95" t="s">
        <v>79</v>
      </c>
      <c r="W11" s="95" t="s">
        <v>194</v>
      </c>
      <c r="X11" s="95" t="s">
        <v>190</v>
      </c>
      <c r="Y11" s="95" t="s">
        <v>30</v>
      </c>
      <c r="Z11" s="100"/>
      <c r="AA11" s="95"/>
      <c r="AB11" s="109"/>
      <c r="AC11" s="91"/>
    </row>
    <row r="12" customFormat="1" ht="44.25" customHeight="1" spans="1:29">
      <c r="A12" s="95" t="s">
        <v>23</v>
      </c>
      <c r="B12" s="96" t="s">
        <v>197</v>
      </c>
      <c r="C12" s="97"/>
      <c r="D12" s="95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PhotoMode=0;ScanSpeed=1;WlRange=420,410,0.2;</v>
      </c>
      <c r="E12" s="95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黑挡块:Dark|空气:BaseLine|钬溶液:Scan</v>
      </c>
      <c r="F12" s="95">
        <v>1</v>
      </c>
      <c r="G12" s="95"/>
      <c r="H12" s="95">
        <v>416.5</v>
      </c>
      <c r="I12" s="95" t="str">
        <f>VLOOKUP(J12,字段对应!$D$2:$E$9,2,0)</f>
        <v>Validation.ViewModel.DataStructure.FindPeakAndAverageUVTestTool</v>
      </c>
      <c r="J12" s="96" t="s">
        <v>189</v>
      </c>
      <c r="K12" s="106"/>
      <c r="L12" s="106" t="s">
        <v>80</v>
      </c>
      <c r="M12" s="106" t="s">
        <v>86</v>
      </c>
      <c r="N12" s="106">
        <v>420</v>
      </c>
      <c r="O12" s="106">
        <v>410</v>
      </c>
      <c r="P12" s="106">
        <v>0.2</v>
      </c>
      <c r="Q12" s="106"/>
      <c r="R12" s="106"/>
      <c r="S12" s="106"/>
      <c r="T12" s="106"/>
      <c r="U12" s="106"/>
      <c r="V12" s="95" t="s">
        <v>79</v>
      </c>
      <c r="W12" s="95" t="s">
        <v>194</v>
      </c>
      <c r="X12" s="95" t="s">
        <v>190</v>
      </c>
      <c r="Y12" s="95" t="s">
        <v>30</v>
      </c>
      <c r="Z12" s="100"/>
      <c r="AA12" s="95"/>
      <c r="AB12" s="109"/>
      <c r="AC12" s="91"/>
    </row>
    <row r="13" customFormat="1" ht="44.25" customHeight="1" spans="1:29">
      <c r="A13" s="95" t="s">
        <v>23</v>
      </c>
      <c r="B13" s="96" t="s">
        <v>198</v>
      </c>
      <c r="C13" s="97"/>
      <c r="D13" s="95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PhotoMode=0;ScanSpeed=1;WlRange=540,530,0.2;</v>
      </c>
      <c r="E13" s="95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黑挡块:Dark|空气:BaseLine|钬溶液:Scan</v>
      </c>
      <c r="F13" s="95">
        <v>1</v>
      </c>
      <c r="G13" s="95"/>
      <c r="H13" s="95">
        <v>536.8</v>
      </c>
      <c r="I13" s="95" t="str">
        <f>VLOOKUP(J13,字段对应!$D$2:$E$9,2,0)</f>
        <v>Validation.ViewModel.DataStructure.FindPeakAndAverageUVTestTool</v>
      </c>
      <c r="J13" s="96" t="s">
        <v>189</v>
      </c>
      <c r="K13" s="106"/>
      <c r="L13" s="106" t="s">
        <v>80</v>
      </c>
      <c r="M13" s="106" t="s">
        <v>86</v>
      </c>
      <c r="N13" s="106">
        <v>540</v>
      </c>
      <c r="O13" s="106">
        <v>530</v>
      </c>
      <c r="P13" s="106">
        <v>0.2</v>
      </c>
      <c r="Q13" s="106"/>
      <c r="R13" s="106"/>
      <c r="S13" s="106"/>
      <c r="T13" s="106"/>
      <c r="U13" s="106"/>
      <c r="V13" s="95" t="s">
        <v>79</v>
      </c>
      <c r="W13" s="95" t="s">
        <v>194</v>
      </c>
      <c r="X13" s="95" t="s">
        <v>190</v>
      </c>
      <c r="Y13" s="95" t="s">
        <v>30</v>
      </c>
      <c r="Z13" s="100"/>
      <c r="AA13" s="95"/>
      <c r="AB13" s="109"/>
      <c r="AC13" s="91"/>
    </row>
    <row r="14" customFormat="1" ht="44.25" customHeight="1" spans="1:29">
      <c r="A14" s="95" t="s">
        <v>23</v>
      </c>
      <c r="B14" s="96" t="s">
        <v>199</v>
      </c>
      <c r="C14" s="97"/>
      <c r="D14" s="95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PhotoMode=0;ScanSpeed=1;WlRange=645,635,0.2;</v>
      </c>
      <c r="E14" s="95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黑挡块:Dark|空气:BaseLine|钬溶液:Scan</v>
      </c>
      <c r="F14" s="95">
        <v>1</v>
      </c>
      <c r="G14" s="95"/>
      <c r="H14" s="95">
        <v>640.7</v>
      </c>
      <c r="I14" s="95" t="str">
        <f>VLOOKUP(J14,字段对应!$D$2:$E$9,2,0)</f>
        <v>Validation.ViewModel.DataStructure.FindPeakAndAverageUVTestTool</v>
      </c>
      <c r="J14" s="96" t="s">
        <v>189</v>
      </c>
      <c r="K14" s="106"/>
      <c r="L14" s="106" t="s">
        <v>80</v>
      </c>
      <c r="M14" s="106" t="s">
        <v>86</v>
      </c>
      <c r="N14" s="106">
        <v>645</v>
      </c>
      <c r="O14" s="106">
        <v>635</v>
      </c>
      <c r="P14" s="106">
        <v>0.2</v>
      </c>
      <c r="Q14" s="106"/>
      <c r="R14" s="106"/>
      <c r="S14" s="106"/>
      <c r="T14" s="106"/>
      <c r="U14" s="106"/>
      <c r="V14" s="95" t="s">
        <v>79</v>
      </c>
      <c r="W14" s="95" t="s">
        <v>194</v>
      </c>
      <c r="X14" s="95" t="s">
        <v>190</v>
      </c>
      <c r="Y14" s="95" t="s">
        <v>30</v>
      </c>
      <c r="Z14" s="100"/>
      <c r="AA14" s="95"/>
      <c r="AB14" s="109"/>
      <c r="AC14" s="91"/>
    </row>
    <row r="15" customFormat="1" ht="44.25" customHeight="1" spans="1:29">
      <c r="A15" s="95" t="s">
        <v>23</v>
      </c>
      <c r="B15" s="96" t="s">
        <v>31</v>
      </c>
      <c r="C15" s="97"/>
      <c r="D15" s="95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PhotoMode=0;ScanSpeed=1;WlRange=810,800,0.2;</v>
      </c>
      <c r="E15" s="95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黑挡块:Dark|空气:BaseLine|镨钕滤光片:Scan</v>
      </c>
      <c r="F15" s="95">
        <v>1</v>
      </c>
      <c r="G15" s="95"/>
      <c r="H15" s="95">
        <v>807.4</v>
      </c>
      <c r="I15" s="95" t="str">
        <f>VLOOKUP(J15,字段对应!$D$2:$E$9,2,0)</f>
        <v>Validation.ViewModel.DataStructure.FindPeakAndAverageUVTestTool</v>
      </c>
      <c r="J15" s="96" t="s">
        <v>189</v>
      </c>
      <c r="K15" s="106"/>
      <c r="L15" s="106" t="s">
        <v>80</v>
      </c>
      <c r="M15" s="106" t="s">
        <v>86</v>
      </c>
      <c r="N15" s="106">
        <v>810</v>
      </c>
      <c r="O15" s="106">
        <v>800</v>
      </c>
      <c r="P15" s="106">
        <v>0.2</v>
      </c>
      <c r="Q15" s="106"/>
      <c r="R15" s="106"/>
      <c r="S15" s="106"/>
      <c r="T15" s="106"/>
      <c r="U15" s="106"/>
      <c r="V15" s="95" t="s">
        <v>79</v>
      </c>
      <c r="W15" s="95" t="s">
        <v>194</v>
      </c>
      <c r="X15" s="95" t="s">
        <v>190</v>
      </c>
      <c r="Y15" s="95" t="s">
        <v>31</v>
      </c>
      <c r="Z15" s="100"/>
      <c r="AA15" s="95"/>
      <c r="AB15" s="109"/>
      <c r="AC15" s="91"/>
    </row>
    <row r="16" ht="44.25" customHeight="1" spans="1:28">
      <c r="A16" s="95" t="s">
        <v>41</v>
      </c>
      <c r="B16" s="96" t="s">
        <v>192</v>
      </c>
      <c r="C16" s="97"/>
      <c r="D16" s="95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PhotoMode=2;ScanSpeed=1;WlRange=660,650,0.2;Gain=5;LampPos=1</v>
      </c>
      <c r="E16" s="95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空气:Scan</v>
      </c>
      <c r="F16" s="95">
        <v>1</v>
      </c>
      <c r="G16" s="95"/>
      <c r="H16" s="95" t="s">
        <v>129</v>
      </c>
      <c r="I16" s="95" t="str">
        <f>VLOOKUP(J16,字段对应!$D$2:$E$9,2,0)</f>
        <v>Validation.ViewModel.DataStructure.FindPeakAndAverageUVTestTool</v>
      </c>
      <c r="J16" s="96" t="s">
        <v>189</v>
      </c>
      <c r="K16" s="106" t="s">
        <v>29</v>
      </c>
      <c r="L16" s="106" t="s">
        <v>90</v>
      </c>
      <c r="M16" s="106" t="s">
        <v>86</v>
      </c>
      <c r="N16" s="106">
        <v>660</v>
      </c>
      <c r="O16" s="106">
        <v>650</v>
      </c>
      <c r="P16" s="106">
        <v>0.2</v>
      </c>
      <c r="Q16" s="106">
        <v>5</v>
      </c>
      <c r="R16" s="106"/>
      <c r="S16" s="106"/>
      <c r="T16" s="106"/>
      <c r="U16" s="106"/>
      <c r="V16" s="95" t="s">
        <v>79</v>
      </c>
      <c r="W16" s="95"/>
      <c r="X16" s="95"/>
      <c r="Y16" s="95" t="s">
        <v>190</v>
      </c>
      <c r="Z16" s="100" t="e">
        <f>VLOOKUP(A16,对应信息!$D$2:$E$11,2,0)</f>
        <v>#N/A</v>
      </c>
      <c r="AA16" s="95" t="e">
        <f>IF(Z1=Z16,AA1+1,Z16+1)</f>
        <v>#N/A</v>
      </c>
      <c r="AB16" s="109"/>
    </row>
    <row r="17" ht="44.25" customHeight="1" spans="1:28">
      <c r="A17" s="95" t="s">
        <v>41</v>
      </c>
      <c r="B17" s="96" t="s">
        <v>191</v>
      </c>
      <c r="C17" s="97"/>
      <c r="D17" s="95" t="str">
        <f>IF(L17="","",字段对应!$B$10&amp;"="&amp;VLOOKUP(L17,基础信息!$I$2:$J$6,2,0)&amp;";")&amp;IF(M17="","",字段对应!$B$11&amp;"="&amp;VLOOKUP(M17,基础信息!$K$2:$L$6,2,0)&amp;";")&amp;IF(N17="","",字段对应!$C$2&amp;"="&amp;N17&amp;","&amp;O17&amp;","&amp;P17&amp;";")&amp;IF(Q17="","",字段对应!$B$13&amp;"="&amp;Q17&amp;";")&amp;IF(R17="","",字段对应!$B$14&amp;"="&amp;R17&amp;";")&amp;IF(U17="","",字段对应!$B$22&amp;"="&amp;U17&amp;";")&amp;IF(K17="","",字段对应!$B$21&amp;"="&amp;VLOOKUP(K17,基础信息!$F$2:$G$4,2,0))</f>
        <v>PhotoMode=2;ScanSpeed=1;WlRange=490,480,0.2;Gain=5;LampPos=1</v>
      </c>
      <c r="E17" s="95" t="str">
        <f>IF(W17="","",检测项信息!W17&amp;":"&amp;字段对应!$B$16&amp;"|")&amp;IF(X17="","",X17&amp;":"&amp;IF(V17="是",字段对应!$C$17,字段对应!$B$17&amp;";"&amp;IF(H17="","",字段对应!$B$15&amp;"="&amp;检测项信息!H17))&amp;"|")&amp;IF(Y17="",":",Y17&amp;":")&amp;IF(V17="是",字段对应!$C$18,字段对应!$B$18&amp;";"&amp;IF(H17="","",字段对应!$B$15&amp;"="&amp;检测项信息!H17)&amp;IF(AND(T17="",S17=""),"",";"&amp;字段对应!$B$20&amp;"="&amp;T17&amp;";"&amp;字段对应!$B$19&amp;"="&amp;S17))</f>
        <v>空气:Scan</v>
      </c>
      <c r="F17" s="95">
        <v>1</v>
      </c>
      <c r="G17" s="95"/>
      <c r="H17" s="96">
        <v>486</v>
      </c>
      <c r="I17" s="95" t="str">
        <f>VLOOKUP(J17,字段对应!$D$2:$E$9,2,0)</f>
        <v>Validation.ViewModel.DataStructure.FindPeakAndAverageUVTestTool</v>
      </c>
      <c r="J17" s="96" t="s">
        <v>189</v>
      </c>
      <c r="K17" s="106" t="s">
        <v>29</v>
      </c>
      <c r="L17" s="106" t="s">
        <v>90</v>
      </c>
      <c r="M17" s="106" t="s">
        <v>86</v>
      </c>
      <c r="N17" s="106">
        <v>490</v>
      </c>
      <c r="O17" s="106">
        <v>480</v>
      </c>
      <c r="P17" s="106">
        <v>0.2</v>
      </c>
      <c r="Q17" s="106">
        <v>5</v>
      </c>
      <c r="R17" s="106"/>
      <c r="S17" s="106"/>
      <c r="T17" s="106"/>
      <c r="U17" s="106"/>
      <c r="V17" s="95" t="s">
        <v>79</v>
      </c>
      <c r="W17" s="95"/>
      <c r="X17" s="95"/>
      <c r="Y17" s="95" t="s">
        <v>190</v>
      </c>
      <c r="Z17" s="100" t="e">
        <f>VLOOKUP(A17,对应信息!$D$2:$E$11,2,0)</f>
        <v>#N/A</v>
      </c>
      <c r="AA17" s="95" t="e">
        <f>IF(Z16=Z17,AA16+1,Z17+1)</f>
        <v>#N/A</v>
      </c>
      <c r="AB17" s="109"/>
    </row>
    <row r="18" ht="46.5" customHeight="1" spans="1:28">
      <c r="A18" s="95" t="s">
        <v>41</v>
      </c>
      <c r="B18" s="95" t="s">
        <v>31</v>
      </c>
      <c r="C18" s="95"/>
      <c r="D18" s="95" t="str">
        <f>IF(L18="","",字段对应!$B$10&amp;"="&amp;VLOOKUP(L18,基础信息!$I$2:$J$6,2,0)&amp;";")&amp;IF(M18="","",字段对应!$B$11&amp;"="&amp;VLOOKUP(M18,基础信息!$K$2:$L$6,2,0)&amp;";")&amp;IF(N18="","",字段对应!$C$2&amp;"="&amp;N18&amp;","&amp;O18&amp;","&amp;P18&amp;";")&amp;IF(Q18="","",字段对应!$B$13&amp;"="&amp;Q18&amp;";")&amp;IF(R18="","",字段对应!$B$14&amp;"="&amp;R18&amp;";")&amp;IF(U18="","",字段对应!$B$22&amp;"="&amp;U18&amp;";")&amp;IF(K18="","",字段对应!$B$21&amp;"="&amp;VLOOKUP(K18,基础信息!$F$2:$G$4,2,0))</f>
        <v>PhotoMode=0;ScanSpeed=1;WlRange=810,800,0.2;Gain=1;LampPos=0</v>
      </c>
      <c r="E18" s="95" t="str">
        <f>IF(W18="","",检测项信息!W18&amp;":"&amp;字段对应!$B$16&amp;"|")&amp;IF(X18="","",X18&amp;":"&amp;IF(V18="是",字段对应!$C$17,字段对应!$B$17&amp;";"&amp;IF(H18="","",字段对应!$B$15&amp;"="&amp;检测项信息!H18))&amp;"|")&amp;IF(Y18="",":",Y18&amp;":")&amp;IF(V18="是",字段对应!$C$18,字段对应!$B$18&amp;";"&amp;IF(H18="","",字段对应!$B$15&amp;"="&amp;检测项信息!H18)&amp;IF(AND(T18="",S18=""),"",";"&amp;字段对应!$B$20&amp;"="&amp;T18&amp;";"&amp;字段对应!$B$19&amp;"="&amp;S18))</f>
        <v>黑挡块:Dark|空气:BaseLine|镨钕滤光片:Scan</v>
      </c>
      <c r="F18" s="95">
        <v>1</v>
      </c>
      <c r="G18" s="95"/>
      <c r="H18" s="95" t="s">
        <v>130</v>
      </c>
      <c r="I18" s="95" t="str">
        <f>VLOOKUP(J18,字段对应!$D$2:$E$9,2,0)</f>
        <v>Validation.ViewModel.DataStructure.FindPeakAndAverageUVTestTool</v>
      </c>
      <c r="J18" s="96" t="s">
        <v>189</v>
      </c>
      <c r="K18" s="106" t="s">
        <v>39</v>
      </c>
      <c r="L18" s="106" t="s">
        <v>80</v>
      </c>
      <c r="M18" s="106" t="s">
        <v>86</v>
      </c>
      <c r="N18" s="106">
        <v>810</v>
      </c>
      <c r="O18" s="106">
        <v>800</v>
      </c>
      <c r="P18" s="106">
        <v>0.2</v>
      </c>
      <c r="Q18" s="106">
        <v>1</v>
      </c>
      <c r="R18" s="106"/>
      <c r="S18" s="106"/>
      <c r="T18" s="106"/>
      <c r="U18" s="106"/>
      <c r="V18" s="95" t="s">
        <v>79</v>
      </c>
      <c r="W18" s="95" t="s">
        <v>194</v>
      </c>
      <c r="X18" s="95" t="s">
        <v>190</v>
      </c>
      <c r="Y18" s="95" t="s">
        <v>31</v>
      </c>
      <c r="Z18" s="100" t="e">
        <f>VLOOKUP(A18,对应信息!$D$2:$E$11,2,0)</f>
        <v>#N/A</v>
      </c>
      <c r="AA18" s="95" t="e">
        <f>IF(Z17=Z18,AA17+1,Z18+1)</f>
        <v>#N/A</v>
      </c>
      <c r="AB18" s="109"/>
    </row>
    <row r="19" ht="44.25" customHeight="1" spans="1:28">
      <c r="A19" s="95" t="s">
        <v>41</v>
      </c>
      <c r="B19" s="96" t="s">
        <v>30</v>
      </c>
      <c r="C19" s="95"/>
      <c r="D19" s="95" t="str">
        <f>IF(L19="","",字段对应!$B$10&amp;"="&amp;VLOOKUP(L19,基础信息!$I$2:$J$6,2,0)&amp;";")&amp;IF(M19="","",字段对应!$B$11&amp;"="&amp;VLOOKUP(M19,基础信息!$K$2:$L$6,2,0)&amp;";")&amp;IF(N19="","",字段对应!$C$2&amp;"="&amp;N19&amp;","&amp;O19&amp;","&amp;P19&amp;";")&amp;IF(Q19="","",字段对应!$B$13&amp;"="&amp;Q19&amp;";")&amp;IF(R19="","",字段对应!$B$14&amp;"="&amp;R19&amp;";")&amp;IF(U19="","",字段对应!$B$22&amp;"="&amp;U19&amp;";")&amp;IF(K19="","",字段对应!$B$21&amp;"="&amp;VLOOKUP(K19,基础信息!$F$2:$G$4,2,0))</f>
        <v>PhotoMode=0;ScanSpeed=1;WlRange=645,235,0.2;</v>
      </c>
      <c r="E19" s="95" t="str">
        <f>IF(W19="","",检测项信息!W19&amp;":"&amp;字段对应!$B$16&amp;"|")&amp;IF(X19="","",X19&amp;":"&amp;IF(V19="是",字段对应!$C$17,字段对应!$B$17&amp;";"&amp;IF(H19="","",字段对应!$B$15&amp;"="&amp;检测项信息!H19))&amp;"|")&amp;IF(Y19="",":",Y19&amp;":")&amp;IF(V19="是",字段对应!$C$18,字段对应!$B$18&amp;";"&amp;IF(H19="","",字段对应!$B$15&amp;"="&amp;检测项信息!H19)&amp;IF(AND(T19="",S19=""),"",";"&amp;字段对应!$B$20&amp;"="&amp;T19&amp;";"&amp;字段对应!$B$19&amp;"="&amp;S19))</f>
        <v>黑挡块:Dark|空气:BaseLine|钬溶液:Scan</v>
      </c>
      <c r="F19" s="95">
        <v>1</v>
      </c>
      <c r="G19" s="95"/>
      <c r="H19" s="96" t="s">
        <v>200</v>
      </c>
      <c r="I19" s="95" t="str">
        <f>VLOOKUP(J19,字段对应!$D$2:$E$9,2,0)</f>
        <v>Validation.ViewModel.DataStructure.FindPeakAndAverageUVTestTool</v>
      </c>
      <c r="J19" s="96" t="s">
        <v>189</v>
      </c>
      <c r="K19" s="107"/>
      <c r="L19" s="106" t="s">
        <v>80</v>
      </c>
      <c r="M19" s="106" t="s">
        <v>86</v>
      </c>
      <c r="N19" s="106">
        <v>645</v>
      </c>
      <c r="O19" s="106">
        <v>235</v>
      </c>
      <c r="P19" s="106">
        <v>0.2</v>
      </c>
      <c r="Q19" s="106"/>
      <c r="R19" s="106"/>
      <c r="S19" s="106"/>
      <c r="T19" s="106"/>
      <c r="U19" s="106"/>
      <c r="V19" s="95" t="s">
        <v>79</v>
      </c>
      <c r="W19" s="95" t="s">
        <v>194</v>
      </c>
      <c r="X19" s="95" t="s">
        <v>190</v>
      </c>
      <c r="Y19" s="95" t="s">
        <v>30</v>
      </c>
      <c r="Z19" s="100" t="e">
        <f>VLOOKUP(A19,对应信息!$D$2:$E$11,2,0)</f>
        <v>#N/A</v>
      </c>
      <c r="AA19" s="95" t="e">
        <f>IF(Z18=Z19,AA18+1,Z19+1)</f>
        <v>#N/A</v>
      </c>
      <c r="AB19" s="109"/>
    </row>
    <row r="20" ht="28.8" spans="1:28">
      <c r="A20" s="95" t="s">
        <v>147</v>
      </c>
      <c r="B20" s="96" t="s">
        <v>57</v>
      </c>
      <c r="C20" s="95"/>
      <c r="D20" s="95" t="str">
        <f>IF(L20="","",字段对应!$B$10&amp;"="&amp;VLOOKUP(L20,基础信息!$I$2:$J$6,2,0)&amp;";")&amp;IF(M20="","",字段对应!$B$11&amp;"="&amp;VLOOKUP(M20,基础信息!$K$2:$L$6,2,0)&amp;";")&amp;IF(N20="","",字段对应!$C$2&amp;"="&amp;N20&amp;","&amp;O20&amp;","&amp;P20&amp;";")&amp;IF(Q20="","",字段对应!$B$13&amp;"="&amp;Q20&amp;";")&amp;IF(R20="","",字段对应!$B$14&amp;"="&amp;R20&amp;";")&amp;IF(U20="","",字段对应!$B$22&amp;"="&amp;U20&amp;";")&amp;IF(K20="","",字段对应!$B$21&amp;"="&amp;VLOOKUP(K20,基础信息!$F$2:$G$4,2,0))</f>
        <v>PhotoMode=0;ScanSpeed=0;WlRange=1090,200,1;</v>
      </c>
      <c r="E20" s="95" t="str">
        <f>IF(W20="","",检测项信息!W20&amp;":"&amp;字段对应!$B$16&amp;"|")&amp;IF(X20="","",X20&amp;":"&amp;IF(V20="是",字段对应!$C$17,字段对应!$B$17&amp;";"&amp;IF(H20="","",字段对应!$B$15&amp;"="&amp;检测项信息!H20))&amp;"|")&amp;IF(Y20="",":",Y20&amp;":")&amp;IF(V20="是",字段对应!$C$18,字段对应!$B$18&amp;";"&amp;IF(H20="","",字段对应!$B$15&amp;"="&amp;检测项信息!H20)&amp;IF(AND(T20="",S20=""),"",";"&amp;字段对应!$B$20&amp;"="&amp;T20&amp;";"&amp;字段对应!$B$19&amp;"="&amp;S20))</f>
        <v>黑挡块:Dark|空气:BaseLine|空气:Scan</v>
      </c>
      <c r="F20" s="95">
        <v>1</v>
      </c>
      <c r="G20" s="95"/>
      <c r="H20" s="95"/>
      <c r="I20" s="95" t="str">
        <f>VLOOKUP(J20,字段对应!$D$2:$E$9,2,0)</f>
        <v>Validation.ViewModel.DataStructure.GetMaxDIstanceUVTestTool</v>
      </c>
      <c r="J20" s="95" t="s">
        <v>201</v>
      </c>
      <c r="K20" s="106"/>
      <c r="L20" s="106" t="s">
        <v>80</v>
      </c>
      <c r="M20" s="106" t="s">
        <v>81</v>
      </c>
      <c r="N20" s="106">
        <v>1090</v>
      </c>
      <c r="O20" s="106">
        <v>200</v>
      </c>
      <c r="P20" s="106">
        <v>1</v>
      </c>
      <c r="Q20" s="106"/>
      <c r="R20" s="106"/>
      <c r="S20" s="106"/>
      <c r="T20" s="106"/>
      <c r="U20" s="106"/>
      <c r="V20" s="95" t="s">
        <v>79</v>
      </c>
      <c r="W20" s="95" t="s">
        <v>194</v>
      </c>
      <c r="X20" s="95" t="s">
        <v>190</v>
      </c>
      <c r="Y20" s="95" t="s">
        <v>190</v>
      </c>
      <c r="Z20" s="100">
        <f>VLOOKUP(A20,对应信息!$D$2:$E$11,2,0)</f>
        <v>4000</v>
      </c>
      <c r="AA20" s="95" t="e">
        <f>IF(#REF!=Z20,#REF!+1,Z20+1)</f>
        <v>#REF!</v>
      </c>
      <c r="AB20" s="109"/>
    </row>
    <row r="21" ht="39.75" customHeight="1" spans="1:28">
      <c r="A21" s="95" t="s">
        <v>146</v>
      </c>
      <c r="B21" s="96" t="s">
        <v>202</v>
      </c>
      <c r="C21" s="95"/>
      <c r="D21" s="95" t="str">
        <f>IF(L21="","",字段对应!$B$10&amp;"="&amp;VLOOKUP(L21,基础信息!$I$2:$J$6,2,0)&amp;";")&amp;IF(M21="","",字段对应!$B$11&amp;"="&amp;VLOOKUP(M21,基础信息!$K$2:$L$6,2,0)&amp;";")&amp;IF(N21="","",字段对应!$C$2&amp;"="&amp;N21&amp;","&amp;O21&amp;","&amp;P21&amp;";")&amp;IF(Q21="","",字段对应!$B$13&amp;"="&amp;Q21&amp;";")&amp;IF(R21="","",字段对应!$B$14&amp;"="&amp;R21&amp;";")&amp;IF(U21="","",字段对应!$B$22&amp;"="&amp;U21&amp;";")&amp;IF(K21="","",字段对应!$B$21&amp;"="&amp;VLOOKUP(K21,基础信息!$F$2:$G$4,2,0))</f>
        <v>PhotoMode=1;ScanSpeed=1;</v>
      </c>
      <c r="E21" s="95" t="str">
        <f>IF(W21="","",检测项信息!W21&amp;":"&amp;字段对应!$B$16&amp;"|")&amp;IF(X21="","",X21&amp;":"&amp;IF(V21="是",字段对应!$C$17,字段对应!$B$17&amp;";"&amp;IF(H21="","",字段对应!$B$15&amp;"="&amp;检测项信息!H21))&amp;"|")&amp;IF(Y21="",":",Y21&amp;":")&amp;IF(V21="是",字段对应!$C$18,字段对应!$B$18&amp;";"&amp;IF(H21="","",字段对应!$B$15&amp;"="&amp;检测项信息!H21)&amp;IF(AND(T21="",S21=""),"",";"&amp;字段对应!$B$20&amp;"="&amp;T21&amp;";"&amp;字段对应!$B$19&amp;"="&amp;S21))</f>
        <v>黑挡块:Dark|碘化钠空白溶液:Zero;Wl=220|碘化钠溶液:Measure;Wl=220</v>
      </c>
      <c r="F21" s="95">
        <v>3</v>
      </c>
      <c r="G21" s="95">
        <v>1</v>
      </c>
      <c r="H21" s="95" t="s">
        <v>203</v>
      </c>
      <c r="I21" s="95" t="str">
        <f>VLOOKUP(J21,字段对应!$D$2:$E$9,2,0)</f>
        <v>Validation.ViewModel.DataStructure.WlPointsUVTestTool</v>
      </c>
      <c r="J21" s="95" t="s">
        <v>204</v>
      </c>
      <c r="K21" s="106"/>
      <c r="L21" s="106" t="s">
        <v>85</v>
      </c>
      <c r="M21" s="106" t="s">
        <v>86</v>
      </c>
      <c r="N21" s="106"/>
      <c r="O21" s="106"/>
      <c r="P21" s="106"/>
      <c r="Q21" s="106"/>
      <c r="R21" s="106"/>
      <c r="S21" s="106"/>
      <c r="T21" s="106"/>
      <c r="U21" s="106"/>
      <c r="V21" s="95" t="s">
        <v>83</v>
      </c>
      <c r="W21" s="95" t="s">
        <v>194</v>
      </c>
      <c r="X21" s="96" t="s">
        <v>205</v>
      </c>
      <c r="Y21" s="95" t="s">
        <v>108</v>
      </c>
      <c r="Z21" s="100">
        <f>VLOOKUP(A21,对应信息!$D$2:$E$11,2,0)</f>
        <v>3000</v>
      </c>
      <c r="AA21" s="95" t="e">
        <f>IF(#REF!=Z21,#REF!+1,Z21+1)</f>
        <v>#REF!</v>
      </c>
      <c r="AB21" s="109"/>
    </row>
    <row r="22" ht="28.8" spans="1:28">
      <c r="A22" s="95" t="s">
        <v>146</v>
      </c>
      <c r="B22" s="96" t="s">
        <v>206</v>
      </c>
      <c r="C22" s="95"/>
      <c r="D22" s="95" t="str">
        <f>IF(L22="","",字段对应!$B$10&amp;"="&amp;VLOOKUP(L22,基础信息!$I$2:$J$6,2,0)&amp;";")&amp;IF(M22="","",字段对应!$B$11&amp;"="&amp;VLOOKUP(M22,基础信息!$K$2:$L$6,2,0)&amp;";")&amp;IF(N22="","",字段对应!$C$2&amp;"="&amp;N22&amp;","&amp;O22&amp;","&amp;P22&amp;";")&amp;IF(Q22="","",字段对应!$B$13&amp;"="&amp;Q22&amp;";")&amp;IF(R22="","",字段对应!$B$14&amp;"="&amp;R22&amp;";")&amp;IF(U22="","",字段对应!$B$22&amp;"="&amp;U22&amp;";")&amp;IF(K22="","",字段对应!$B$21&amp;"="&amp;VLOOKUP(K22,基础信息!$F$2:$G$4,2,0))</f>
        <v>PhotoMode=1;ScanSpeed=1;</v>
      </c>
      <c r="E22" s="95" t="str">
        <f>IF(W22="","",检测项信息!W22&amp;":"&amp;字段对应!$B$16&amp;"|")&amp;IF(X22="","",X22&amp;":"&amp;IF(V22="是",字段对应!$C$17,字段对应!$B$17&amp;";"&amp;IF(H22="","",字段对应!$B$15&amp;"="&amp;检测项信息!H22))&amp;"|")&amp;IF(Y22="",":",Y22&amp;":")&amp;IF(V22="是",字段对应!$C$18,字段对应!$B$18&amp;";"&amp;IF(H22="","",字段对应!$B$15&amp;"="&amp;检测项信息!H22)&amp;IF(AND(T22="",S22=""),"",";"&amp;字段对应!$B$20&amp;"="&amp;T22&amp;";"&amp;字段对应!$B$19&amp;"="&amp;S22))</f>
        <v>黑挡块:Dark|亚硝酸钠空白溶液:Zero;Wl=360|亚硝酸钠溶液:Measure;Wl=360</v>
      </c>
      <c r="F22" s="95">
        <v>3</v>
      </c>
      <c r="G22" s="95">
        <v>1</v>
      </c>
      <c r="H22" s="95" t="s">
        <v>207</v>
      </c>
      <c r="I22" s="95" t="str">
        <f>VLOOKUP(J22,字段对应!$D$2:$E$9,2,0)</f>
        <v>Validation.ViewModel.DataStructure.WlPointsUVTestTool</v>
      </c>
      <c r="J22" s="95" t="s">
        <v>204</v>
      </c>
      <c r="K22" s="106"/>
      <c r="L22" s="106" t="s">
        <v>85</v>
      </c>
      <c r="M22" s="106" t="s">
        <v>86</v>
      </c>
      <c r="N22" s="106"/>
      <c r="O22" s="106"/>
      <c r="P22" s="106"/>
      <c r="Q22" s="106"/>
      <c r="R22" s="107"/>
      <c r="S22" s="106"/>
      <c r="T22" s="106"/>
      <c r="U22" s="106"/>
      <c r="V22" s="95" t="s">
        <v>83</v>
      </c>
      <c r="W22" s="95" t="s">
        <v>194</v>
      </c>
      <c r="X22" s="96" t="s">
        <v>208</v>
      </c>
      <c r="Y22" s="95" t="s">
        <v>109</v>
      </c>
      <c r="Z22" s="100">
        <f>VLOOKUP(A22,对应信息!$D$2:$E$11,2,0)</f>
        <v>3000</v>
      </c>
      <c r="AA22" s="95" t="e">
        <f>IF(Z21=Z22,AA21+1,Z22+1)</f>
        <v>#REF!</v>
      </c>
      <c r="AB22" s="109"/>
    </row>
    <row r="23" s="89" customFormat="1" ht="40.5" customHeight="1" spans="1:29">
      <c r="A23" s="100" t="s">
        <v>146</v>
      </c>
      <c r="B23" s="101" t="s">
        <v>209</v>
      </c>
      <c r="C23" s="100"/>
      <c r="D23" s="100" t="str">
        <f>IF(L23="","",字段对应!$B$10&amp;"="&amp;VLOOKUP(L23,基础信息!$I$2:$J$6,2,0)&amp;";")&amp;IF(M23="","",字段对应!$B$11&amp;"="&amp;VLOOKUP(M23,基础信息!$K$2:$L$6,2,0)&amp;";")&amp;IF(N23="","",字段对应!$C$2&amp;"="&amp;N23&amp;","&amp;O23&amp;","&amp;P23&amp;";")&amp;IF(Q23="","",字段对应!$B$13&amp;"="&amp;Q23&amp;";")&amp;IF(R23="","",字段对应!$B$14&amp;"="&amp;R23&amp;";")&amp;IF(U23="","",字段对应!$B$22&amp;"="&amp;U23&amp;";")&amp;IF(K23="","",字段对应!$B$21&amp;"="&amp;VLOOKUP(K23,基础信息!$F$2:$G$4,2,0))</f>
        <v>PhotoMode=0;ScanSpeed=1;</v>
      </c>
      <c r="E23" s="100" t="str">
        <f>IF(W23="","",检测项信息!W23&amp;":"&amp;字段对应!$B$16&amp;"|")&amp;IF(X23="","",X23&amp;":"&amp;IF(V23="是",字段对应!$C$17,字段对应!$B$17&amp;";"&amp;IF(H23="","",字段对应!$B$15&amp;"="&amp;检测项信息!H23))&amp;"|")&amp;IF(Y23="",":",Y23&amp;":")&amp;IF(V23="是",字段对应!$C$18,字段对应!$B$18&amp;";"&amp;IF(H23="","",字段对应!$B$15&amp;"="&amp;检测项信息!H23)&amp;IF(AND(T23="",S23=""),"",";"&amp;字段对应!$B$20&amp;"="&amp;T23&amp;";"&amp;字段对应!$B$19&amp;"="&amp;S23))</f>
        <v>黑挡块:Dark|氯化钾空白溶液:Zero;Wl=200,199,198|氯化钾溶液:Measure;Wl=200,199,198</v>
      </c>
      <c r="F23" s="100">
        <v>3</v>
      </c>
      <c r="G23" s="100">
        <v>1</v>
      </c>
      <c r="H23" s="102" t="s">
        <v>210</v>
      </c>
      <c r="I23" s="100" t="str">
        <f>VLOOKUP(J23,字段对应!$D$2:$E$9,2,0)</f>
        <v>Validation.ViewModel.DataStructure.WlPointsUVTestTool</v>
      </c>
      <c r="J23" s="100" t="s">
        <v>204</v>
      </c>
      <c r="K23" s="106"/>
      <c r="L23" s="106" t="s">
        <v>80</v>
      </c>
      <c r="M23" s="106" t="s">
        <v>86</v>
      </c>
      <c r="N23" s="106"/>
      <c r="O23" s="106"/>
      <c r="P23" s="106"/>
      <c r="Q23" s="106"/>
      <c r="R23" s="106"/>
      <c r="S23" s="106"/>
      <c r="T23" s="106"/>
      <c r="U23" s="106"/>
      <c r="V23" s="100" t="s">
        <v>83</v>
      </c>
      <c r="W23" s="100" t="s">
        <v>194</v>
      </c>
      <c r="X23" s="101" t="s">
        <v>211</v>
      </c>
      <c r="Y23" s="101" t="s">
        <v>212</v>
      </c>
      <c r="Z23" s="100">
        <f>VLOOKUP(A23,对应信息!$D$2:$E$11,2,0)</f>
        <v>3000</v>
      </c>
      <c r="AA23" s="100" t="e">
        <f>IF(Z22=Z23,AA22+1,Z23+1)</f>
        <v>#REF!</v>
      </c>
      <c r="AB23" s="110"/>
      <c r="AC23" s="111" t="s">
        <v>213</v>
      </c>
    </row>
    <row r="29" spans="5:5">
      <c r="E29" s="103"/>
    </row>
  </sheetData>
  <dataValidations count="9">
    <dataValidation type="list" allowBlank="1" showInputMessage="1" showErrorMessage="1" sqref="J$1:J$1048576">
      <formula1>字段对应!$D$2:$D$9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29" sqref="C29"/>
    </sheetView>
  </sheetViews>
  <sheetFormatPr defaultColWidth="9" defaultRowHeight="14.4" outlineLevelCol="4"/>
  <cols>
    <col min="1" max="1" width="22.6666666666667" customWidth="1"/>
    <col min="2" max="2" width="44.6666666666667" customWidth="1"/>
    <col min="3" max="3" width="22.6666666666667" customWidth="1"/>
    <col min="4" max="5" width="5.44444444444444" customWidth="1"/>
    <col min="6" max="9" width="22.6666666666667" customWidth="1"/>
  </cols>
  <sheetData>
    <row r="1" spans="1:5">
      <c r="A1" s="83" t="s">
        <v>214</v>
      </c>
      <c r="B1" s="83" t="s">
        <v>215</v>
      </c>
      <c r="C1" s="83" t="s">
        <v>216</v>
      </c>
      <c r="D1" s="83" t="s">
        <v>217</v>
      </c>
      <c r="E1" s="83" t="s">
        <v>218</v>
      </c>
    </row>
    <row r="2" spans="1:5">
      <c r="A2" s="59" t="str">
        <f ca="1" t="shared" ref="A2:A18" si="0">MID(CELL("filename"),FIND("[",CELL("filename"),1)+1,FIND(".",CELL("filename"),1)-FIND("[",CELL("filename"),1)-1)</f>
        <v>T500</v>
      </c>
      <c r="B2" s="84" t="s">
        <v>219</v>
      </c>
      <c r="C2" s="85"/>
      <c r="D2" s="59"/>
      <c r="E2" s="59"/>
    </row>
    <row r="3" spans="1:5">
      <c r="A3" s="59" t="str">
        <f ca="1" t="shared" si="0"/>
        <v>T500</v>
      </c>
      <c r="B3" s="86" t="s">
        <v>220</v>
      </c>
      <c r="C3" s="85"/>
      <c r="D3" s="59"/>
      <c r="E3" s="59"/>
    </row>
    <row r="4" spans="1:5">
      <c r="A4" s="59" t="str">
        <f ca="1" t="shared" si="0"/>
        <v>T500</v>
      </c>
      <c r="B4" s="86" t="s">
        <v>221</v>
      </c>
      <c r="C4" s="85"/>
      <c r="D4" s="59"/>
      <c r="E4" s="59"/>
    </row>
    <row r="5" spans="1:5">
      <c r="A5" s="59" t="str">
        <f ca="1" t="shared" si="0"/>
        <v>T500</v>
      </c>
      <c r="B5" s="86" t="s">
        <v>222</v>
      </c>
      <c r="C5" s="85"/>
      <c r="D5" s="59"/>
      <c r="E5" s="59"/>
    </row>
    <row r="6" spans="1:5">
      <c r="A6" s="59" t="str">
        <f ca="1" t="shared" si="0"/>
        <v>T500</v>
      </c>
      <c r="B6" s="86" t="s">
        <v>223</v>
      </c>
      <c r="C6" s="85"/>
      <c r="D6" s="59"/>
      <c r="E6" s="59"/>
    </row>
    <row r="7" spans="1:5">
      <c r="A7" s="59" t="str">
        <f ca="1" t="shared" si="0"/>
        <v>T500</v>
      </c>
      <c r="B7" s="86" t="s">
        <v>224</v>
      </c>
      <c r="C7" s="85"/>
      <c r="D7" s="59"/>
      <c r="E7" s="59"/>
    </row>
    <row r="8" spans="1:5">
      <c r="A8" s="59" t="str">
        <f ca="1" t="shared" si="0"/>
        <v>T500</v>
      </c>
      <c r="B8" s="86" t="s">
        <v>225</v>
      </c>
      <c r="C8" s="85"/>
      <c r="D8" s="59"/>
      <c r="E8" s="59"/>
    </row>
    <row r="9" spans="1:5">
      <c r="A9" s="59" t="str">
        <f ca="1" t="shared" si="0"/>
        <v>T500</v>
      </c>
      <c r="B9" s="86" t="s">
        <v>226</v>
      </c>
      <c r="C9" s="85"/>
      <c r="D9" s="59"/>
      <c r="E9" s="59"/>
    </row>
    <row r="10" spans="1:5">
      <c r="A10" s="59" t="str">
        <f ca="1" t="shared" si="0"/>
        <v>T500</v>
      </c>
      <c r="B10" s="84" t="s">
        <v>227</v>
      </c>
      <c r="C10" s="85"/>
      <c r="D10" s="59">
        <v>1001</v>
      </c>
      <c r="E10" s="59">
        <v>1001</v>
      </c>
    </row>
    <row r="11" spans="1:5">
      <c r="A11" s="59" t="str">
        <f ca="1" t="shared" si="0"/>
        <v>T500</v>
      </c>
      <c r="B11" s="84" t="s">
        <v>228</v>
      </c>
      <c r="C11" s="85"/>
      <c r="D11" s="59">
        <v>1002</v>
      </c>
      <c r="E11" s="59">
        <v>1002</v>
      </c>
    </row>
    <row r="12" spans="1:5">
      <c r="A12" s="59" t="str">
        <f ca="1" t="shared" si="0"/>
        <v>T500</v>
      </c>
      <c r="B12" s="84" t="s">
        <v>229</v>
      </c>
      <c r="C12" s="85"/>
      <c r="D12" s="59">
        <v>2001</v>
      </c>
      <c r="E12" s="59">
        <v>2001</v>
      </c>
    </row>
    <row r="13" spans="1:5">
      <c r="A13" s="59" t="str">
        <f ca="1" t="shared" si="0"/>
        <v>T500</v>
      </c>
      <c r="B13" s="84" t="s">
        <v>230</v>
      </c>
      <c r="C13" s="85"/>
      <c r="D13" s="59">
        <v>2002</v>
      </c>
      <c r="E13" s="59">
        <v>2001</v>
      </c>
    </row>
    <row r="14" spans="1:5">
      <c r="A14" s="59" t="str">
        <f ca="1" t="shared" si="0"/>
        <v>T500</v>
      </c>
      <c r="B14" s="84" t="s">
        <v>231</v>
      </c>
      <c r="C14" s="85"/>
      <c r="D14" s="59">
        <v>2003</v>
      </c>
      <c r="E14" s="59">
        <v>2001</v>
      </c>
    </row>
    <row r="15" spans="1:5">
      <c r="A15" s="59" t="str">
        <f ca="1" t="shared" si="0"/>
        <v>T500</v>
      </c>
      <c r="B15" s="84" t="s">
        <v>232</v>
      </c>
      <c r="C15" s="85"/>
      <c r="D15" s="59">
        <v>2004</v>
      </c>
      <c r="E15" s="59">
        <v>2001</v>
      </c>
    </row>
    <row r="16" spans="1:5">
      <c r="A16" s="59" t="str">
        <f ca="1" t="shared" si="0"/>
        <v>T500</v>
      </c>
      <c r="B16" s="84" t="s">
        <v>233</v>
      </c>
      <c r="C16" s="85"/>
      <c r="D16" s="59">
        <v>3001</v>
      </c>
      <c r="E16" s="59">
        <v>3001</v>
      </c>
    </row>
    <row r="17" spans="1:5">
      <c r="A17" s="59" t="str">
        <f ca="1" t="shared" si="0"/>
        <v>T500</v>
      </c>
      <c r="B17" s="84" t="s">
        <v>234</v>
      </c>
      <c r="C17" s="85"/>
      <c r="D17" s="59">
        <v>3002</v>
      </c>
      <c r="E17" s="59">
        <v>3002</v>
      </c>
    </row>
    <row r="18" spans="1:5">
      <c r="A18" s="59" t="str">
        <f ca="1" t="shared" si="0"/>
        <v>T500</v>
      </c>
      <c r="B18" s="87" t="s">
        <v>235</v>
      </c>
      <c r="C18" s="85"/>
      <c r="D18" s="59">
        <v>4001</v>
      </c>
      <c r="E18" s="59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5" sqref="B5"/>
    </sheetView>
  </sheetViews>
  <sheetFormatPr defaultColWidth="9" defaultRowHeight="14.4"/>
  <cols>
    <col min="1" max="1" width="35.7777777777778" customWidth="1"/>
  </cols>
  <sheetData>
    <row r="1" ht="190.05" customHeight="1" spans="1:1">
      <c r="A1" s="82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E12" sqref="E12"/>
    </sheetView>
  </sheetViews>
  <sheetFormatPr defaultColWidth="9" defaultRowHeight="14.4" outlineLevelCol="4"/>
  <cols>
    <col min="1" max="2" width="16.1111111111111" customWidth="1"/>
    <col min="4" max="4" width="13.8796296296296" customWidth="1"/>
    <col min="5" max="5" width="69.8796296296296" customWidth="1"/>
  </cols>
  <sheetData>
    <row r="1" spans="1:5">
      <c r="A1" s="8" t="s">
        <v>236</v>
      </c>
      <c r="B1" s="8" t="s">
        <v>237</v>
      </c>
      <c r="D1" s="8" t="s">
        <v>238</v>
      </c>
      <c r="E1" s="8" t="s">
        <v>239</v>
      </c>
    </row>
    <row r="2" spans="1:5">
      <c r="A2" s="79" t="s">
        <v>180</v>
      </c>
      <c r="B2" s="79" t="s">
        <v>240</v>
      </c>
      <c r="C2" s="79" t="s">
        <v>241</v>
      </c>
      <c r="D2" s="48" t="s">
        <v>189</v>
      </c>
      <c r="E2" s="80" t="s">
        <v>242</v>
      </c>
    </row>
    <row r="3" spans="1:5">
      <c r="A3" s="79" t="s">
        <v>181</v>
      </c>
      <c r="B3" s="79" t="s">
        <v>243</v>
      </c>
      <c r="D3" s="79" t="s">
        <v>244</v>
      </c>
      <c r="E3" s="80" t="s">
        <v>245</v>
      </c>
    </row>
    <row r="4" spans="1:5">
      <c r="A4" s="79" t="s">
        <v>75</v>
      </c>
      <c r="B4" s="79" t="s">
        <v>246</v>
      </c>
      <c r="D4" s="48" t="s">
        <v>204</v>
      </c>
      <c r="E4" s="80" t="s">
        <v>247</v>
      </c>
    </row>
    <row r="5" spans="1:5">
      <c r="A5" s="79" t="s">
        <v>177</v>
      </c>
      <c r="B5" s="79" t="s">
        <v>248</v>
      </c>
      <c r="D5" s="48" t="s">
        <v>249</v>
      </c>
      <c r="E5" s="80" t="s">
        <v>250</v>
      </c>
    </row>
    <row r="6" spans="1:5">
      <c r="A6" s="79" t="s">
        <v>175</v>
      </c>
      <c r="B6" s="79" t="s">
        <v>251</v>
      </c>
      <c r="D6" s="48" t="s">
        <v>252</v>
      </c>
      <c r="E6" s="80" t="s">
        <v>253</v>
      </c>
    </row>
    <row r="7" spans="1:5">
      <c r="A7" s="79" t="s">
        <v>176</v>
      </c>
      <c r="B7" s="79" t="s">
        <v>254</v>
      </c>
      <c r="D7" s="81" t="s">
        <v>201</v>
      </c>
      <c r="E7" s="80" t="s">
        <v>255</v>
      </c>
    </row>
    <row r="8" spans="1:5">
      <c r="A8" s="79" t="s">
        <v>256</v>
      </c>
      <c r="B8" s="79" t="s">
        <v>257</v>
      </c>
      <c r="D8" s="48" t="s">
        <v>258</v>
      </c>
      <c r="E8" s="80" t="s">
        <v>259</v>
      </c>
    </row>
    <row r="9" spans="1:5">
      <c r="A9" s="79" t="s">
        <v>174</v>
      </c>
      <c r="B9" s="79" t="s">
        <v>260</v>
      </c>
      <c r="D9" s="81" t="s">
        <v>261</v>
      </c>
      <c r="E9" s="80" t="s">
        <v>262</v>
      </c>
    </row>
    <row r="10" spans="1:2">
      <c r="A10" s="79" t="s">
        <v>179</v>
      </c>
      <c r="B10" s="79" t="s">
        <v>263</v>
      </c>
    </row>
    <row r="11" spans="1:2">
      <c r="A11" s="79" t="s">
        <v>73</v>
      </c>
      <c r="B11" s="79" t="s">
        <v>264</v>
      </c>
    </row>
    <row r="12" spans="1:2">
      <c r="A12" s="79" t="s">
        <v>182</v>
      </c>
      <c r="B12" s="79" t="s">
        <v>265</v>
      </c>
    </row>
    <row r="13" spans="1:2">
      <c r="A13" s="79" t="s">
        <v>26</v>
      </c>
      <c r="B13" s="79" t="s">
        <v>266</v>
      </c>
    </row>
    <row r="14" spans="1:2">
      <c r="A14" s="79" t="s">
        <v>183</v>
      </c>
      <c r="B14" s="79" t="s">
        <v>267</v>
      </c>
    </row>
    <row r="15" spans="1:2">
      <c r="A15" s="79" t="s">
        <v>68</v>
      </c>
      <c r="B15" s="79" t="s">
        <v>268</v>
      </c>
    </row>
    <row r="16" spans="1:2">
      <c r="A16" s="79" t="s">
        <v>269</v>
      </c>
      <c r="B16" s="79" t="s">
        <v>270</v>
      </c>
    </row>
    <row r="17" spans="1:3">
      <c r="A17" s="79" t="s">
        <v>271</v>
      </c>
      <c r="B17" s="79" t="s">
        <v>272</v>
      </c>
      <c r="C17" s="79" t="s">
        <v>273</v>
      </c>
    </row>
    <row r="18" spans="1:3">
      <c r="A18" s="79" t="s">
        <v>274</v>
      </c>
      <c r="B18" s="79" t="s">
        <v>275</v>
      </c>
      <c r="C18" s="79" t="s">
        <v>276</v>
      </c>
    </row>
    <row r="19" spans="1:2">
      <c r="A19" s="79" t="s">
        <v>184</v>
      </c>
      <c r="B19" s="80" t="s">
        <v>277</v>
      </c>
    </row>
    <row r="20" spans="1:4">
      <c r="A20" s="79" t="s">
        <v>185</v>
      </c>
      <c r="B20" s="79" t="s">
        <v>278</v>
      </c>
      <c r="D20" s="79"/>
    </row>
    <row r="21" spans="1:2">
      <c r="A21" s="79" t="s">
        <v>70</v>
      </c>
      <c r="B21" s="80" t="s">
        <v>279</v>
      </c>
    </row>
    <row r="22" spans="1:2">
      <c r="A22" s="79" t="s">
        <v>78</v>
      </c>
      <c r="B22" s="80" t="s">
        <v>280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selection activeCell="C26" sqref="C26"/>
    </sheetView>
  </sheetViews>
  <sheetFormatPr defaultColWidth="9" defaultRowHeight="14.4" outlineLevelCol="3"/>
  <cols>
    <col min="1" max="1" width="35.3333333333333" customWidth="1"/>
    <col min="2" max="2" width="27.4444444444444" customWidth="1"/>
    <col min="3" max="3" width="15.7777777777778" customWidth="1"/>
    <col min="4" max="4" width="20.212962962963" customWidth="1"/>
  </cols>
  <sheetData>
    <row r="1" spans="1:4">
      <c r="A1" s="2" t="s">
        <v>281</v>
      </c>
      <c r="B1" s="2" t="s">
        <v>24</v>
      </c>
      <c r="C1" s="2" t="s">
        <v>68</v>
      </c>
      <c r="D1" s="71" t="s">
        <v>282</v>
      </c>
    </row>
    <row r="2" spans="1:4">
      <c r="A2" s="72" t="s">
        <v>137</v>
      </c>
      <c r="B2" s="73" t="s">
        <v>138</v>
      </c>
      <c r="C2" s="74" t="s">
        <v>139</v>
      </c>
      <c r="D2" s="74">
        <v>23.2</v>
      </c>
    </row>
    <row r="3" spans="1:4">
      <c r="A3" s="75"/>
      <c r="B3" s="29"/>
      <c r="C3" s="74" t="s">
        <v>140</v>
      </c>
      <c r="D3" s="74">
        <v>51.58</v>
      </c>
    </row>
    <row r="4" ht="12" customHeight="1" spans="1:4">
      <c r="A4" s="75"/>
      <c r="B4" s="29"/>
      <c r="C4" s="76" t="s">
        <v>141</v>
      </c>
      <c r="D4" s="74">
        <v>14.06</v>
      </c>
    </row>
    <row r="5" spans="1:4">
      <c r="A5" s="75"/>
      <c r="B5" s="29"/>
      <c r="C5" s="76" t="s">
        <v>142</v>
      </c>
      <c r="D5" s="74">
        <v>18.42</v>
      </c>
    </row>
    <row r="6" spans="1:4">
      <c r="A6" s="75"/>
      <c r="B6" s="77" t="s">
        <v>97</v>
      </c>
      <c r="C6" s="74" t="s">
        <v>143</v>
      </c>
      <c r="D6" s="74">
        <v>7.57</v>
      </c>
    </row>
    <row r="7" spans="1:4">
      <c r="A7" s="75"/>
      <c r="B7" s="74"/>
      <c r="C7" s="74" t="s">
        <v>144</v>
      </c>
      <c r="D7" s="74">
        <v>10.1</v>
      </c>
    </row>
    <row r="8" spans="1:4">
      <c r="A8" s="75"/>
      <c r="B8" s="74"/>
      <c r="C8" s="74" t="s">
        <v>145</v>
      </c>
      <c r="D8" s="74">
        <v>10.07</v>
      </c>
    </row>
    <row r="9" spans="1:4">
      <c r="A9" s="75"/>
      <c r="B9" s="77" t="s">
        <v>101</v>
      </c>
      <c r="C9" s="74" t="s">
        <v>143</v>
      </c>
      <c r="D9" s="74">
        <v>18.98</v>
      </c>
    </row>
    <row r="10" spans="1:4">
      <c r="A10" s="75"/>
      <c r="B10" s="74"/>
      <c r="C10" s="74" t="s">
        <v>144</v>
      </c>
      <c r="D10" s="74">
        <v>20.09</v>
      </c>
    </row>
    <row r="11" spans="1:4">
      <c r="A11" s="75"/>
      <c r="B11" s="74"/>
      <c r="C11" s="74" t="s">
        <v>145</v>
      </c>
      <c r="D11" s="74">
        <v>20.91</v>
      </c>
    </row>
    <row r="12" spans="1:4">
      <c r="A12" s="75"/>
      <c r="B12" s="77" t="s">
        <v>104</v>
      </c>
      <c r="C12" s="74" t="s">
        <v>143</v>
      </c>
      <c r="D12" s="74">
        <v>29.96</v>
      </c>
    </row>
    <row r="13" spans="1:4">
      <c r="A13" s="75"/>
      <c r="B13" s="74"/>
      <c r="C13" s="74" t="s">
        <v>144</v>
      </c>
      <c r="D13" s="74">
        <v>30.43</v>
      </c>
    </row>
    <row r="14" spans="1:4">
      <c r="A14" s="64"/>
      <c r="B14" s="74"/>
      <c r="C14" s="74" t="s">
        <v>145</v>
      </c>
      <c r="D14" s="74">
        <v>28.88</v>
      </c>
    </row>
    <row r="15" spans="1:4">
      <c r="A15" s="73" t="s">
        <v>128</v>
      </c>
      <c r="B15" s="29" t="s">
        <v>31</v>
      </c>
      <c r="C15" s="30" t="s">
        <v>130</v>
      </c>
      <c r="D15" s="30"/>
    </row>
    <row r="16" spans="1:4">
      <c r="A16" s="75"/>
      <c r="B16" s="35" t="s">
        <v>30</v>
      </c>
      <c r="C16" s="30" t="s">
        <v>283</v>
      </c>
      <c r="D16" s="30"/>
    </row>
    <row r="17" spans="1:4">
      <c r="A17" s="75"/>
      <c r="B17" s="36"/>
      <c r="C17" s="30" t="s">
        <v>284</v>
      </c>
      <c r="D17" s="30"/>
    </row>
    <row r="18" spans="1:4">
      <c r="A18" s="75"/>
      <c r="B18" s="36"/>
      <c r="C18" s="30" t="s">
        <v>285</v>
      </c>
      <c r="D18" s="30"/>
    </row>
    <row r="19" spans="1:4">
      <c r="A19" s="75"/>
      <c r="B19" s="36"/>
      <c r="C19" s="30" t="s">
        <v>286</v>
      </c>
      <c r="D19" s="30"/>
    </row>
    <row r="20" spans="1:4">
      <c r="A20" s="75"/>
      <c r="B20" s="36"/>
      <c r="C20" s="30" t="s">
        <v>287</v>
      </c>
      <c r="D20" s="30"/>
    </row>
    <row r="21" spans="1:4">
      <c r="A21" s="64"/>
      <c r="B21" s="37"/>
      <c r="C21" s="30" t="s">
        <v>288</v>
      </c>
      <c r="D21" s="30"/>
    </row>
    <row r="23" spans="1:4">
      <c r="A23" s="78" t="s">
        <v>289</v>
      </c>
      <c r="B23" s="78"/>
      <c r="C23" s="78"/>
      <c r="D23" s="78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F8" sqref="F8"/>
    </sheetView>
  </sheetViews>
  <sheetFormatPr defaultColWidth="8.88888888888889" defaultRowHeight="14.4" outlineLevelRow="7" outlineLevelCol="1"/>
  <cols>
    <col min="1" max="1" width="13.2222222222222" customWidth="1"/>
    <col min="2" max="2" width="16.6666666666667" customWidth="1"/>
  </cols>
  <sheetData>
    <row r="1" spans="1:2">
      <c r="A1" s="55" t="s">
        <v>174</v>
      </c>
      <c r="B1" s="66" t="s">
        <v>290</v>
      </c>
    </row>
    <row r="2" spans="1:2">
      <c r="A2" s="67" t="s">
        <v>291</v>
      </c>
      <c r="B2" s="68"/>
    </row>
    <row r="3" spans="1:2">
      <c r="A3" s="67" t="s">
        <v>292</v>
      </c>
      <c r="B3" s="68"/>
    </row>
    <row r="4" spans="1:2">
      <c r="A4" s="67" t="s">
        <v>293</v>
      </c>
      <c r="B4" s="68"/>
    </row>
    <row r="5" spans="1:2">
      <c r="A5" s="67" t="s">
        <v>294</v>
      </c>
      <c r="B5" s="68"/>
    </row>
    <row r="6" spans="1:2">
      <c r="A6" s="67" t="s">
        <v>295</v>
      </c>
      <c r="B6" s="68"/>
    </row>
    <row r="7" ht="15.6" spans="1:2">
      <c r="A7" s="53" t="s">
        <v>296</v>
      </c>
      <c r="B7" s="69" t="str" cm="1">
        <f t="array" ref="B7">IF(AND(MAX(B2:B6)-MIN(B2:B6)&lt;0.1,B2:B6&gt;=99.9,B2:B6&lt;=100.1),"合格","不合格")</f>
        <v>不合格</v>
      </c>
    </row>
    <row r="8" spans="1:2">
      <c r="A8" s="53" t="s">
        <v>114</v>
      </c>
      <c r="B8" s="70">
        <f>MAX(B2:B6)-MIN(B2:B6)</f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G8" sqref="G8"/>
    </sheetView>
  </sheetViews>
  <sheetFormatPr defaultColWidth="8.88888888888889" defaultRowHeight="14.4" outlineLevelRow="6" outlineLevelCol="3"/>
  <cols>
    <col min="1" max="1" width="11.6666666666667" customWidth="1"/>
  </cols>
  <sheetData>
    <row r="1" ht="28.8" spans="1:4">
      <c r="A1" s="55" t="s">
        <v>174</v>
      </c>
      <c r="B1" s="55" t="s">
        <v>297</v>
      </c>
      <c r="C1" s="56" t="s">
        <v>28</v>
      </c>
      <c r="D1" s="57" t="s">
        <v>90</v>
      </c>
    </row>
    <row r="2" spans="1:4">
      <c r="A2" s="29" t="s">
        <v>298</v>
      </c>
      <c r="B2" s="30" t="s">
        <v>299</v>
      </c>
      <c r="C2" s="58"/>
      <c r="D2" s="59"/>
    </row>
    <row r="3" spans="1:4">
      <c r="A3" s="29" t="s">
        <v>192</v>
      </c>
      <c r="B3" s="30" t="s">
        <v>129</v>
      </c>
      <c r="C3" s="58"/>
      <c r="D3" s="59"/>
    </row>
    <row r="4" spans="1:4">
      <c r="A4" s="60" t="s">
        <v>39</v>
      </c>
      <c r="B4" s="61" t="s">
        <v>300</v>
      </c>
      <c r="C4" s="62"/>
      <c r="D4" s="63"/>
    </row>
    <row r="5" spans="1:4">
      <c r="A5" s="64"/>
      <c r="B5" s="65"/>
      <c r="C5" s="62"/>
      <c r="D5" s="63"/>
    </row>
    <row r="6" spans="1:4">
      <c r="A6" s="60" t="s">
        <v>29</v>
      </c>
      <c r="B6" s="61" t="s">
        <v>300</v>
      </c>
      <c r="C6" s="62"/>
      <c r="D6" s="63"/>
    </row>
    <row r="7" spans="1:4">
      <c r="A7" s="64"/>
      <c r="B7" s="65"/>
      <c r="C7" s="62"/>
      <c r="D7" s="63"/>
    </row>
  </sheetData>
  <mergeCells count="4">
    <mergeCell ref="A4:A5"/>
    <mergeCell ref="A6:A7"/>
    <mergeCell ref="B4:B5"/>
    <mergeCell ref="B6:B7"/>
  </mergeCells>
  <dataValidations count="1">
    <dataValidation type="list" allowBlank="1" showInputMessage="1" showErrorMessage="1" sqref="C1:D1">
      <formula1>"Abs,T%,Er,Es"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7" sqref="C17"/>
    </sheetView>
  </sheetViews>
  <sheetFormatPr defaultColWidth="8.88888888888889" defaultRowHeight="14.4" outlineLevelCol="5"/>
  <cols>
    <col min="1" max="1" width="12.3333333333333" customWidth="1"/>
    <col min="2" max="2" width="14.5555555555556" customWidth="1"/>
    <col min="3" max="3" width="13.1111111111111" customWidth="1"/>
    <col min="4" max="5" width="13.5555555555556" customWidth="1"/>
  </cols>
  <sheetData>
    <row r="1" ht="28.8" spans="1:6">
      <c r="A1" s="46" t="s">
        <v>174</v>
      </c>
      <c r="B1" s="46" t="s">
        <v>297</v>
      </c>
      <c r="C1" s="47" t="s">
        <v>25</v>
      </c>
      <c r="D1" s="47" t="s">
        <v>26</v>
      </c>
      <c r="E1" s="47" t="s">
        <v>301</v>
      </c>
      <c r="F1" s="47" t="s">
        <v>28</v>
      </c>
    </row>
    <row r="2" spans="1:6">
      <c r="A2" s="48" t="s">
        <v>29</v>
      </c>
      <c r="B2" s="49">
        <v>486</v>
      </c>
      <c r="C2" s="31" t="s">
        <v>80</v>
      </c>
      <c r="D2" s="31"/>
      <c r="E2" s="31"/>
      <c r="F2" s="31"/>
    </row>
    <row r="3" spans="1:6">
      <c r="A3" s="48"/>
      <c r="B3" s="49">
        <v>656.1</v>
      </c>
      <c r="C3" s="31" t="s">
        <v>80</v>
      </c>
      <c r="D3" s="31"/>
      <c r="E3" s="31"/>
      <c r="F3" s="31"/>
    </row>
    <row r="4" spans="1:6">
      <c r="A4" s="50" t="s">
        <v>30</v>
      </c>
      <c r="B4" s="49">
        <v>241</v>
      </c>
      <c r="C4" s="31" t="s">
        <v>80</v>
      </c>
      <c r="D4" s="31"/>
      <c r="E4" s="31"/>
      <c r="F4" s="31"/>
    </row>
    <row r="5" spans="1:6">
      <c r="A5" s="51"/>
      <c r="B5" s="49">
        <v>287.4</v>
      </c>
      <c r="C5" s="31" t="s">
        <v>80</v>
      </c>
      <c r="D5" s="31"/>
      <c r="E5" s="31"/>
      <c r="F5" s="31"/>
    </row>
    <row r="6" spans="1:6">
      <c r="A6" s="52"/>
      <c r="B6" s="49">
        <v>361</v>
      </c>
      <c r="C6" s="31" t="s">
        <v>80</v>
      </c>
      <c r="D6" s="31"/>
      <c r="E6" s="31"/>
      <c r="F6" s="31"/>
    </row>
    <row r="7" spans="1:6">
      <c r="A7" s="52"/>
      <c r="B7" s="53">
        <v>416.5</v>
      </c>
      <c r="C7" s="31" t="s">
        <v>80</v>
      </c>
      <c r="D7" s="31"/>
      <c r="E7" s="31"/>
      <c r="F7" s="31"/>
    </row>
    <row r="8" spans="1:6">
      <c r="A8" s="52"/>
      <c r="B8" s="53">
        <v>536.8</v>
      </c>
      <c r="C8" s="31" t="s">
        <v>80</v>
      </c>
      <c r="D8" s="31"/>
      <c r="E8" s="31"/>
      <c r="F8" s="31"/>
    </row>
    <row r="9" spans="1:6">
      <c r="A9" s="54"/>
      <c r="B9" s="49">
        <v>640.7</v>
      </c>
      <c r="C9" s="31" t="s">
        <v>80</v>
      </c>
      <c r="D9" s="31"/>
      <c r="E9" s="31"/>
      <c r="F9" s="31"/>
    </row>
    <row r="10" ht="18" customHeight="1" spans="1:6">
      <c r="A10" s="29" t="s">
        <v>31</v>
      </c>
      <c r="B10" s="49">
        <v>807.4</v>
      </c>
      <c r="C10" s="31" t="s">
        <v>80</v>
      </c>
      <c r="D10" s="31"/>
      <c r="E10" s="31"/>
      <c r="F10" s="31"/>
    </row>
  </sheetData>
  <mergeCells count="2">
    <mergeCell ref="A2:A3"/>
    <mergeCell ref="A4:A9"/>
  </mergeCells>
  <dataValidations count="3">
    <dataValidation type="list" allowBlank="1" showInputMessage="1" showErrorMessage="1" sqref="C1:C10">
      <formula1>"Abs,T%,Er,Es"</formula1>
    </dataValidation>
    <dataValidation type="list" allowBlank="1" showInputMessage="1" showErrorMessage="1" sqref="D1:D10">
      <formula1>"1,2,3,4"</formula1>
    </dataValidation>
    <dataValidation type="list" allowBlank="1" showInputMessage="1" showErrorMessage="1" sqref="E1:E10">
      <formula1>"氘灯,钨灯,汞灯"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workbookViewId="0">
      <selection activeCell="H15" sqref="H15"/>
    </sheetView>
  </sheetViews>
  <sheetFormatPr defaultColWidth="9" defaultRowHeight="14.4"/>
  <cols>
    <col min="1" max="1" width="11.4444444444444" style="11" customWidth="1"/>
    <col min="2" max="2" width="7.77777777777778" style="11" customWidth="1"/>
    <col min="3" max="3" width="8.44444444444444" style="13" customWidth="1"/>
    <col min="4" max="4" width="8.44444444444444" style="24" customWidth="1"/>
    <col min="5" max="5" width="9.77777777777778" style="11" customWidth="1"/>
    <col min="6" max="6" width="10" style="11" customWidth="1"/>
    <col min="7" max="7" width="10.4444444444444" style="25" customWidth="1"/>
    <col min="8" max="8" width="9" style="11"/>
    <col min="9" max="9" width="6.66666666666667" style="11" customWidth="1"/>
    <col min="10" max="16384" width="9" style="11"/>
  </cols>
  <sheetData>
    <row r="1" ht="28.8" spans="1:6">
      <c r="A1" s="2" t="s">
        <v>174</v>
      </c>
      <c r="B1" s="2" t="s">
        <v>297</v>
      </c>
      <c r="C1" s="26" t="s">
        <v>28</v>
      </c>
      <c r="D1" s="27" t="s">
        <v>302</v>
      </c>
      <c r="E1" s="4" t="s">
        <v>303</v>
      </c>
      <c r="F1" s="28" t="s">
        <v>118</v>
      </c>
    </row>
    <row r="2" ht="15" customHeight="1" spans="1:7">
      <c r="A2" s="29" t="s">
        <v>192</v>
      </c>
      <c r="B2" s="30" t="s">
        <v>129</v>
      </c>
      <c r="C2" s="31"/>
      <c r="D2" s="32" t="str">
        <f>IF(ISBLANK(C2),"",IF(C2&lt;&gt;"",C2-B2,""))</f>
        <v/>
      </c>
      <c r="E2" s="33">
        <v>1</v>
      </c>
      <c r="F2" s="8" t="str">
        <f>IF(C2="","不合格",IF(AND(ROUND(ABS(D2),1)&lt;=ROUND(ABS(E2),1)),"合格","不合格"))</f>
        <v>不合格</v>
      </c>
      <c r="G2" s="34"/>
    </row>
    <row r="3" ht="15" customHeight="1" spans="1:7">
      <c r="A3" s="29" t="s">
        <v>298</v>
      </c>
      <c r="B3" s="30" t="s">
        <v>299</v>
      </c>
      <c r="C3" s="31"/>
      <c r="D3" s="32" t="str">
        <f t="shared" ref="D3:D10" si="0">IF(ISBLANK(C3),"",IF(C3&lt;&gt;"",C3-B3,""))</f>
        <v/>
      </c>
      <c r="E3" s="33">
        <v>1</v>
      </c>
      <c r="F3" s="8" t="str">
        <f t="shared" ref="F3:F10" si="1">IF(C3="","不合格",IF(AND(ROUND(ABS(D3),1)&lt;=ROUND(ABS(E3),1)),"合格","不合格"))</f>
        <v>不合格</v>
      </c>
      <c r="G3" s="34"/>
    </row>
    <row r="4" ht="15" customHeight="1" spans="1:9">
      <c r="A4" s="29" t="s">
        <v>31</v>
      </c>
      <c r="B4" s="30" t="str">
        <f>标准值!C15</f>
        <v>807.4</v>
      </c>
      <c r="C4" s="31"/>
      <c r="D4" s="32" t="str">
        <f t="shared" si="0"/>
        <v/>
      </c>
      <c r="E4" s="33">
        <v>1</v>
      </c>
      <c r="F4" s="8" t="str">
        <f t="shared" si="1"/>
        <v>不合格</v>
      </c>
      <c r="G4" s="11"/>
      <c r="I4" s="44"/>
    </row>
    <row r="5" ht="12" customHeight="1" spans="1:7">
      <c r="A5" s="35" t="s">
        <v>30</v>
      </c>
      <c r="B5" s="30" t="str">
        <f>标准值!C16</f>
        <v>640.7</v>
      </c>
      <c r="C5" s="31"/>
      <c r="D5" s="32" t="str">
        <f t="shared" si="0"/>
        <v/>
      </c>
      <c r="E5" s="33">
        <v>1</v>
      </c>
      <c r="F5" s="8" t="str">
        <f t="shared" si="1"/>
        <v>不合格</v>
      </c>
      <c r="G5" s="34"/>
    </row>
    <row r="6" spans="1:9">
      <c r="A6" s="36"/>
      <c r="B6" s="30" t="str">
        <f>标准值!C17</f>
        <v>536.8</v>
      </c>
      <c r="C6" s="31"/>
      <c r="D6" s="32" t="str">
        <f t="shared" si="0"/>
        <v/>
      </c>
      <c r="E6" s="33">
        <v>1</v>
      </c>
      <c r="F6" s="8" t="str">
        <f t="shared" si="1"/>
        <v>不合格</v>
      </c>
      <c r="G6" s="34"/>
      <c r="I6" s="45"/>
    </row>
    <row r="7" spans="1:7">
      <c r="A7" s="36"/>
      <c r="B7" s="30" t="str">
        <f>标准值!C18</f>
        <v>416.5</v>
      </c>
      <c r="C7" s="31"/>
      <c r="D7" s="32" t="str">
        <f t="shared" si="0"/>
        <v/>
      </c>
      <c r="E7" s="33">
        <v>1</v>
      </c>
      <c r="F7" s="8" t="str">
        <f t="shared" si="1"/>
        <v>不合格</v>
      </c>
      <c r="G7" s="34"/>
    </row>
    <row r="8" ht="15" customHeight="1" spans="1:7">
      <c r="A8" s="36"/>
      <c r="B8" s="30" t="str">
        <f>标准值!C19</f>
        <v>361.0</v>
      </c>
      <c r="C8" s="31"/>
      <c r="D8" s="32" t="str">
        <f t="shared" si="0"/>
        <v/>
      </c>
      <c r="E8" s="33">
        <v>1</v>
      </c>
      <c r="F8" s="8" t="str">
        <f t="shared" si="1"/>
        <v>不合格</v>
      </c>
      <c r="G8" s="34"/>
    </row>
    <row r="9" ht="15" customHeight="1" spans="1:7">
      <c r="A9" s="36"/>
      <c r="B9" s="30" t="str">
        <f>标准值!C20</f>
        <v>287.4</v>
      </c>
      <c r="C9" s="31"/>
      <c r="D9" s="32" t="str">
        <f t="shared" si="0"/>
        <v/>
      </c>
      <c r="E9" s="33">
        <v>1</v>
      </c>
      <c r="F9" s="8" t="str">
        <f t="shared" si="1"/>
        <v>不合格</v>
      </c>
      <c r="G9" s="34"/>
    </row>
    <row r="10" ht="15" customHeight="1" spans="1:7">
      <c r="A10" s="37"/>
      <c r="B10" s="30" t="str">
        <f>标准值!C21</f>
        <v>241.0</v>
      </c>
      <c r="C10" s="31"/>
      <c r="D10" s="32" t="str">
        <f t="shared" si="0"/>
        <v/>
      </c>
      <c r="E10" s="33">
        <v>1</v>
      </c>
      <c r="F10" s="8" t="str">
        <f t="shared" si="1"/>
        <v>不合格</v>
      </c>
      <c r="G10" s="34"/>
    </row>
    <row r="11" ht="15" customHeight="1" spans="1:7">
      <c r="A11" s="38"/>
      <c r="B11" s="39"/>
      <c r="C11" s="40"/>
      <c r="D11" s="41"/>
      <c r="E11" s="42"/>
      <c r="F11" s="43"/>
      <c r="G11" s="34"/>
    </row>
    <row r="12" spans="7:7">
      <c r="G12" s="11"/>
    </row>
    <row r="13" spans="7:7">
      <c r="G13" s="11"/>
    </row>
    <row r="14" spans="7:7">
      <c r="G14" s="11"/>
    </row>
    <row r="15" spans="7:7">
      <c r="G15" s="11"/>
    </row>
    <row r="16" spans="7:7">
      <c r="G16" s="11"/>
    </row>
    <row r="17" spans="7:7">
      <c r="G17" s="11"/>
    </row>
    <row r="18" spans="7:7">
      <c r="G18" s="11"/>
    </row>
    <row r="19" spans="7:7">
      <c r="G19" s="11"/>
    </row>
  </sheetData>
  <mergeCells count="1">
    <mergeCell ref="A5:A10"/>
  </mergeCells>
  <conditionalFormatting sqref="F2:F11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C5" sqref="C5"/>
    </sheetView>
  </sheetViews>
  <sheetFormatPr defaultColWidth="9" defaultRowHeight="14.4" outlineLevelRow="5" outlineLevelCol="6"/>
  <cols>
    <col min="1" max="1" width="18.3333333333333" style="11" customWidth="1"/>
    <col min="2" max="2" width="7.87962962962963" style="11" customWidth="1"/>
    <col min="3" max="5" width="12.7777777777778" style="12" customWidth="1"/>
    <col min="6" max="6" width="10" style="13" customWidth="1"/>
    <col min="7" max="8" width="9.33333333333333" style="11" customWidth="1"/>
    <col min="9" max="16384" width="9" style="11"/>
  </cols>
  <sheetData>
    <row r="1" ht="30" customHeight="1" spans="1:7">
      <c r="A1" s="2" t="s">
        <v>174</v>
      </c>
      <c r="B1" s="2" t="s">
        <v>304</v>
      </c>
      <c r="C1" s="14" t="s">
        <v>305</v>
      </c>
      <c r="D1" s="15"/>
      <c r="E1" s="15"/>
      <c r="F1" s="16" t="s">
        <v>306</v>
      </c>
      <c r="G1" s="2" t="s">
        <v>118</v>
      </c>
    </row>
    <row r="2" ht="18" customHeight="1" spans="1:7">
      <c r="A2" s="17" t="s">
        <v>52</v>
      </c>
      <c r="B2" s="17">
        <v>220</v>
      </c>
      <c r="C2" s="7"/>
      <c r="D2" s="7"/>
      <c r="E2" s="7"/>
      <c r="F2" s="18">
        <v>0.05</v>
      </c>
      <c r="G2" s="8" t="str">
        <f t="shared" ref="G2:G3" si="0">IF(C2="","不合格",IF(D2="","不合格",IF(E2="","不合格",IF(ROUND(ABS(AVERAGE(C2:E2)),4)&lt;ROUND(F2,4),"合格","不合格"))))</f>
        <v>不合格</v>
      </c>
    </row>
    <row r="3" ht="16.5" customHeight="1" spans="1:7">
      <c r="A3" s="17" t="s">
        <v>56</v>
      </c>
      <c r="B3" s="17">
        <v>360</v>
      </c>
      <c r="C3" s="7"/>
      <c r="D3" s="7"/>
      <c r="E3" s="7"/>
      <c r="F3" s="18">
        <v>0.05</v>
      </c>
      <c r="G3" s="8" t="str">
        <f t="shared" si="0"/>
        <v>不合格</v>
      </c>
    </row>
    <row r="4" spans="1:7">
      <c r="A4" s="19" t="s">
        <v>307</v>
      </c>
      <c r="B4" s="20">
        <v>200</v>
      </c>
      <c r="C4" s="7"/>
      <c r="D4" s="7"/>
      <c r="E4" s="7"/>
      <c r="F4" s="21">
        <v>2</v>
      </c>
      <c r="G4" s="19" t="str">
        <f>IF(OR(IF(AND(ROUND(C4,3)&gt;=F4,ROUND(D4,3)&gt;=F4,ROUND(E4,3)&gt;=F4),TRUE,FALSE),IF(AND(ROUND(C5,3)&gt;=F5,ROUND(D5,3)&gt;=F5,ROUND(E5,3)&gt;=F5),TRUE,FALSE),IF(AND(ROUND(C6,3)&gt;=F6,ROUND(D6,3)&gt;=F6,ROUND(E6,3)&gt;=F6),TRUE,FALSE)),"合格","不合格")</f>
        <v>不合格</v>
      </c>
    </row>
    <row r="5" spans="1:7">
      <c r="A5" s="22"/>
      <c r="B5" s="20">
        <v>199</v>
      </c>
      <c r="C5" s="7"/>
      <c r="D5" s="7"/>
      <c r="E5" s="7"/>
      <c r="F5" s="21">
        <v>2</v>
      </c>
      <c r="G5" s="22"/>
    </row>
    <row r="6" spans="1:7">
      <c r="A6" s="23"/>
      <c r="B6" s="20">
        <v>198</v>
      </c>
      <c r="C6" s="7"/>
      <c r="D6" s="7"/>
      <c r="E6" s="7"/>
      <c r="F6" s="21">
        <v>2</v>
      </c>
      <c r="G6" s="23"/>
    </row>
  </sheetData>
  <mergeCells count="3">
    <mergeCell ref="C1:E1"/>
    <mergeCell ref="A4:A6"/>
    <mergeCell ref="G4:G6"/>
  </mergeCells>
  <conditionalFormatting sqref="G2:G4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K25" sqref="K25"/>
    </sheetView>
  </sheetViews>
  <sheetFormatPr defaultColWidth="9" defaultRowHeight="14.4" outlineLevelRow="4" outlineLevelCol="3"/>
  <cols>
    <col min="1" max="1" width="11.7777777777778" customWidth="1"/>
    <col min="2" max="2" width="16.1111111111111" style="1" customWidth="1"/>
    <col min="3" max="3" width="17.4444444444444" customWidth="1"/>
    <col min="4" max="4" width="12.212962962963" customWidth="1"/>
  </cols>
  <sheetData>
    <row r="1" ht="30" customHeight="1" spans="1:4">
      <c r="A1" s="2" t="s">
        <v>174</v>
      </c>
      <c r="B1" s="3" t="s">
        <v>59</v>
      </c>
      <c r="C1" s="4" t="s">
        <v>306</v>
      </c>
      <c r="D1" s="2" t="s">
        <v>118</v>
      </c>
    </row>
    <row r="2" spans="1:4">
      <c r="A2" s="5" t="s">
        <v>57</v>
      </c>
      <c r="B2" s="6"/>
      <c r="C2" s="7">
        <v>0.002</v>
      </c>
      <c r="D2" s="8" t="str">
        <f>IF(OR(B2="",(ABS(B2)&gt;C2)),"不合格","合格")</f>
        <v>不合格</v>
      </c>
    </row>
    <row r="4" spans="2:2">
      <c r="B4" s="9"/>
    </row>
    <row r="5" spans="1:1">
      <c r="A5" s="10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字段对应</vt:lpstr>
      <vt:lpstr>标准值</vt:lpstr>
      <vt:lpstr>样品池重复性</vt:lpstr>
      <vt:lpstr>能量扫描</vt:lpstr>
      <vt:lpstr>波长拟合</vt:lpstr>
      <vt:lpstr>波长示值误差校验</vt:lpstr>
      <vt:lpstr>杂散光校验</vt:lpstr>
      <vt:lpstr>基线平直度检验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2006-09-16T00:00:00Z</dcterms:created>
  <dcterms:modified xsi:type="dcterms:W3CDTF">2024-12-19T07:21:33Z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A5DF62BE52AA4ADCABD9D4D957D87EF9_12</vt:lpwstr>
  </property>
  <property fmtid="{D5CDD505-2E9C-101B-9397-08002B2CF9AE}" pid="3" name="KSOProductBuildVer">
    <vt:lpwstr>2052-12.1.0.19302</vt:lpwstr>
  </property>
</Properties>
</file>