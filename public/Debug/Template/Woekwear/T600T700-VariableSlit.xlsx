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725" tabRatio="865" activeTab="5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state="hidden" r:id="rId5"/>
    <sheet name="检测项信息" sheetId="14" r:id="rId6"/>
    <sheet name="仪器状态" sheetId="22" r:id="rId7"/>
    <sheet name="样品池准确度与重复性校验" sheetId="23" state="hidden" r:id="rId8"/>
    <sheet name="标准值" sheetId="16" r:id="rId9"/>
    <sheet name="字段对应" sheetId="15" state="hidden" r:id="rId10"/>
    <sheet name="样品池重复性" sheetId="6" r:id="rId11"/>
    <sheet name="波长拟合" sheetId="3" r:id="rId12"/>
    <sheet name="能量扫描" sheetId="7" r:id="rId13"/>
    <sheet name="波长示值误差校验" sheetId="24" r:id="rId14"/>
    <sheet name="杂散光校验" sheetId="25" r:id="rId15"/>
    <sheet name="基线平直度检验" sheetId="26" r:id="rId16"/>
  </sheets>
  <externalReferences>
    <externalReference r:id="rId17"/>
  </externalReference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<sst xmlns="http://schemas.openxmlformats.org/spreadsheetml/2006/main" count="764" uniqueCount="310">
  <si>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</si>
  <si>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</si>
  <si>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</si>
  <si>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</si>
  <si>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</si>
  <si>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</si>
  <si>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</si>
  <si>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</si>
  <si>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</si>
  <si>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</si>
  <si>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</si>
  <si>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</si>
  <si>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</si>
  <si>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UVWin版本号</t>
  </si>
  <si>
    <t>UVTouch版本号</t>
  </si>
  <si>
    <t>检验软件版本号</t>
  </si>
  <si>
    <t>序号</t>
  </si>
  <si>
    <t>检验项目</t>
  </si>
  <si>
    <t>结果</t>
  </si>
  <si>
    <t>样品池重复性</t>
  </si>
  <si>
    <t>准确度：100%±0.1%
重复性：&lt;0.1%</t>
  </si>
  <si>
    <t>1号池测量值(%)</t>
  </si>
  <si>
    <t>重复性(%)</t>
  </si>
  <si>
    <t>波长拟合</t>
  </si>
  <si>
    <t>检测工具</t>
  </si>
  <si>
    <t>模式</t>
  </si>
  <si>
    <t>增益</t>
  </si>
  <si>
    <t>标准值(nm)</t>
  </si>
  <si>
    <t>测量值（nm）</t>
  </si>
  <si>
    <t>氘灯</t>
  </si>
  <si>
    <t>镨钕滤光片</t>
  </si>
  <si>
    <t>钬溶液</t>
  </si>
  <si>
    <t>汞灯</t>
  </si>
  <si>
    <t>能量扫描</t>
  </si>
  <si>
    <t>提示</t>
  </si>
  <si>
    <t>标准值</t>
  </si>
  <si>
    <t>测量值</t>
  </si>
  <si>
    <t>定点波长：486nm</t>
  </si>
  <si>
    <t>波长段：656.1nm</t>
  </si>
  <si>
    <t>波长段：1100nm-300nm</t>
  </si>
  <si>
    <t>钨灯</t>
  </si>
  <si>
    <t>波长段：700nm-190nm</t>
  </si>
  <si>
    <t>波长示值误差校验</t>
  </si>
  <si>
    <t xml:space="preserve">
波长示值误差
氘灯：
±0.1nm
镨钕：
±0.3nm
波长重复性
≤0.1nm 
</t>
  </si>
  <si>
    <t>波长段</t>
  </si>
  <si>
    <t>B段</t>
  </si>
  <si>
    <t>误差值(nm)</t>
  </si>
  <si>
    <t xml:space="preserve">波长示值误差校验
</t>
  </si>
  <si>
    <t xml:space="preserve">
波长示值误差
钬溶液：
±0.3nm
波长重复性
≤0.1nm </t>
  </si>
  <si>
    <t>杂散光</t>
  </si>
  <si>
    <t>检验工具</t>
  </si>
  <si>
    <t>220nm</t>
  </si>
  <si>
    <t>&lt;0.01%</t>
  </si>
  <si>
    <t>碘化钠标准溶液</t>
  </si>
  <si>
    <t>测量值
（%）</t>
  </si>
  <si>
    <t>360nm</t>
  </si>
  <si>
    <t>≤0.02%</t>
  </si>
  <si>
    <t>亚硝酸钠标准溶液</t>
  </si>
  <si>
    <t>基线平直度</t>
  </si>
  <si>
    <t>≤±0.0005（2.0nm光谱带宽）</t>
  </si>
  <si>
    <t>测量值（Abs）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</si>
  <si>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</si>
  <si>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</si>
  <si>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</si>
  <si>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</si>
  <si>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</si>
  <si>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</si>
  <si>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</si>
  <si>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</si>
  <si>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</si>
  <si>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</si>
  <si>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</si>
  <si>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</si>
  <si>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</si>
  <si>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</si>
  <si>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</si>
  <si>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</si>
  <si>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</si>
  <si>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</si>
  <si>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响应时间</t>
  </si>
  <si>
    <t>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</si>
  <si>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</si>
  <si>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</si>
  <si>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</si>
  <si>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</si>
  <si>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</si>
  <si>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</si>
  <si>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</si>
  <si>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</si>
  <si>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</si>
  <si>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Es</t>
  </si>
  <si>
    <t>中速</t>
  </si>
  <si>
    <t>1.0</t>
  </si>
  <si>
    <t>739.2,,807.4</t>
  </si>
  <si>
    <t>Er</t>
  </si>
  <si>
    <t>快速</t>
  </si>
  <si>
    <t>2.0</t>
  </si>
  <si>
    <t>10%中性滤光片</t>
  </si>
  <si>
    <t>635.0,546.0,440.0</t>
  </si>
  <si>
    <t>R%</t>
  </si>
  <si>
    <t>极快</t>
  </si>
  <si>
    <t>5.0</t>
  </si>
  <si>
    <t>20%中性滤光片</t>
  </si>
  <si>
    <t>635.0,546.0,440.1</t>
  </si>
  <si>
    <t xml:space="preserve"> </t>
  </si>
  <si>
    <t>30%中性滤光片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</si>
  <si>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</si>
  <si>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</si>
  <si>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</si>
  <si>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</si>
  <si>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</si>
  <si>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</si>
  <si>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</si>
  <si>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</si>
  <si>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</si>
  <si>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</si>
  <si>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</si>
  <si>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</si>
  <si>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</si>
  <si>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</si>
  <si>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</si>
  <si>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</si>
  <si>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</si>
  <si>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</si>
  <si>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</si>
  <si>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</si>
  <si>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</si>
  <si>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</si>
  <si>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</si>
  <si>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样品池重复性检测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</si>
  <si>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</si>
  <si>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</si>
  <si>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</si>
  <si>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</si>
  <si>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</si>
  <si>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</si>
  <si>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</si>
  <si>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</si>
  <si>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</si>
  <si>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</si>
  <si>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紫外分光光度计标准物质GBW(E)130066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</si>
  <si>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</si>
  <si>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</si>
  <si>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</si>
  <si>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</si>
  <si>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</si>
  <si>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</si>
  <si>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</si>
  <si>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</si>
  <si>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</si>
  <si>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</si>
  <si>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基线暗噪声</t>
  </si>
  <si>
    <t>光谱带宽与仪器最小光谱带宽</t>
  </si>
  <si>
    <t>氘灯2.0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</si>
  <si>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</si>
  <si>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</si>
  <si>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</si>
  <si>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</si>
  <si>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</si>
  <si>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</si>
  <si>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</si>
  <si>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</si>
  <si>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</si>
  <si>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</si>
  <si>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</si>
  <si>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</si>
  <si>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</si>
  <si>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</si>
  <si>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</si>
  <si>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</si>
  <si>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</si>
  <si>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</si>
  <si>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</si>
  <si>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</si>
  <si>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U1701</t>
  </si>
  <si>
    <t>T700B</t>
  </si>
  <si>
    <t>U1702</t>
  </si>
  <si>
    <t>T700A</t>
  </si>
  <si>
    <t>U1703</t>
  </si>
  <si>
    <t>U1704</t>
  </si>
  <si>
    <t>T700AS</t>
  </si>
  <si>
    <t>检测类别</t>
  </si>
  <si>
    <t>项目名称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</si>
  <si>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</si>
  <si>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</si>
  <si>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</si>
  <si>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</si>
  <si>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</si>
  <si>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</si>
  <si>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</si>
  <si>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</si>
  <si>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光谱带宽</t>
  </si>
  <si>
    <t>时间间隔</t>
  </si>
  <si>
    <t>扫描个数</t>
  </si>
  <si>
    <t>暗电流物质</t>
  </si>
  <si>
    <t>校零物质</t>
  </si>
  <si>
    <t>测量物质</t>
  </si>
  <si>
    <t>最大最小值差</t>
  </si>
  <si>
    <t>空气</t>
  </si>
  <si>
    <t>氘灯486.0</t>
  </si>
  <si>
    <t>寻峰</t>
  </si>
  <si>
    <t>氘灯656.1</t>
  </si>
  <si>
    <t>黑挡块</t>
  </si>
  <si>
    <t>钬溶液241.0</t>
  </si>
  <si>
    <t>钬溶液361.0</t>
  </si>
  <si>
    <t>钬溶液640.7</t>
  </si>
  <si>
    <t>汞灯296.7</t>
  </si>
  <si>
    <t>汞灯404.7</t>
  </si>
  <si>
    <t>汞灯435.8</t>
  </si>
  <si>
    <t>汞灯546.1</t>
  </si>
  <si>
    <t>640.7,536.8,416.5,361.0,287.4,241.0</t>
  </si>
  <si>
    <t>220nm杂散光</t>
  </si>
  <si>
    <t>PhotoMode=1;ScanSpeed=2;Slit1=2.0;</t>
  </si>
  <si>
    <t>220</t>
  </si>
  <si>
    <t>多次测量</t>
  </si>
  <si>
    <t>碘化钠空白溶液</t>
  </si>
  <si>
    <t>360nm杂散光</t>
  </si>
  <si>
    <t>360</t>
  </si>
  <si>
    <t>亚硝酸钠空白溶液</t>
  </si>
  <si>
    <t>求最大偏移量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</si>
  <si>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</si>
  <si>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</si>
  <si>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</si>
  <si>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</si>
  <si>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</si>
  <si>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</si>
  <si>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</si>
  <si>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</si>
  <si>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</si>
  <si>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</si>
  <si>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</si>
  <si>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</si>
  <si>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</si>
  <si>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</si>
  <si>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</si>
  <si>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</si>
  <si>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</si>
  <si>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</si>
  <si>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</si>
  <si>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</si>
  <si>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</si>
  <si>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</si>
  <si>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测试项</t>
  </si>
  <si>
    <t>标准值（%）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</si>
  <si>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</si>
  <si>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</si>
  <si>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</si>
  <si>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</si>
  <si>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</si>
  <si>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</si>
  <si>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</si>
  <si>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</si>
  <si>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</si>
  <si>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</si>
  <si>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</si>
  <si>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</si>
  <si>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</si>
  <si>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</si>
  <si>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</si>
  <si>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求平均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</si>
  <si>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</si>
  <si>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</si>
  <si>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</si>
  <si>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</si>
  <si>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</si>
  <si>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</si>
  <si>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求半峰宽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</si>
  <si>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</si>
  <si>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</si>
  <si>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</si>
  <si>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</si>
  <si>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</si>
  <si>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</si>
  <si>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</si>
  <si>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</si>
  <si>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</si>
  <si>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</si>
  <si>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</si>
  <si>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</si>
  <si>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</si>
  <si>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</si>
  <si>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</si>
  <si>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</si>
  <si>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</si>
  <si>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</si>
  <si>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</si>
  <si>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</si>
  <si>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</si>
  <si>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</si>
  <si>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</si>
  <si>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</si>
  <si>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</si>
  <si>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</si>
  <si>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测量值（T%）</t>
  </si>
  <si>
    <t>1号</t>
  </si>
  <si>
    <t>2号</t>
  </si>
  <si>
    <t>3号</t>
  </si>
  <si>
    <t>4号</t>
  </si>
  <si>
    <t>5号</t>
  </si>
  <si>
    <t>检测结果</t>
  </si>
  <si>
    <t>特征值（nm）</t>
  </si>
  <si>
    <t>光源</t>
  </si>
  <si>
    <t>486</t>
  </si>
  <si>
    <t>全段</t>
  </si>
  <si>
    <t>误差值（nm）</t>
  </si>
  <si>
    <t>波长示值误差(nm)</t>
  </si>
  <si>
    <t>氘灯486</t>
  </si>
  <si>
    <t>波长点</t>
  </si>
  <si>
    <t>测量值（%）</t>
  </si>
  <si>
    <t>指标要求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</si>
</sst>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_);[Red]\(0.0000\)"/>
    <numFmt numFmtId="178" formatCode="0.000_);[Red]\(0.000\)"/>
    <numFmt numFmtId="179" formatCode="0.00_);[Red]\(0.00\)"/>
    <numFmt numFmtId="180" formatCode="0.000_ ;[Red]\-0.000\ "/>
    <numFmt numFmtId="181" formatCode="0.00_ ;[Red]\-0.00\ "/>
    <numFmt numFmtId="182" formatCode="0.0_ ;[Red]\-0.0\ "/>
    <numFmt numFmtId="183" formatCode="0.0_ "/>
    <numFmt numFmtId="184" formatCode="0.00_ "/>
    <numFmt numFmtId="185" formatCode="0.0_);[Red]\(0.0\)"/>
    <numFmt numFmtId="186" formatCode="[$-F800]dddd\,\ mmmm\ dd\,\ yyyy"/>
    <numFmt numFmtId="187" formatCode="0.0"/>
    <numFmt numFmtId="188" formatCode="0.000_ "/>
  </numFmts>
  <fonts count="44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rgb="FF000000"/>
      <name val="宋体"/>
      <charset val="134"/>
    </font>
    <font>
      <b/>
      <sz val="10.5"/>
      <color rgb="FF000000"/>
      <name val="Times New Roman"/>
      <charset val="134"/>
    </font>
    <font>
      <b/>
      <sz val="11"/>
      <color rgb="FFFF0000"/>
      <name val="宋体"/>
      <charset val="134"/>
      <scheme val="minor"/>
    </font>
    <font>
      <b/>
      <sz val="10.5"/>
      <color theme="1"/>
      <name val="Times New Roman"/>
      <charset val="134"/>
    </font>
    <font>
      <b/>
      <sz val="11"/>
      <color theme="1"/>
      <name val="宋体"/>
      <charset val="134"/>
    </font>
    <font>
      <sz val="12"/>
      <color rgb="FF43436B"/>
      <name val="Segoe UI"/>
      <charset val="134"/>
    </font>
    <font>
      <sz val="10.5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462874233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9" borderId="28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0" borderId="31" applyNumberFormat="0" applyAlignment="0" applyProtection="0">
      <alignment vertical="center"/>
    </xf>
    <xf numFmtId="0" fontId="34" fillId="11" borderId="32" applyNumberFormat="0" applyAlignment="0" applyProtection="0">
      <alignment vertical="center"/>
    </xf>
    <xf numFmtId="0" fontId="35" fillId="11" borderId="31" applyNumberFormat="0" applyAlignment="0" applyProtection="0">
      <alignment vertical="center"/>
    </xf>
    <xf numFmtId="0" fontId="36" fillId="12" borderId="33" applyNumberFormat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6" fontId="0" fillId="0" borderId="0" xfId="0" applyNumberFormat="1"/>
    <xf numFmtId="176" fontId="4" fillId="0" borderId="0" xfId="0" applyNumberFormat="1" applyFont="1"/>
    <xf numFmtId="0" fontId="0" fillId="0" borderId="0" xfId="0" applyAlignment="1">
      <alignment vertical="center"/>
    </xf>
    <xf numFmtId="178" fontId="1" fillId="2" borderId="2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9" fontId="1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80" fontId="3" fillId="0" borderId="1" xfId="0" applyNumberFormat="1" applyFont="1" applyBorder="1" applyAlignment="1">
      <alignment vertical="center"/>
    </xf>
    <xf numFmtId="179" fontId="6" fillId="0" borderId="1" xfId="0" applyNumberFormat="1" applyFont="1" applyBorder="1" applyAlignment="1">
      <alignment vertical="center" wrapText="1"/>
    </xf>
    <xf numFmtId="178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179" fontId="1" fillId="4" borderId="2" xfId="0" applyNumberFormat="1" applyFont="1" applyFill="1" applyBorder="1" applyAlignment="1">
      <alignment horizontal="center" vertical="center" wrapText="1"/>
    </xf>
    <xf numFmtId="181" fontId="1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179" fontId="8" fillId="0" borderId="1" xfId="0" applyNumberFormat="1" applyFont="1" applyBorder="1" applyAlignment="1">
      <alignment horizontal="center" vertical="center" wrapText="1"/>
    </xf>
    <xf numFmtId="182" fontId="3" fillId="0" borderId="1" xfId="0" applyNumberFormat="1" applyFont="1" applyBorder="1" applyAlignment="1">
      <alignment horizontal="center"/>
    </xf>
    <xf numFmtId="18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Border="1"/>
    <xf numFmtId="184" fontId="0" fillId="0" borderId="0" xfId="0" applyNumberFormat="1"/>
    <xf numFmtId="185" fontId="0" fillId="0" borderId="0" xfId="0" applyNumberFormat="1"/>
    <xf numFmtId="0" fontId="1" fillId="2" borderId="7" xfId="0" applyFont="1" applyFill="1" applyBorder="1" applyAlignment="1">
      <alignment horizontal="center" vertical="center" wrapText="1"/>
    </xf>
    <xf numFmtId="179" fontId="1" fillId="2" borderId="8" xfId="0" applyNumberFormat="1" applyFont="1" applyFill="1" applyBorder="1" applyAlignment="1">
      <alignment horizontal="center" vertical="center" wrapText="1"/>
    </xf>
    <xf numFmtId="179" fontId="1" fillId="2" borderId="7" xfId="0" applyNumberFormat="1" applyFont="1" applyFill="1" applyBorder="1" applyAlignment="1">
      <alignment horizontal="center" vertical="center" wrapText="1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9" fontId="8" fillId="0" borderId="1" xfId="0" applyNumberFormat="1" applyFont="1" applyBorder="1" applyAlignment="1">
      <alignment vertical="center" wrapText="1"/>
    </xf>
    <xf numFmtId="0" fontId="0" fillId="0" borderId="1" xfId="0" applyBorder="1" applyAlignment="1"/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179" fontId="8" fillId="0" borderId="0" xfId="0" applyNumberFormat="1" applyFont="1" applyBorder="1" applyAlignment="1">
      <alignment vertical="center" wrapText="1"/>
    </xf>
    <xf numFmtId="0" fontId="0" fillId="0" borderId="0" xfId="0" applyBorder="1" applyAlignment="1"/>
    <xf numFmtId="0" fontId="3" fillId="0" borderId="0" xfId="0" applyFont="1"/>
    <xf numFmtId="0" fontId="9" fillId="0" borderId="0" xfId="0" applyFont="1" applyAlignment="1">
      <alignment vertical="center"/>
    </xf>
    <xf numFmtId="179" fontId="3" fillId="0" borderId="0" xfId="0" applyNumberFormat="1" applyFont="1"/>
    <xf numFmtId="185" fontId="3" fillId="0" borderId="0" xfId="0" applyNumberFormat="1" applyFont="1"/>
    <xf numFmtId="179" fontId="1" fillId="2" borderId="2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84" fontId="1" fillId="0" borderId="10" xfId="0" applyNumberFormat="1" applyFont="1" applyBorder="1" applyAlignment="1">
      <alignment horizontal="center" vertical="center" wrapText="1"/>
    </xf>
    <xf numFmtId="0" fontId="3" fillId="0" borderId="1" xfId="0" applyFont="1" applyBorder="1"/>
    <xf numFmtId="176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vertical="center"/>
    </xf>
    <xf numFmtId="18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6" borderId="1" xfId="0" applyFont="1" applyFill="1" applyBorder="1"/>
    <xf numFmtId="0" fontId="0" fillId="5" borderId="1" xfId="0" applyFont="1" applyFill="1" applyBorder="1"/>
    <xf numFmtId="0" fontId="0" fillId="0" borderId="1" xfId="0" applyFont="1" applyBorder="1"/>
    <xf numFmtId="0" fontId="0" fillId="5" borderId="1" xfId="0" applyFill="1" applyBorder="1"/>
    <xf numFmtId="0" fontId="11" fillId="5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4" fontId="0" fillId="0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horizontal="center" vertical="center" wrapText="1"/>
    </xf>
    <xf numFmtId="183" fontId="0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0" fillId="0" borderId="0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wrapText="1"/>
    </xf>
    <xf numFmtId="49" fontId="0" fillId="0" borderId="1" xfId="0" applyNumberFormat="1" applyFill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7" xfId="0" applyNumberFormat="1" applyBorder="1" applyAlignment="1">
      <alignment wrapText="1"/>
    </xf>
    <xf numFmtId="49" fontId="0" fillId="0" borderId="0" xfId="0" applyNumberFormat="1" applyBorder="1" applyAlignment="1">
      <alignment wrapText="1"/>
    </xf>
    <xf numFmtId="49" fontId="0" fillId="0" borderId="0" xfId="0" applyNumberFormat="1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8" borderId="1" xfId="49" applyFont="1" applyFill="1" applyBorder="1" applyAlignment="1">
      <alignment horizontal="center"/>
    </xf>
    <xf numFmtId="3" fontId="0" fillId="0" borderId="1" xfId="0" applyNumberFormat="1" applyFont="1" applyBorder="1" applyAlignment="1">
      <alignment horizontal="center" vertical="center"/>
    </xf>
    <xf numFmtId="0" fontId="0" fillId="8" borderId="1" xfId="49" applyFont="1" applyFill="1" applyBorder="1" applyAlignment="1">
      <alignment horizontal="center" vertical="center"/>
    </xf>
    <xf numFmtId="0" fontId="0" fillId="0" borderId="0" xfId="49"/>
    <xf numFmtId="186" fontId="0" fillId="0" borderId="0" xfId="49" applyNumberFormat="1"/>
    <xf numFmtId="0" fontId="0" fillId="0" borderId="0" xfId="49" applyAlignment="1">
      <alignment horizontal="center"/>
    </xf>
    <xf numFmtId="0" fontId="3" fillId="8" borderId="2" xfId="49" applyFont="1" applyFill="1" applyBorder="1" applyAlignment="1">
      <alignment horizontal="center" vertical="center"/>
    </xf>
    <xf numFmtId="0" fontId="3" fillId="8" borderId="12" xfId="49" applyFont="1" applyFill="1" applyBorder="1" applyAlignment="1">
      <alignment horizontal="center" vertical="center"/>
    </xf>
    <xf numFmtId="0" fontId="3" fillId="8" borderId="10" xfId="49" applyFont="1" applyFill="1" applyBorder="1" applyAlignment="1">
      <alignment horizontal="center" vertical="center"/>
    </xf>
    <xf numFmtId="0" fontId="3" fillId="8" borderId="1" xfId="49" applyFont="1" applyFill="1" applyBorder="1" applyAlignment="1">
      <alignment horizontal="center"/>
    </xf>
    <xf numFmtId="0" fontId="3" fillId="8" borderId="1" xfId="50" applyFont="1" applyFill="1" applyBorder="1" applyAlignment="1">
      <alignment horizontal="center"/>
    </xf>
    <xf numFmtId="179" fontId="0" fillId="8" borderId="1" xfId="50" applyNumberFormat="1" applyFont="1" applyFill="1" applyBorder="1" applyAlignment="1">
      <alignment horizontal="center"/>
    </xf>
    <xf numFmtId="49" fontId="0" fillId="8" borderId="1" xfId="50" applyNumberFormat="1" applyFont="1" applyFill="1" applyBorder="1" applyAlignment="1">
      <alignment horizontal="center"/>
    </xf>
    <xf numFmtId="0" fontId="15" fillId="8" borderId="1" xfId="50" applyFont="1" applyFill="1" applyBorder="1" applyAlignment="1">
      <alignment horizontal="center" vertical="center" wrapText="1"/>
    </xf>
    <xf numFmtId="49" fontId="14" fillId="8" borderId="1" xfId="50" applyNumberFormat="1" applyFont="1" applyFill="1" applyBorder="1" applyAlignment="1">
      <alignment horizontal="center" vertical="center" wrapText="1"/>
    </xf>
    <xf numFmtId="0" fontId="14" fillId="8" borderId="1" xfId="50" applyFont="1" applyFill="1" applyBorder="1" applyAlignment="1">
      <alignment horizontal="center" vertical="center" wrapText="1"/>
    </xf>
    <xf numFmtId="0" fontId="0" fillId="8" borderId="1" xfId="50" applyFont="1" applyFill="1" applyBorder="1" applyAlignment="1">
      <alignment horizontal="center"/>
    </xf>
    <xf numFmtId="0" fontId="11" fillId="8" borderId="1" xfId="50" applyFont="1" applyFill="1" applyBorder="1" applyAlignment="1">
      <alignment horizontal="center" vertical="center" wrapText="1"/>
    </xf>
    <xf numFmtId="0" fontId="16" fillId="8" borderId="1" xfId="50" applyFont="1" applyFill="1" applyBorder="1" applyAlignment="1">
      <alignment horizontal="center" vertical="center" wrapText="1"/>
    </xf>
    <xf numFmtId="179" fontId="16" fillId="8" borderId="1" xfId="50" applyNumberFormat="1" applyFont="1" applyFill="1" applyBorder="1" applyAlignment="1">
      <alignment horizontal="center" vertical="center" wrapText="1"/>
    </xf>
    <xf numFmtId="177" fontId="0" fillId="8" borderId="1" xfId="50" applyNumberFormat="1" applyFont="1" applyFill="1" applyBorder="1" applyAlignment="1">
      <alignment horizontal="center"/>
    </xf>
    <xf numFmtId="185" fontId="0" fillId="8" borderId="1" xfId="50" applyNumberFormat="1" applyFont="1" applyFill="1" applyBorder="1" applyAlignment="1">
      <alignment horizontal="center"/>
    </xf>
    <xf numFmtId="184" fontId="15" fillId="8" borderId="1" xfId="50" applyNumberFormat="1" applyFont="1" applyFill="1" applyBorder="1" applyAlignment="1">
      <alignment horizontal="center" vertical="center" wrapText="1"/>
    </xf>
    <xf numFmtId="187" fontId="16" fillId="8" borderId="1" xfId="50" applyNumberFormat="1" applyFont="1" applyFill="1" applyBorder="1" applyAlignment="1">
      <alignment horizontal="center" vertical="center" wrapText="1"/>
    </xf>
    <xf numFmtId="179" fontId="15" fillId="8" borderId="1" xfId="50" applyNumberFormat="1" applyFont="1" applyFill="1" applyBorder="1" applyAlignment="1">
      <alignment horizontal="center" vertical="center" wrapText="1"/>
    </xf>
    <xf numFmtId="178" fontId="15" fillId="8" borderId="1" xfId="50" applyNumberFormat="1" applyFont="1" applyFill="1" applyBorder="1" applyAlignment="1">
      <alignment horizontal="center" vertical="center" wrapText="1"/>
    </xf>
    <xf numFmtId="185" fontId="15" fillId="8" borderId="1" xfId="50" applyNumberFormat="1" applyFont="1" applyFill="1" applyBorder="1" applyAlignment="1">
      <alignment horizontal="center" vertical="center" wrapText="1"/>
    </xf>
    <xf numFmtId="0" fontId="0" fillId="8" borderId="1" xfId="50" applyFont="1" applyFill="1" applyBorder="1" applyAlignment="1">
      <alignment horizontal="center" vertical="center"/>
    </xf>
    <xf numFmtId="185" fontId="0" fillId="8" borderId="1" xfId="50" applyNumberFormat="1" applyFont="1" applyFill="1" applyBorder="1" applyAlignment="1">
      <alignment horizontal="center" vertical="center"/>
    </xf>
    <xf numFmtId="0" fontId="0" fillId="0" borderId="0" xfId="49" applyFont="1" applyAlignment="1">
      <alignment horizontal="left"/>
    </xf>
    <xf numFmtId="0" fontId="0" fillId="5" borderId="0" xfId="49" applyFont="1" applyFill="1" applyAlignment="1">
      <alignment horizontal="left"/>
    </xf>
    <xf numFmtId="0" fontId="0" fillId="5" borderId="0" xfId="49" applyFont="1" applyFill="1" applyAlignment="1">
      <alignment horizontal="left" vertical="center"/>
    </xf>
    <xf numFmtId="186" fontId="0" fillId="0" borderId="0" xfId="49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4" borderId="1" xfId="49" applyFont="1" applyFill="1" applyBorder="1" applyAlignment="1">
      <alignment horizontal="center" vertical="center"/>
    </xf>
    <xf numFmtId="0" fontId="3" fillId="4" borderId="1" xfId="49" applyFont="1" applyFill="1" applyBorder="1" applyAlignment="1">
      <alignment horizontal="left" vertical="center"/>
    </xf>
    <xf numFmtId="0" fontId="3" fillId="4" borderId="1" xfId="49" applyFont="1" applyFill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186" fontId="3" fillId="4" borderId="1" xfId="49" applyNumberFormat="1" applyFon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0" xfId="0" applyFont="1"/>
    <xf numFmtId="49" fontId="0" fillId="0" borderId="0" xfId="0" applyNumberForma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5" borderId="0" xfId="49" applyFill="1"/>
    <xf numFmtId="0" fontId="14" fillId="0" borderId="2" xfId="49" applyFont="1" applyBorder="1" applyAlignment="1">
      <alignment vertical="center" wrapText="1"/>
    </xf>
    <xf numFmtId="0" fontId="14" fillId="0" borderId="1" xfId="49" applyFont="1" applyBorder="1" applyAlignment="1">
      <alignment vertical="center" wrapText="1"/>
    </xf>
    <xf numFmtId="0" fontId="19" fillId="0" borderId="2" xfId="49" applyFont="1" applyBorder="1" applyAlignment="1">
      <alignment horizontal="center" vertical="center" wrapText="1"/>
    </xf>
    <xf numFmtId="0" fontId="19" fillId="0" borderId="1" xfId="49" applyFont="1" applyBorder="1" applyAlignment="1">
      <alignment horizontal="center" vertical="center" wrapText="1"/>
    </xf>
    <xf numFmtId="0" fontId="20" fillId="0" borderId="2" xfId="49" applyFont="1" applyBorder="1" applyAlignment="1">
      <alignment horizontal="center" vertical="center" wrapText="1"/>
    </xf>
    <xf numFmtId="0" fontId="20" fillId="0" borderId="1" xfId="49" applyFont="1" applyBorder="1" applyAlignment="1">
      <alignment horizontal="center" vertical="center" wrapText="1"/>
    </xf>
    <xf numFmtId="0" fontId="0" fillId="0" borderId="2" xfId="49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13" xfId="49" applyBorder="1" applyAlignment="1">
      <alignment horizontal="center" vertical="center" wrapText="1"/>
    </xf>
    <xf numFmtId="0" fontId="0" fillId="0" borderId="14" xfId="49" applyBorder="1" applyAlignment="1">
      <alignment horizontal="center" vertical="center" wrapText="1"/>
    </xf>
    <xf numFmtId="0" fontId="0" fillId="0" borderId="8" xfId="49" applyBorder="1" applyAlignment="1">
      <alignment horizontal="center" vertical="center" wrapText="1"/>
    </xf>
    <xf numFmtId="0" fontId="0" fillId="0" borderId="7" xfId="49" applyBorder="1" applyAlignment="1">
      <alignment horizontal="center" vertical="center" wrapText="1"/>
    </xf>
    <xf numFmtId="0" fontId="0" fillId="0" borderId="3" xfId="49" applyBorder="1" applyAlignment="1">
      <alignment horizontal="center" vertical="center" wrapText="1"/>
    </xf>
    <xf numFmtId="0" fontId="0" fillId="0" borderId="15" xfId="49" applyBorder="1" applyAlignment="1">
      <alignment horizontal="center" vertical="center" wrapText="1"/>
    </xf>
    <xf numFmtId="0" fontId="0" fillId="0" borderId="8" xfId="49" applyBorder="1" applyAlignment="1">
      <alignment horizontal="center"/>
    </xf>
    <xf numFmtId="0" fontId="0" fillId="0" borderId="10" xfId="49" applyBorder="1" applyAlignment="1">
      <alignment horizontal="center" vertical="center" wrapText="1"/>
    </xf>
    <xf numFmtId="0" fontId="0" fillId="0" borderId="12" xfId="49" applyBorder="1" applyAlignment="1">
      <alignment horizontal="center" vertical="center" wrapText="1"/>
    </xf>
    <xf numFmtId="0" fontId="0" fillId="0" borderId="9" xfId="49" applyBorder="1" applyAlignment="1">
      <alignment horizontal="center" vertical="center" wrapText="1"/>
    </xf>
    <xf numFmtId="0" fontId="0" fillId="0" borderId="11" xfId="49" applyBorder="1" applyAlignment="1">
      <alignment horizontal="center" vertical="center" wrapText="1"/>
    </xf>
    <xf numFmtId="0" fontId="21" fillId="0" borderId="1" xfId="49" applyFont="1" applyBorder="1" applyAlignment="1">
      <alignment horizontal="center" vertical="center" wrapText="1"/>
    </xf>
    <xf numFmtId="0" fontId="21" fillId="0" borderId="14" xfId="49" applyFont="1" applyBorder="1" applyAlignment="1">
      <alignment horizontal="center" vertical="center" wrapText="1"/>
    </xf>
    <xf numFmtId="0" fontId="21" fillId="0" borderId="16" xfId="49" applyFont="1" applyBorder="1" applyAlignment="1">
      <alignment horizontal="center" vertical="center" wrapText="1"/>
    </xf>
    <xf numFmtId="0" fontId="21" fillId="0" borderId="17" xfId="49" applyFont="1" applyBorder="1" applyAlignment="1">
      <alignment horizontal="center" vertical="center" wrapText="1"/>
    </xf>
    <xf numFmtId="0" fontId="21" fillId="0" borderId="12" xfId="49" applyFont="1" applyBorder="1" applyAlignment="1">
      <alignment horizontal="center" vertical="center" wrapText="1"/>
    </xf>
    <xf numFmtId="0" fontId="0" fillId="0" borderId="4" xfId="49" applyBorder="1" applyAlignment="1">
      <alignment horizontal="center" vertical="center" wrapText="1"/>
    </xf>
    <xf numFmtId="0" fontId="0" fillId="0" borderId="1" xfId="49" applyBorder="1" applyAlignment="1">
      <alignment horizontal="center"/>
    </xf>
    <xf numFmtId="179" fontId="0" fillId="0" borderId="4" xfId="49" applyNumberFormat="1" applyBorder="1" applyAlignment="1">
      <alignment horizontal="center" vertical="center" wrapText="1"/>
    </xf>
    <xf numFmtId="179" fontId="0" fillId="0" borderId="1" xfId="49" applyNumberFormat="1" applyBorder="1" applyAlignment="1">
      <alignment horizontal="center" vertical="center" wrapText="1"/>
    </xf>
    <xf numFmtId="0" fontId="0" fillId="0" borderId="17" xfId="49" applyBorder="1" applyAlignment="1">
      <alignment horizontal="center" vertical="center" wrapText="1"/>
    </xf>
    <xf numFmtId="0" fontId="0" fillId="0" borderId="18" xfId="49" applyBorder="1" applyAlignment="1">
      <alignment horizontal="center" vertical="center" wrapText="1"/>
    </xf>
    <xf numFmtId="0" fontId="0" fillId="0" borderId="5" xfId="49" applyBorder="1" applyAlignment="1">
      <alignment horizontal="center" vertical="center" wrapText="1"/>
    </xf>
    <xf numFmtId="0" fontId="0" fillId="0" borderId="19" xfId="49" applyBorder="1" applyAlignment="1">
      <alignment horizontal="center" vertical="center" wrapText="1"/>
    </xf>
    <xf numFmtId="0" fontId="0" fillId="0" borderId="6" xfId="49" applyBorder="1" applyAlignment="1">
      <alignment horizontal="center" vertical="center" wrapText="1"/>
    </xf>
    <xf numFmtId="0" fontId="0" fillId="0" borderId="1" xfId="49" applyBorder="1" applyAlignment="1">
      <alignment horizontal="left" vertical="center" wrapText="1"/>
    </xf>
    <xf numFmtId="179" fontId="0" fillId="0" borderId="2" xfId="49" applyNumberFormat="1" applyBorder="1" applyAlignment="1">
      <alignment horizontal="center" vertical="center" wrapText="1"/>
    </xf>
    <xf numFmtId="184" fontId="0" fillId="0" borderId="2" xfId="49" applyNumberFormat="1" applyBorder="1" applyAlignment="1">
      <alignment horizontal="center" vertical="center" wrapText="1"/>
    </xf>
    <xf numFmtId="184" fontId="0" fillId="0" borderId="1" xfId="49" applyNumberFormat="1" applyBorder="1" applyAlignment="1">
      <alignment horizontal="center" vertical="center" wrapText="1"/>
    </xf>
    <xf numFmtId="181" fontId="0" fillId="0" borderId="1" xfId="49" applyNumberFormat="1" applyBorder="1" applyAlignment="1">
      <alignment horizontal="center" vertical="center" wrapText="1"/>
    </xf>
    <xf numFmtId="0" fontId="21" fillId="0" borderId="2" xfId="49" applyFont="1" applyBorder="1" applyAlignment="1">
      <alignment horizontal="center" vertical="center" wrapText="1"/>
    </xf>
    <xf numFmtId="0" fontId="21" fillId="0" borderId="2" xfId="49" applyFont="1" applyBorder="1" applyAlignment="1">
      <alignment horizontal="center" vertical="center"/>
    </xf>
    <xf numFmtId="0" fontId="21" fillId="0" borderId="1" xfId="49" applyFont="1" applyBorder="1" applyAlignment="1">
      <alignment horizontal="center" vertical="center"/>
    </xf>
    <xf numFmtId="0" fontId="21" fillId="0" borderId="11" xfId="49" applyFont="1" applyBorder="1" applyAlignment="1">
      <alignment horizontal="center" vertical="center" wrapText="1"/>
    </xf>
    <xf numFmtId="0" fontId="21" fillId="0" borderId="9" xfId="49" applyFont="1" applyBorder="1" applyAlignment="1">
      <alignment horizontal="center" vertical="center" wrapText="1"/>
    </xf>
    <xf numFmtId="0" fontId="22" fillId="0" borderId="2" xfId="49" applyFont="1" applyBorder="1" applyAlignment="1">
      <alignment horizontal="left" vertical="center" wrapText="1"/>
    </xf>
    <xf numFmtId="0" fontId="11" fillId="0" borderId="1" xfId="49" applyFont="1" applyBorder="1" applyAlignment="1">
      <alignment horizontal="left" vertical="center" wrapText="1"/>
    </xf>
    <xf numFmtId="0" fontId="23" fillId="0" borderId="2" xfId="49" applyFont="1" applyBorder="1" applyAlignment="1">
      <alignment horizontal="center" vertical="center" wrapText="1"/>
    </xf>
    <xf numFmtId="0" fontId="23" fillId="0" borderId="1" xfId="49" applyFont="1" applyBorder="1" applyAlignment="1">
      <alignment horizontal="center" vertical="center" wrapText="1"/>
    </xf>
    <xf numFmtId="0" fontId="24" fillId="0" borderId="2" xfId="49" applyFont="1" applyBorder="1" applyAlignment="1">
      <alignment horizontal="center" vertical="center" wrapText="1"/>
    </xf>
    <xf numFmtId="0" fontId="24" fillId="0" borderId="1" xfId="49" applyFont="1" applyBorder="1" applyAlignment="1">
      <alignment horizontal="center" vertical="center" wrapText="1"/>
    </xf>
    <xf numFmtId="0" fontId="23" fillId="0" borderId="2" xfId="49" applyFont="1" applyBorder="1" applyAlignment="1">
      <alignment horizontal="center" vertical="center"/>
    </xf>
    <xf numFmtId="0" fontId="23" fillId="0" borderId="1" xfId="49" applyFont="1" applyBorder="1" applyAlignment="1">
      <alignment horizontal="center" vertical="center"/>
    </xf>
    <xf numFmtId="0" fontId="15" fillId="0" borderId="2" xfId="49" applyFont="1" applyBorder="1" applyAlignment="1">
      <alignment horizontal="center" vertical="center" wrapText="1"/>
    </xf>
    <xf numFmtId="0" fontId="15" fillId="0" borderId="1" xfId="49" applyFont="1" applyBorder="1" applyAlignment="1">
      <alignment horizontal="center" vertical="center" wrapText="1"/>
    </xf>
    <xf numFmtId="0" fontId="0" fillId="0" borderId="20" xfId="49" applyBorder="1" applyAlignment="1">
      <alignment horizontal="center" vertical="center" wrapText="1"/>
    </xf>
    <xf numFmtId="0" fontId="0" fillId="0" borderId="16" xfId="49" applyBorder="1" applyAlignment="1">
      <alignment horizontal="center" vertical="center" wrapText="1"/>
    </xf>
    <xf numFmtId="0" fontId="0" fillId="0" borderId="21" xfId="49" applyBorder="1" applyAlignment="1">
      <alignment horizontal="center" vertical="center" wrapText="1"/>
    </xf>
    <xf numFmtId="0" fontId="0" fillId="0" borderId="7" xfId="49" applyBorder="1" applyAlignment="1">
      <alignment horizontal="center"/>
    </xf>
    <xf numFmtId="0" fontId="0" fillId="0" borderId="13" xfId="49" applyBorder="1" applyAlignment="1">
      <alignment horizontal="center"/>
    </xf>
    <xf numFmtId="0" fontId="0" fillId="0" borderId="10" xfId="49" applyBorder="1" applyAlignment="1">
      <alignment horizontal="center"/>
    </xf>
    <xf numFmtId="0" fontId="0" fillId="0" borderId="12" xfId="49" applyBorder="1" applyAlignment="1">
      <alignment horizontal="center"/>
    </xf>
    <xf numFmtId="0" fontId="21" fillId="0" borderId="10" xfId="49" applyFont="1" applyBorder="1" applyAlignment="1">
      <alignment horizontal="center" vertical="center" wrapText="1"/>
    </xf>
    <xf numFmtId="188" fontId="21" fillId="0" borderId="1" xfId="49" applyNumberFormat="1" applyFont="1" applyBorder="1" applyAlignment="1">
      <alignment horizontal="center" vertical="center" wrapText="1"/>
    </xf>
    <xf numFmtId="0" fontId="0" fillId="0" borderId="22" xfId="49" applyBorder="1" applyAlignment="1">
      <alignment horizontal="center"/>
    </xf>
    <xf numFmtId="184" fontId="0" fillId="0" borderId="2" xfId="49" applyNumberFormat="1" applyBorder="1" applyAlignment="1">
      <alignment vertical="center" wrapText="1"/>
    </xf>
    <xf numFmtId="184" fontId="0" fillId="0" borderId="23" xfId="49" applyNumberFormat="1" applyBorder="1" applyAlignment="1">
      <alignment vertical="center" wrapText="1"/>
    </xf>
    <xf numFmtId="184" fontId="0" fillId="0" borderId="24" xfId="49" applyNumberFormat="1" applyBorder="1" applyAlignment="1">
      <alignment horizontal="center" vertical="center" wrapText="1"/>
    </xf>
    <xf numFmtId="184" fontId="0" fillId="0" borderId="25" xfId="49" applyNumberFormat="1" applyBorder="1" applyAlignment="1">
      <alignment horizontal="center" vertical="center" wrapText="1"/>
    </xf>
    <xf numFmtId="184" fontId="0" fillId="0" borderId="26" xfId="49" applyNumberFormat="1" applyBorder="1" applyAlignment="1">
      <alignment vertical="center" wrapText="1"/>
    </xf>
    <xf numFmtId="184" fontId="0" fillId="0" borderId="1" xfId="49" applyNumberFormat="1" applyBorder="1" applyAlignment="1">
      <alignment vertical="center" wrapText="1"/>
    </xf>
    <xf numFmtId="184" fontId="0" fillId="0" borderId="27" xfId="49" applyNumberFormat="1" applyBorder="1" applyAlignment="1">
      <alignment horizontal="center" vertical="center" wrapText="1"/>
    </xf>
    <xf numFmtId="184" fontId="0" fillId="0" borderId="6" xfId="49" applyNumberFormat="1" applyBorder="1" applyAlignment="1">
      <alignment horizontal="center" vertical="center" wrapText="1"/>
    </xf>
    <xf numFmtId="0" fontId="0" fillId="0" borderId="2" xfId="49" applyFill="1" applyBorder="1" applyAlignment="1">
      <alignment horizontal="center" vertical="center" wrapText="1"/>
    </xf>
    <xf numFmtId="0" fontId="0" fillId="0" borderId="1" xfId="49" applyFill="1" applyBorder="1" applyAlignment="1">
      <alignment horizontal="center" vertical="center" wrapText="1"/>
    </xf>
    <xf numFmtId="188" fontId="18" fillId="0" borderId="2" xfId="49" applyNumberFormat="1" applyFont="1" applyBorder="1" applyAlignment="1">
      <alignment horizontal="center" vertical="center" wrapText="1"/>
    </xf>
    <xf numFmtId="188" fontId="18" fillId="0" borderId="1" xfId="49" applyNumberFormat="1" applyFont="1" applyBorder="1" applyAlignment="1">
      <alignment horizontal="center" vertical="center" wrapText="1"/>
    </xf>
    <xf numFmtId="176" fontId="21" fillId="0" borderId="2" xfId="49" applyNumberFormat="1" applyFont="1" applyBorder="1" applyAlignment="1">
      <alignment horizontal="center" vertical="center" wrapText="1"/>
    </xf>
    <xf numFmtId="176" fontId="21" fillId="0" borderId="1" xfId="49" applyNumberFormat="1" applyFont="1" applyBorder="1" applyAlignment="1">
      <alignment horizontal="center" vertical="center" wrapText="1"/>
    </xf>
    <xf numFmtId="0" fontId="21" fillId="0" borderId="11" xfId="49" applyFont="1" applyBorder="1" applyAlignment="1">
      <alignment horizontal="left" vertical="center" wrapText="1"/>
    </xf>
    <xf numFmtId="0" fontId="21" fillId="0" borderId="9" xfId="49" applyFont="1" applyBorder="1" applyAlignment="1">
      <alignment horizontal="left" vertical="center" wrapText="1"/>
    </xf>
    <xf numFmtId="0" fontId="21" fillId="0" borderId="1" xfId="49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38100" y="57150"/>
          <a:ext cx="93980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SCode\PCTY\&#32043;&#22806;\&#39537;&#21160;\validation\ValidationWin\bin\Debug\Template\temp&#26816;&#39564;\T600T700-FixedSli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基础信息"/>
      <sheetName val="测量结果表"/>
      <sheetName val="管理表"/>
      <sheetName val="对应信息"/>
      <sheetName val="检测项信息"/>
      <sheetName val="仪器状态"/>
      <sheetName val="样品池准确度与重复性校验"/>
      <sheetName val="标准值"/>
      <sheetName val="字段对应"/>
      <sheetName val="波长示值误差与重复性校验"/>
      <sheetName val="透射比示值误差与重复性校验"/>
      <sheetName val="杂散光校验"/>
      <sheetName val="基线平直度检验"/>
      <sheetName val="基线暗噪声检验"/>
      <sheetName val="光谱带宽与仪器最小光谱带宽"/>
      <sheetName val="噪声检验"/>
      <sheetName val="波长边缘噪声"/>
      <sheetName val="漂移检验"/>
    </sheetNames>
    <sheetDataSet>
      <sheetData sheetId="0"/>
      <sheetData sheetId="1">
        <row r="2">
          <cell r="F2" t="str">
            <v>钨灯</v>
          </cell>
          <cell r="G2">
            <v>0</v>
          </cell>
        </row>
        <row r="2">
          <cell r="I2" t="str">
            <v>Abs</v>
          </cell>
          <cell r="J2">
            <v>0</v>
          </cell>
          <cell r="K2" t="str">
            <v>极慢</v>
          </cell>
          <cell r="L2">
            <v>0</v>
          </cell>
        </row>
        <row r="3">
          <cell r="F3" t="str">
            <v>氘灯</v>
          </cell>
          <cell r="G3">
            <v>1</v>
          </cell>
        </row>
        <row r="3">
          <cell r="I3" t="str">
            <v>T%</v>
          </cell>
          <cell r="J3">
            <v>1</v>
          </cell>
          <cell r="K3" t="str">
            <v>慢速</v>
          </cell>
          <cell r="L3">
            <v>1</v>
          </cell>
        </row>
        <row r="4">
          <cell r="F4" t="str">
            <v>汞灯</v>
          </cell>
          <cell r="G4">
            <v>2</v>
          </cell>
        </row>
        <row r="4">
          <cell r="I4" t="str">
            <v>Es</v>
          </cell>
          <cell r="J4">
            <v>2</v>
          </cell>
          <cell r="K4" t="str">
            <v>中速</v>
          </cell>
          <cell r="L4">
            <v>2</v>
          </cell>
        </row>
        <row r="5">
          <cell r="I5" t="str">
            <v>Er</v>
          </cell>
          <cell r="J5">
            <v>3</v>
          </cell>
          <cell r="K5" t="str">
            <v>快速</v>
          </cell>
          <cell r="L5">
            <v>3</v>
          </cell>
        </row>
        <row r="6">
          <cell r="I6" t="str">
            <v>R%</v>
          </cell>
          <cell r="J6">
            <v>4</v>
          </cell>
          <cell r="K6" t="str">
            <v>极快</v>
          </cell>
          <cell r="L6">
            <v>4</v>
          </cell>
        </row>
      </sheetData>
      <sheetData sheetId="2"/>
      <sheetData sheetId="3"/>
      <sheetData sheetId="4"/>
      <sheetData sheetId="5">
        <row r="12">
          <cell r="H12">
            <v>250</v>
          </cell>
        </row>
        <row r="12">
          <cell r="W12" t="str">
            <v>黑挡块</v>
          </cell>
        </row>
      </sheetData>
      <sheetData sheetId="6"/>
      <sheetData sheetId="7"/>
      <sheetData sheetId="8"/>
      <sheetData sheetId="9">
        <row r="2">
          <cell r="C2" t="str">
            <v>WlRange</v>
          </cell>
        </row>
        <row r="10">
          <cell r="B10" t="str">
            <v>PhotoMode</v>
          </cell>
        </row>
        <row r="11">
          <cell r="B11" t="str">
            <v>ScanSpeed</v>
          </cell>
        </row>
        <row r="13">
          <cell r="B13" t="str">
            <v>Gain</v>
          </cell>
        </row>
        <row r="14">
          <cell r="B14" t="str">
            <v>Slit1</v>
          </cell>
        </row>
        <row r="15">
          <cell r="B15" t="str">
            <v>Wl</v>
          </cell>
        </row>
        <row r="16">
          <cell r="B16" t="str">
            <v>Dark</v>
          </cell>
        </row>
        <row r="17">
          <cell r="B17" t="str">
            <v>Zero</v>
          </cell>
          <cell r="C17" t="str">
            <v>BaseLine</v>
          </cell>
        </row>
        <row r="18">
          <cell r="B18" t="str">
            <v>Measure</v>
          </cell>
          <cell r="C18" t="str">
            <v>Scan</v>
          </cell>
        </row>
        <row r="19">
          <cell r="B19" t="str">
            <v>timeinterval</v>
          </cell>
        </row>
        <row r="20">
          <cell r="B20" t="str">
            <v>totalcount</v>
          </cell>
        </row>
        <row r="21">
          <cell r="B21" t="str">
            <v>LampPos</v>
          </cell>
        </row>
        <row r="22">
          <cell r="B22" t="str">
            <v>ResponseTime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showGridLines="0" zoomScalePageLayoutView="80" topLeftCell="A6" workbookViewId="0">
      <selection activeCell="H32" sqref="H32:I33"/>
    </sheetView>
  </sheetViews>
  <sheetFormatPr defaultColWidth="9" defaultRowHeight="13.5"/>
  <cols>
    <col min="1" max="1" width="5.33333333333333" style="126" customWidth="1"/>
    <col min="2" max="2" width="14.1083333333333" style="126" customWidth="1"/>
    <col min="3" max="3" width="8.10833333333333" style="126" customWidth="1"/>
    <col min="4" max="5" width="8.44166666666667" style="126" customWidth="1"/>
    <col min="6" max="6" width="3.33333333333333" style="126" customWidth="1"/>
    <col min="7" max="7" width="3.44166666666667" style="126" customWidth="1"/>
    <col min="8" max="8" width="7.10833333333333" style="126" customWidth="1"/>
    <col min="9" max="9" width="3.775" style="126" customWidth="1"/>
    <col min="10" max="10" width="6.775" style="126" customWidth="1"/>
    <col min="11" max="11" width="7.44166666666667" style="126" customWidth="1"/>
    <col min="12" max="12" width="6.88333333333333" style="126" customWidth="1"/>
    <col min="13" max="13" width="8.44166666666667" style="126" customWidth="1"/>
    <col min="14" max="14" width="4.775" style="126" customWidth="1"/>
    <col min="15" max="15" width="4.66666666666667" style="174" customWidth="1"/>
    <col min="16" max="16384" width="9" style="126"/>
  </cols>
  <sheetData>
    <row r="1" ht="20.25" customHeight="1" spans="1:15">
      <c r="A1" s="175"/>
      <c r="B1" s="176"/>
      <c r="C1" s="177" t="s">
        <v>0</v>
      </c>
      <c r="D1" s="178"/>
      <c r="E1" s="178"/>
      <c r="F1" s="178"/>
      <c r="G1" s="178"/>
      <c r="H1" s="178"/>
      <c r="I1" s="178"/>
      <c r="J1" s="178"/>
      <c r="K1" s="178"/>
      <c r="L1" s="220" t="s">
        <v>1</v>
      </c>
      <c r="M1" s="221"/>
      <c r="N1" s="222"/>
      <c r="O1" s="223"/>
    </row>
    <row r="2" ht="20.25" customHeight="1" spans="1:15">
      <c r="A2" s="176"/>
      <c r="B2" s="176"/>
      <c r="C2" s="179" t="s">
        <v>2</v>
      </c>
      <c r="D2" s="180"/>
      <c r="E2" s="180"/>
      <c r="F2" s="180"/>
      <c r="G2" s="180"/>
      <c r="H2" s="180"/>
      <c r="I2" s="180"/>
      <c r="J2" s="180"/>
      <c r="K2" s="180"/>
      <c r="L2" s="220" t="s">
        <v>3</v>
      </c>
      <c r="M2" s="221"/>
      <c r="N2" s="222"/>
      <c r="O2" s="223"/>
    </row>
    <row r="3" ht="20.25" customHeight="1" spans="1:15">
      <c r="A3" s="176"/>
      <c r="B3" s="176"/>
      <c r="C3" s="180"/>
      <c r="D3" s="180"/>
      <c r="E3" s="180"/>
      <c r="F3" s="180"/>
      <c r="G3" s="180"/>
      <c r="H3" s="180"/>
      <c r="I3" s="180"/>
      <c r="J3" s="180"/>
      <c r="K3" s="180"/>
      <c r="L3" s="224" t="s">
        <v>4</v>
      </c>
      <c r="M3" s="225"/>
      <c r="N3" s="226"/>
      <c r="O3" s="227"/>
    </row>
    <row r="4" ht="18" customHeight="1" spans="1:15">
      <c r="A4" s="181" t="s">
        <v>5</v>
      </c>
      <c r="B4" s="182"/>
      <c r="C4" s="182"/>
      <c r="D4" s="182" t="s">
        <v>6</v>
      </c>
      <c r="E4" s="182"/>
      <c r="F4" s="182"/>
      <c r="G4" s="182"/>
      <c r="H4" s="183" t="s">
        <v>7</v>
      </c>
      <c r="I4" s="191"/>
      <c r="J4" s="191"/>
      <c r="K4" s="228"/>
      <c r="L4" s="181" t="s">
        <v>8</v>
      </c>
      <c r="M4" s="182"/>
      <c r="N4" s="181" t="s">
        <v>9</v>
      </c>
      <c r="O4" s="182"/>
    </row>
    <row r="5" ht="18" customHeight="1" spans="1:15">
      <c r="A5" s="181" t="str">
        <f>IFERROR(VLOOKUP(MID(D5,3,5),对应信息!A:B,2,0),"")</f>
        <v/>
      </c>
      <c r="B5" s="182"/>
      <c r="C5" s="182"/>
      <c r="D5" s="182"/>
      <c r="E5" s="182"/>
      <c r="F5" s="182"/>
      <c r="G5" s="182"/>
      <c r="H5" s="184">
        <v>123</v>
      </c>
      <c r="I5" s="229"/>
      <c r="J5" s="229"/>
      <c r="K5" s="230"/>
      <c r="L5" s="181"/>
      <c r="M5" s="182"/>
      <c r="N5" s="181"/>
      <c r="O5" s="182"/>
    </row>
    <row r="6" ht="18" customHeight="1" spans="1:15">
      <c r="A6" s="185" t="s">
        <v>10</v>
      </c>
      <c r="B6" s="186"/>
      <c r="C6" s="185"/>
      <c r="D6" s="187"/>
      <c r="E6" s="188" t="s">
        <v>11</v>
      </c>
      <c r="F6" s="187"/>
      <c r="G6" s="187"/>
      <c r="H6" s="189"/>
      <c r="I6" s="231"/>
      <c r="J6" s="231"/>
      <c r="K6" s="231"/>
      <c r="L6" s="185" t="s">
        <v>12</v>
      </c>
      <c r="M6" s="186"/>
      <c r="N6" s="185"/>
      <c r="O6" s="186"/>
    </row>
    <row r="7" ht="18" customHeight="1" spans="1:15">
      <c r="A7" s="182" t="s">
        <v>13</v>
      </c>
      <c r="B7" s="182"/>
      <c r="C7" s="183"/>
      <c r="D7" s="190"/>
      <c r="E7" s="183" t="s">
        <v>14</v>
      </c>
      <c r="F7" s="191"/>
      <c r="G7" s="190"/>
      <c r="H7" s="183"/>
      <c r="I7" s="191"/>
      <c r="J7" s="190"/>
      <c r="K7" s="232" t="s">
        <v>15</v>
      </c>
      <c r="L7" s="233"/>
      <c r="M7" s="232"/>
      <c r="N7" s="234"/>
      <c r="O7" s="233"/>
    </row>
    <row r="8" ht="19.05" customHeight="1" spans="1:15">
      <c r="A8" s="192" t="s">
        <v>16</v>
      </c>
      <c r="B8" s="188" t="s">
        <v>17</v>
      </c>
      <c r="C8" s="187"/>
      <c r="D8" s="192"/>
      <c r="E8" s="193" t="s">
        <v>18</v>
      </c>
      <c r="F8" s="192"/>
      <c r="G8" s="192"/>
      <c r="H8" s="192"/>
      <c r="I8" s="192"/>
      <c r="J8" s="192"/>
      <c r="K8" s="192"/>
      <c r="L8" s="192"/>
      <c r="M8" s="192"/>
      <c r="N8" s="192"/>
      <c r="O8" s="192"/>
    </row>
    <row r="9" s="126" customFormat="1" ht="30" customHeight="1" spans="1:15">
      <c r="A9" s="194">
        <v>1</v>
      </c>
      <c r="B9" s="194" t="s">
        <v>19</v>
      </c>
      <c r="C9" s="194"/>
      <c r="D9" s="195" t="s">
        <v>20</v>
      </c>
      <c r="E9" s="196"/>
      <c r="F9" s="197"/>
      <c r="G9" s="195" t="s">
        <v>21</v>
      </c>
      <c r="H9" s="198"/>
      <c r="I9" s="235"/>
      <c r="J9" s="194">
        <f>样品池重复性!B2</f>
        <v>0</v>
      </c>
      <c r="K9" s="194"/>
      <c r="L9" s="194" t="s">
        <v>22</v>
      </c>
      <c r="M9" s="236">
        <f>样品池重复性!B8</f>
        <v>0</v>
      </c>
      <c r="N9" s="236"/>
      <c r="O9" s="236"/>
    </row>
    <row r="10" s="126" customFormat="1" ht="19.05" customHeight="1" spans="1:15">
      <c r="A10" s="183">
        <v>2</v>
      </c>
      <c r="B10" s="187" t="s">
        <v>23</v>
      </c>
      <c r="C10" s="182" t="s">
        <v>24</v>
      </c>
      <c r="D10" s="182"/>
      <c r="E10" s="199" t="s">
        <v>25</v>
      </c>
      <c r="F10" s="182"/>
      <c r="G10" s="182"/>
      <c r="H10" s="200" t="s">
        <v>26</v>
      </c>
      <c r="I10" s="200"/>
      <c r="J10" s="237"/>
      <c r="K10" s="209" t="s">
        <v>27</v>
      </c>
      <c r="L10" s="202"/>
      <c r="M10" s="181" t="s">
        <v>28</v>
      </c>
      <c r="N10" s="182"/>
      <c r="O10" s="182"/>
    </row>
    <row r="11" s="126" customFormat="1" ht="19.05" customHeight="1" spans="1:15">
      <c r="A11" s="183"/>
      <c r="B11" s="187"/>
      <c r="C11" s="182" t="s">
        <v>29</v>
      </c>
      <c r="D11" s="182"/>
      <c r="E11" s="201" t="str">
        <f>波长拟合!C2</f>
        <v>Es</v>
      </c>
      <c r="F11" s="202"/>
      <c r="G11" s="202"/>
      <c r="H11" s="201">
        <f>波长拟合!D2</f>
        <v>4</v>
      </c>
      <c r="I11" s="202"/>
      <c r="J11" s="202"/>
      <c r="K11" s="209">
        <f>波长拟合!B2</f>
        <v>486</v>
      </c>
      <c r="L11" s="202"/>
      <c r="M11" s="209">
        <f>波长拟合!F2</f>
        <v>0</v>
      </c>
      <c r="N11" s="202"/>
      <c r="O11" s="202"/>
    </row>
    <row r="12" s="126" customFormat="1" ht="19.05" customHeight="1" spans="1:15">
      <c r="A12" s="183"/>
      <c r="B12" s="187"/>
      <c r="C12" s="182"/>
      <c r="D12" s="182"/>
      <c r="E12" s="201" t="str">
        <f>波长拟合!C3</f>
        <v>Es</v>
      </c>
      <c r="F12" s="202"/>
      <c r="G12" s="202"/>
      <c r="H12" s="201">
        <f>波长拟合!D3</f>
        <v>4</v>
      </c>
      <c r="I12" s="202"/>
      <c r="J12" s="202"/>
      <c r="K12" s="209">
        <f>波长拟合!B3</f>
        <v>656.1</v>
      </c>
      <c r="L12" s="202"/>
      <c r="M12" s="209">
        <f>波长拟合!F3</f>
        <v>0</v>
      </c>
      <c r="N12" s="202"/>
      <c r="O12" s="202"/>
    </row>
    <row r="13" s="126" customFormat="1" ht="19.05" customHeight="1" spans="1:15">
      <c r="A13" s="183"/>
      <c r="B13" s="187"/>
      <c r="C13" s="182" t="s">
        <v>30</v>
      </c>
      <c r="D13" s="182"/>
      <c r="E13" s="201" t="str">
        <f>波长拟合!C4</f>
        <v>Abs</v>
      </c>
      <c r="F13" s="202"/>
      <c r="G13" s="202"/>
      <c r="H13" s="201">
        <f>波长拟合!D4</f>
        <v>0</v>
      </c>
      <c r="I13" s="202"/>
      <c r="J13" s="202"/>
      <c r="K13" s="209">
        <f>波长拟合!B4</f>
        <v>807.4</v>
      </c>
      <c r="L13" s="202"/>
      <c r="M13" s="209">
        <f>波长拟合!F4</f>
        <v>0</v>
      </c>
      <c r="N13" s="202"/>
      <c r="O13" s="202"/>
    </row>
    <row r="14" s="126" customFormat="1" ht="19.05" customHeight="1" spans="1:15">
      <c r="A14" s="183"/>
      <c r="B14" s="187"/>
      <c r="C14" s="184" t="s">
        <v>31</v>
      </c>
      <c r="D14" s="203"/>
      <c r="E14" s="201" t="str">
        <f>波长拟合!C5</f>
        <v>Abs</v>
      </c>
      <c r="F14" s="202"/>
      <c r="G14" s="202"/>
      <c r="H14" s="201">
        <f>波长拟合!D5</f>
        <v>0</v>
      </c>
      <c r="I14" s="202"/>
      <c r="J14" s="202"/>
      <c r="K14" s="209">
        <f>波长拟合!B5</f>
        <v>241</v>
      </c>
      <c r="L14" s="202"/>
      <c r="M14" s="209">
        <f>波长拟合!F5</f>
        <v>0</v>
      </c>
      <c r="N14" s="202"/>
      <c r="O14" s="202"/>
    </row>
    <row r="15" s="126" customFormat="1" ht="19.05" customHeight="1" spans="1:15">
      <c r="A15" s="183"/>
      <c r="B15" s="187"/>
      <c r="C15" s="204"/>
      <c r="D15" s="205"/>
      <c r="E15" s="201" t="str">
        <f>波长拟合!C6</f>
        <v>Abs</v>
      </c>
      <c r="F15" s="202"/>
      <c r="G15" s="202"/>
      <c r="H15" s="201">
        <f>波长拟合!D6</f>
        <v>0</v>
      </c>
      <c r="I15" s="202"/>
      <c r="J15" s="202"/>
      <c r="K15" s="209">
        <f>波长拟合!B6</f>
        <v>361</v>
      </c>
      <c r="L15" s="202"/>
      <c r="M15" s="209">
        <f>波长拟合!F6</f>
        <v>0</v>
      </c>
      <c r="N15" s="202"/>
      <c r="O15" s="202"/>
    </row>
    <row r="16" s="126" customFormat="1" ht="19.05" customHeight="1" spans="1:15">
      <c r="A16" s="183"/>
      <c r="B16" s="187"/>
      <c r="C16" s="206"/>
      <c r="D16" s="207"/>
      <c r="E16" s="201" t="str">
        <f>波长拟合!C7</f>
        <v>Abs</v>
      </c>
      <c r="F16" s="202"/>
      <c r="G16" s="202"/>
      <c r="H16" s="201">
        <f>波长拟合!D7</f>
        <v>0</v>
      </c>
      <c r="I16" s="202"/>
      <c r="J16" s="202"/>
      <c r="K16" s="209">
        <f>波长拟合!B7</f>
        <v>640.7</v>
      </c>
      <c r="L16" s="202"/>
      <c r="M16" s="209">
        <f>波长拟合!F7</f>
        <v>0</v>
      </c>
      <c r="N16" s="202"/>
      <c r="O16" s="202"/>
    </row>
    <row r="17" s="126" customFormat="1" ht="19.05" customHeight="1" spans="1:15">
      <c r="A17" s="183"/>
      <c r="B17" s="187"/>
      <c r="C17" s="184" t="s">
        <v>32</v>
      </c>
      <c r="D17" s="203"/>
      <c r="E17" s="201" t="str">
        <f>波长拟合!C8</f>
        <v>Es</v>
      </c>
      <c r="F17" s="202"/>
      <c r="G17" s="202"/>
      <c r="H17" s="201">
        <f>波长拟合!D8</f>
        <v>3</v>
      </c>
      <c r="I17" s="202"/>
      <c r="J17" s="202"/>
      <c r="K17" s="209">
        <f>波长拟合!B8</f>
        <v>296.7</v>
      </c>
      <c r="L17" s="202"/>
      <c r="M17" s="209">
        <f>波长拟合!F8</f>
        <v>0</v>
      </c>
      <c r="N17" s="202"/>
      <c r="O17" s="202"/>
    </row>
    <row r="18" s="126" customFormat="1" ht="19.05" customHeight="1" spans="1:15">
      <c r="A18" s="183"/>
      <c r="B18" s="187"/>
      <c r="C18" s="204"/>
      <c r="D18" s="205"/>
      <c r="E18" s="201" t="str">
        <f>波长拟合!C9</f>
        <v>Es</v>
      </c>
      <c r="F18" s="202"/>
      <c r="G18" s="202"/>
      <c r="H18" s="201">
        <f>波长拟合!D9</f>
        <v>3</v>
      </c>
      <c r="I18" s="202"/>
      <c r="J18" s="202"/>
      <c r="K18" s="209">
        <f>波长拟合!B9</f>
        <v>404.7</v>
      </c>
      <c r="L18" s="202"/>
      <c r="M18" s="209">
        <f>波长拟合!F9</f>
        <v>0</v>
      </c>
      <c r="N18" s="202"/>
      <c r="O18" s="202"/>
    </row>
    <row r="19" s="126" customFormat="1" ht="19.05" customHeight="1" spans="1:15">
      <c r="A19" s="183"/>
      <c r="B19" s="187"/>
      <c r="C19" s="204"/>
      <c r="D19" s="205"/>
      <c r="E19" s="201" t="str">
        <f>波长拟合!C10</f>
        <v>Es</v>
      </c>
      <c r="F19" s="202"/>
      <c r="G19" s="202"/>
      <c r="H19" s="201">
        <f>波长拟合!D10</f>
        <v>3</v>
      </c>
      <c r="I19" s="202"/>
      <c r="J19" s="202"/>
      <c r="K19" s="209">
        <f>波长拟合!B10</f>
        <v>435.8</v>
      </c>
      <c r="L19" s="202"/>
      <c r="M19" s="209">
        <f>波长拟合!F10</f>
        <v>0</v>
      </c>
      <c r="N19" s="202"/>
      <c r="O19" s="202"/>
    </row>
    <row r="20" s="126" customFormat="1" ht="19.05" customHeight="1" spans="1:15">
      <c r="A20" s="183"/>
      <c r="B20" s="187"/>
      <c r="C20" s="204"/>
      <c r="D20" s="205"/>
      <c r="E20" s="201" t="str">
        <f>波长拟合!C11</f>
        <v>Es</v>
      </c>
      <c r="F20" s="202"/>
      <c r="G20" s="202"/>
      <c r="H20" s="201">
        <f>波长拟合!D11</f>
        <v>3</v>
      </c>
      <c r="I20" s="202"/>
      <c r="J20" s="202"/>
      <c r="K20" s="209">
        <f>波长拟合!B11</f>
        <v>546.1</v>
      </c>
      <c r="L20" s="202"/>
      <c r="M20" s="209">
        <f>波长拟合!F11</f>
        <v>0</v>
      </c>
      <c r="N20" s="202"/>
      <c r="O20" s="202"/>
    </row>
    <row r="21" s="126" customFormat="1" ht="19.05" customHeight="1" spans="1:15">
      <c r="A21" s="186">
        <v>3</v>
      </c>
      <c r="B21" s="186" t="s">
        <v>33</v>
      </c>
      <c r="C21" s="182" t="s">
        <v>24</v>
      </c>
      <c r="D21" s="182"/>
      <c r="E21" s="182" t="s">
        <v>34</v>
      </c>
      <c r="F21" s="182"/>
      <c r="G21" s="182"/>
      <c r="H21" s="182"/>
      <c r="I21" s="191" t="s">
        <v>35</v>
      </c>
      <c r="J21" s="190"/>
      <c r="K21" s="183" t="s">
        <v>36</v>
      </c>
      <c r="L21" s="190"/>
      <c r="M21" s="183"/>
      <c r="N21" s="191"/>
      <c r="O21" s="190"/>
    </row>
    <row r="22" s="126" customFormat="1" ht="19.05" customHeight="1" spans="1:15">
      <c r="A22" s="187"/>
      <c r="B22" s="187"/>
      <c r="C22" s="182" t="s">
        <v>29</v>
      </c>
      <c r="D22" s="182"/>
      <c r="E22" s="208" t="s">
        <v>37</v>
      </c>
      <c r="F22" s="208"/>
      <c r="G22" s="208"/>
      <c r="H22" s="208"/>
      <c r="I22" s="191" t="str">
        <f>能量扫描!B2</f>
        <v>486</v>
      </c>
      <c r="J22" s="190"/>
      <c r="K22" s="191">
        <f>能量扫描!C2</f>
        <v>0</v>
      </c>
      <c r="L22" s="190"/>
      <c r="M22" s="183"/>
      <c r="N22" s="191"/>
      <c r="O22" s="190"/>
    </row>
    <row r="23" s="126" customFormat="1" ht="19.05" customHeight="1" spans="1:15">
      <c r="A23" s="187"/>
      <c r="B23" s="187"/>
      <c r="C23" s="182"/>
      <c r="D23" s="182"/>
      <c r="E23" s="208" t="s">
        <v>38</v>
      </c>
      <c r="F23" s="208"/>
      <c r="G23" s="208"/>
      <c r="H23" s="208"/>
      <c r="I23" s="191" t="str">
        <f>能量扫描!B3</f>
        <v>656.1</v>
      </c>
      <c r="J23" s="190"/>
      <c r="K23" s="191">
        <f>能量扫描!C3</f>
        <v>0</v>
      </c>
      <c r="L23" s="190"/>
      <c r="M23" s="183"/>
      <c r="N23" s="191"/>
      <c r="O23" s="190"/>
    </row>
    <row r="24" s="126" customFormat="1" ht="19.05" customHeight="1" spans="1:15">
      <c r="A24" s="187"/>
      <c r="B24" s="187"/>
      <c r="C24" s="182"/>
      <c r="D24" s="182"/>
      <c r="E24" s="208" t="s">
        <v>39</v>
      </c>
      <c r="F24" s="208"/>
      <c r="G24" s="208"/>
      <c r="H24" s="208"/>
      <c r="I24" s="191" t="str">
        <f>能量扫描!B4</f>
        <v>全段</v>
      </c>
      <c r="J24" s="190"/>
      <c r="K24" s="191"/>
      <c r="L24" s="190"/>
      <c r="M24" s="183"/>
      <c r="N24" s="191"/>
      <c r="O24" s="190"/>
    </row>
    <row r="25" s="126" customFormat="1" ht="19.05" customHeight="1" spans="1:15">
      <c r="A25" s="192"/>
      <c r="B25" s="192"/>
      <c r="C25" s="182" t="s">
        <v>40</v>
      </c>
      <c r="D25" s="182"/>
      <c r="E25" s="208" t="s">
        <v>41</v>
      </c>
      <c r="F25" s="208"/>
      <c r="G25" s="208"/>
      <c r="H25" s="208"/>
      <c r="I25" s="191" t="e">
        <f>能量扫描!#REF!</f>
        <v>#REF!</v>
      </c>
      <c r="J25" s="190"/>
      <c r="K25" s="191"/>
      <c r="L25" s="190"/>
      <c r="M25" s="183"/>
      <c r="N25" s="191"/>
      <c r="O25" s="190"/>
    </row>
    <row r="26" s="126" customFormat="1" ht="19.05" customHeight="1" spans="1:15">
      <c r="A26" s="181">
        <v>4</v>
      </c>
      <c r="B26" s="181" t="s">
        <v>42</v>
      </c>
      <c r="C26" s="181" t="s">
        <v>43</v>
      </c>
      <c r="D26" s="182"/>
      <c r="E26" s="181" t="s">
        <v>44</v>
      </c>
      <c r="F26" s="182"/>
      <c r="G26" s="182"/>
      <c r="H26" s="181" t="s">
        <v>45</v>
      </c>
      <c r="I26" s="182"/>
      <c r="J26" s="182"/>
      <c r="K26" s="182"/>
      <c r="L26" s="182"/>
      <c r="M26" s="182"/>
      <c r="N26" s="182"/>
      <c r="O26" s="182"/>
    </row>
    <row r="27" s="126" customFormat="1" ht="19.05" customHeight="1" spans="1:15">
      <c r="A27" s="182"/>
      <c r="B27" s="182"/>
      <c r="C27" s="182"/>
      <c r="D27" s="182"/>
      <c r="E27" s="181" t="s">
        <v>24</v>
      </c>
      <c r="F27" s="182"/>
      <c r="G27" s="182"/>
      <c r="H27" s="181" t="s">
        <v>29</v>
      </c>
      <c r="I27" s="182"/>
      <c r="J27" s="182"/>
      <c r="K27" s="209" t="s">
        <v>29</v>
      </c>
      <c r="L27" s="202"/>
      <c r="M27" s="181" t="s">
        <v>30</v>
      </c>
      <c r="N27" s="182"/>
      <c r="O27" s="182"/>
    </row>
    <row r="28" s="126" customFormat="1" ht="19.05" customHeight="1" spans="1:15">
      <c r="A28" s="182"/>
      <c r="B28" s="182"/>
      <c r="C28" s="182"/>
      <c r="D28" s="182"/>
      <c r="E28" s="181" t="s">
        <v>27</v>
      </c>
      <c r="F28" s="182"/>
      <c r="G28" s="182"/>
      <c r="H28" s="209" t="str">
        <f>波长示值误差校验!B2</f>
        <v>656.1</v>
      </c>
      <c r="I28" s="202"/>
      <c r="J28" s="202"/>
      <c r="K28" s="209" t="str">
        <f>波长示值误差校验!B3</f>
        <v>486</v>
      </c>
      <c r="L28" s="202"/>
      <c r="M28" s="209" t="str">
        <f>波长示值误差校验!B4</f>
        <v>807.4</v>
      </c>
      <c r="N28" s="202"/>
      <c r="O28" s="202"/>
    </row>
    <row r="29" s="126" customFormat="1" ht="19.05" customHeight="1" spans="1:15">
      <c r="A29" s="182"/>
      <c r="B29" s="182"/>
      <c r="C29" s="182"/>
      <c r="D29" s="182"/>
      <c r="E29" s="181" t="s">
        <v>28</v>
      </c>
      <c r="F29" s="182"/>
      <c r="G29" s="182"/>
      <c r="H29" s="210">
        <f>波长示值误差校验!C2</f>
        <v>0</v>
      </c>
      <c r="I29" s="211"/>
      <c r="J29" s="211"/>
      <c r="K29" s="210">
        <f>波长示值误差校验!C3</f>
        <v>0</v>
      </c>
      <c r="L29" s="211"/>
      <c r="M29" s="210">
        <f>波长示值误差校验!C4</f>
        <v>0</v>
      </c>
      <c r="N29" s="211"/>
      <c r="O29" s="211"/>
    </row>
    <row r="30" s="126" customFormat="1" ht="19.05" customHeight="1" spans="1:15">
      <c r="A30" s="182"/>
      <c r="B30" s="182"/>
      <c r="C30" s="182"/>
      <c r="D30" s="182"/>
      <c r="E30" s="181" t="s">
        <v>46</v>
      </c>
      <c r="F30" s="182"/>
      <c r="G30" s="182"/>
      <c r="H30" s="210">
        <f>波长示值误差校验!C3</f>
        <v>0</v>
      </c>
      <c r="I30" s="211"/>
      <c r="J30" s="211"/>
      <c r="K30" s="210">
        <f>波长示值误差校验!C4</f>
        <v>0</v>
      </c>
      <c r="L30" s="211"/>
      <c r="M30" s="210">
        <f>波长示值误差校验!C5</f>
        <v>0</v>
      </c>
      <c r="N30" s="211"/>
      <c r="O30" s="211"/>
    </row>
    <row r="31" s="126" customFormat="1" ht="19.05" customHeight="1" spans="1:15">
      <c r="A31" s="182"/>
      <c r="B31" s="181" t="s">
        <v>47</v>
      </c>
      <c r="C31" s="181" t="s">
        <v>48</v>
      </c>
      <c r="D31" s="182"/>
      <c r="E31" s="181" t="s">
        <v>24</v>
      </c>
      <c r="F31" s="182"/>
      <c r="G31" s="182"/>
      <c r="H31" s="181" t="s">
        <v>31</v>
      </c>
      <c r="I31" s="182"/>
      <c r="J31" s="182"/>
      <c r="K31" s="182"/>
      <c r="L31" s="182"/>
      <c r="M31" s="182"/>
      <c r="N31" s="182"/>
      <c r="O31" s="182"/>
    </row>
    <row r="32" s="126" customFormat="1" ht="19.05" customHeight="1" spans="1:15">
      <c r="A32" s="182"/>
      <c r="B32" s="182"/>
      <c r="C32" s="182"/>
      <c r="D32" s="182"/>
      <c r="E32" s="181" t="s">
        <v>27</v>
      </c>
      <c r="F32" s="182"/>
      <c r="G32" s="182"/>
      <c r="H32" s="209" t="str">
        <f>波长示值误差校验!B5</f>
        <v>640.7</v>
      </c>
      <c r="I32" s="202"/>
      <c r="J32" s="209" t="str">
        <f>波长示值误差校验!B6</f>
        <v>536.8</v>
      </c>
      <c r="K32" s="209" t="str">
        <f>波长示值误差校验!B7</f>
        <v>416.5</v>
      </c>
      <c r="L32" s="209" t="str">
        <f>波长示值误差校验!B8</f>
        <v>361.0</v>
      </c>
      <c r="M32" s="209" t="str">
        <f>波长示值误差校验!B9</f>
        <v>287.4</v>
      </c>
      <c r="N32" s="209" t="str">
        <f>波长示值误差校验!B10</f>
        <v>241.0</v>
      </c>
      <c r="O32" s="202"/>
    </row>
    <row r="33" s="126" customFormat="1" ht="19.5" customHeight="1" spans="1:15">
      <c r="A33" s="182"/>
      <c r="B33" s="182"/>
      <c r="C33" s="182"/>
      <c r="D33" s="182"/>
      <c r="E33" s="182"/>
      <c r="F33" s="182"/>
      <c r="G33" s="182"/>
      <c r="H33" s="202"/>
      <c r="I33" s="202"/>
      <c r="J33" s="202"/>
      <c r="K33" s="202"/>
      <c r="L33" s="202"/>
      <c r="M33" s="202"/>
      <c r="N33" s="202"/>
      <c r="O33" s="202"/>
    </row>
    <row r="34" s="126" customFormat="1" ht="19.05" customHeight="1" spans="1:15">
      <c r="A34" s="182"/>
      <c r="B34" s="182"/>
      <c r="C34" s="182"/>
      <c r="D34" s="182"/>
      <c r="E34" s="181" t="s">
        <v>28</v>
      </c>
      <c r="F34" s="182"/>
      <c r="G34" s="182"/>
      <c r="H34" s="210">
        <f>波长示值误差校验!C5</f>
        <v>0</v>
      </c>
      <c r="I34" s="211"/>
      <c r="J34" s="210">
        <f>波长示值误差校验!C6</f>
        <v>0</v>
      </c>
      <c r="K34" s="210">
        <f>波长示值误差校验!C7</f>
        <v>0</v>
      </c>
      <c r="L34" s="210">
        <f>波长示值误差校验!C8</f>
        <v>0</v>
      </c>
      <c r="M34" s="210">
        <f>波长示值误差校验!C9</f>
        <v>0</v>
      </c>
      <c r="N34" s="210">
        <f>波长示值误差校验!C10</f>
        <v>0</v>
      </c>
      <c r="O34" s="211"/>
    </row>
    <row r="35" s="126" customFormat="1" ht="19.5" customHeight="1" spans="1:15">
      <c r="A35" s="182"/>
      <c r="B35" s="182"/>
      <c r="C35" s="182"/>
      <c r="D35" s="182"/>
      <c r="E35" s="182"/>
      <c r="F35" s="182"/>
      <c r="G35" s="182"/>
      <c r="H35" s="211"/>
      <c r="I35" s="211"/>
      <c r="J35" s="211"/>
      <c r="K35" s="211"/>
      <c r="L35" s="211"/>
      <c r="M35" s="211"/>
      <c r="N35" s="211"/>
      <c r="O35" s="211"/>
    </row>
    <row r="36" s="126" customFormat="1" ht="19.5" hidden="1" customHeight="1" spans="1:15">
      <c r="A36" s="182"/>
      <c r="B36" s="182"/>
      <c r="C36" s="182"/>
      <c r="D36" s="182"/>
      <c r="E36" s="182"/>
      <c r="F36" s="182"/>
      <c r="G36" s="182"/>
      <c r="H36" s="211"/>
      <c r="I36" s="211"/>
      <c r="J36" s="211"/>
      <c r="K36" s="211"/>
      <c r="L36" s="211"/>
      <c r="M36" s="211"/>
      <c r="N36" s="211"/>
      <c r="O36" s="211"/>
    </row>
    <row r="37" s="126" customFormat="1" ht="19.5" hidden="1" customHeight="1" spans="1:15">
      <c r="A37" s="182"/>
      <c r="B37" s="182"/>
      <c r="C37" s="182"/>
      <c r="D37" s="182"/>
      <c r="E37" s="182"/>
      <c r="F37" s="182"/>
      <c r="G37" s="182"/>
      <c r="H37" s="211"/>
      <c r="I37" s="211"/>
      <c r="J37" s="211"/>
      <c r="K37" s="211"/>
      <c r="L37" s="211"/>
      <c r="M37" s="211"/>
      <c r="N37" s="211"/>
      <c r="O37" s="211"/>
    </row>
    <row r="38" s="126" customFormat="1" ht="19.05" customHeight="1" spans="1:15">
      <c r="A38" s="182"/>
      <c r="B38" s="182"/>
      <c r="C38" s="182"/>
      <c r="D38" s="182"/>
      <c r="E38" s="181" t="s">
        <v>46</v>
      </c>
      <c r="F38" s="182"/>
      <c r="G38" s="182"/>
      <c r="H38" s="210" t="str">
        <f>波长示值误差校验!D5</f>
        <v/>
      </c>
      <c r="I38" s="211"/>
      <c r="J38" s="238" t="str">
        <f>波长示值误差校验!D6</f>
        <v/>
      </c>
      <c r="K38" s="239" t="str">
        <f>波长示值误差校验!D7</f>
        <v/>
      </c>
      <c r="L38" s="238" t="str">
        <f>波长示值误差校验!D8</f>
        <v/>
      </c>
      <c r="M38" s="238" t="str">
        <f>波长示值误差校验!D9</f>
        <v/>
      </c>
      <c r="N38" s="240" t="str">
        <f>波长示值误差校验!D10</f>
        <v/>
      </c>
      <c r="O38" s="241"/>
    </row>
    <row r="39" s="126" customFormat="1" ht="18" hidden="1" customHeight="1" spans="1:15">
      <c r="A39" s="182"/>
      <c r="B39" s="182"/>
      <c r="C39" s="182"/>
      <c r="D39" s="182"/>
      <c r="E39" s="182"/>
      <c r="F39" s="182"/>
      <c r="G39" s="182"/>
      <c r="H39" s="211"/>
      <c r="I39" s="211"/>
      <c r="J39" s="242"/>
      <c r="K39" s="243"/>
      <c r="L39" s="242"/>
      <c r="M39" s="243"/>
      <c r="N39" s="244"/>
      <c r="O39" s="245"/>
    </row>
    <row r="40" s="126" customFormat="1" ht="19.5" hidden="1" customHeight="1" spans="1:15">
      <c r="A40" s="182"/>
      <c r="B40" s="182"/>
      <c r="C40" s="182"/>
      <c r="D40" s="182"/>
      <c r="E40" s="182"/>
      <c r="F40" s="182"/>
      <c r="G40" s="182"/>
      <c r="H40" s="212"/>
      <c r="I40" s="212"/>
      <c r="J40" s="212"/>
      <c r="K40" s="212"/>
      <c r="L40" s="212"/>
      <c r="M40" s="212"/>
      <c r="N40" s="212"/>
      <c r="O40" s="212"/>
    </row>
    <row r="41" s="126" customFormat="1" ht="19.05" customHeight="1" spans="1:15">
      <c r="A41" s="181">
        <v>5</v>
      </c>
      <c r="B41" s="213" t="s">
        <v>49</v>
      </c>
      <c r="C41" s="181"/>
      <c r="D41" s="182"/>
      <c r="E41" s="213" t="s">
        <v>50</v>
      </c>
      <c r="F41" s="194"/>
      <c r="G41" s="194"/>
      <c r="H41" s="213"/>
      <c r="I41" s="194"/>
      <c r="J41" s="181">
        <v>1</v>
      </c>
      <c r="K41" s="181">
        <v>2</v>
      </c>
      <c r="L41" s="181">
        <v>3</v>
      </c>
      <c r="M41" s="246" t="s">
        <v>18</v>
      </c>
      <c r="N41" s="247"/>
      <c r="O41" s="247"/>
    </row>
    <row r="42" s="126" customFormat="1" ht="30" hidden="1" customHeight="1" spans="1:15">
      <c r="A42" s="182"/>
      <c r="B42" s="194"/>
      <c r="C42" s="182"/>
      <c r="D42" s="182"/>
      <c r="E42" s="194"/>
      <c r="F42" s="194"/>
      <c r="G42" s="194"/>
      <c r="H42" s="194"/>
      <c r="I42" s="194"/>
      <c r="J42" s="182"/>
      <c r="K42" s="182"/>
      <c r="L42" s="182"/>
      <c r="M42" s="247"/>
      <c r="N42" s="247"/>
      <c r="O42" s="247"/>
    </row>
    <row r="43" s="126" customFormat="1" ht="19.05" customHeight="1" spans="1:15">
      <c r="A43" s="182"/>
      <c r="B43" s="194"/>
      <c r="C43" s="214" t="s">
        <v>51</v>
      </c>
      <c r="D43" s="181" t="s">
        <v>52</v>
      </c>
      <c r="E43" s="213" t="s">
        <v>53</v>
      </c>
      <c r="F43" s="194"/>
      <c r="G43" s="194"/>
      <c r="H43" s="181" t="s">
        <v>54</v>
      </c>
      <c r="I43" s="182"/>
      <c r="J43" s="248">
        <f>杂散光校验!C2</f>
        <v>0</v>
      </c>
      <c r="K43" s="248">
        <f>杂散光校验!D2</f>
        <v>0</v>
      </c>
      <c r="L43" s="248">
        <f>杂散光校验!E2</f>
        <v>0</v>
      </c>
      <c r="M43" s="246" t="str">
        <f>杂散光校验!G2</f>
        <v>不合格</v>
      </c>
      <c r="N43" s="247"/>
      <c r="O43" s="247"/>
    </row>
    <row r="44" s="126" customFormat="1" ht="30" customHeight="1" spans="1:15">
      <c r="A44" s="182"/>
      <c r="B44" s="194"/>
      <c r="C44" s="215"/>
      <c r="D44" s="182"/>
      <c r="E44" s="194"/>
      <c r="F44" s="194"/>
      <c r="G44" s="194"/>
      <c r="H44" s="182"/>
      <c r="I44" s="182"/>
      <c r="J44" s="249"/>
      <c r="K44" s="249"/>
      <c r="L44" s="249"/>
      <c r="M44" s="247"/>
      <c r="N44" s="247"/>
      <c r="O44" s="247"/>
    </row>
    <row r="45" s="126" customFormat="1" ht="30" customHeight="1" spans="1:15">
      <c r="A45" s="182"/>
      <c r="B45" s="194"/>
      <c r="C45" s="214" t="s">
        <v>55</v>
      </c>
      <c r="D45" s="181" t="s">
        <v>56</v>
      </c>
      <c r="E45" s="213" t="s">
        <v>57</v>
      </c>
      <c r="F45" s="194"/>
      <c r="G45" s="194"/>
      <c r="H45" s="182"/>
      <c r="I45" s="182"/>
      <c r="J45" s="248">
        <f>杂散光校验!C3</f>
        <v>0</v>
      </c>
      <c r="K45" s="248">
        <f>杂散光校验!D3</f>
        <v>0</v>
      </c>
      <c r="L45" s="248">
        <f>杂散光校验!E3</f>
        <v>0</v>
      </c>
      <c r="M45" s="246" t="str">
        <f>杂散光校验!G3</f>
        <v>不合格</v>
      </c>
      <c r="N45" s="247"/>
      <c r="O45" s="247"/>
    </row>
    <row r="46" s="126" customFormat="1" ht="30" customHeight="1" spans="1:15">
      <c r="A46" s="182"/>
      <c r="B46" s="194"/>
      <c r="C46" s="215"/>
      <c r="D46" s="182"/>
      <c r="E46" s="194"/>
      <c r="F46" s="194"/>
      <c r="G46" s="194"/>
      <c r="H46" s="182"/>
      <c r="I46" s="182"/>
      <c r="J46" s="249"/>
      <c r="K46" s="249"/>
      <c r="L46" s="249"/>
      <c r="M46" s="247"/>
      <c r="N46" s="247"/>
      <c r="O46" s="247"/>
    </row>
    <row r="47" s="126" customFormat="1" ht="30" customHeight="1" spans="1:15">
      <c r="A47" s="181">
        <v>6</v>
      </c>
      <c r="B47" s="213" t="s">
        <v>58</v>
      </c>
      <c r="C47" s="181" t="s">
        <v>59</v>
      </c>
      <c r="D47" s="182"/>
      <c r="E47" s="182"/>
      <c r="F47" s="182"/>
      <c r="G47" s="182"/>
      <c r="H47" s="181" t="s">
        <v>60</v>
      </c>
      <c r="I47" s="182"/>
      <c r="J47" s="182"/>
      <c r="K47" s="182"/>
      <c r="L47" s="182"/>
      <c r="M47" s="250">
        <f>基线平直度检验!B2</f>
        <v>0</v>
      </c>
      <c r="N47" s="251"/>
      <c r="O47" s="251"/>
    </row>
    <row r="48" s="126" customFormat="1" ht="30" customHeight="1" spans="1:15">
      <c r="A48" s="182"/>
      <c r="B48" s="194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251"/>
      <c r="N48" s="251"/>
      <c r="O48" s="251"/>
    </row>
    <row r="49" ht="77.25" customHeight="1" spans="1:15">
      <c r="A49" s="216">
        <v>7</v>
      </c>
      <c r="B49" s="193" t="s">
        <v>61</v>
      </c>
      <c r="C49" s="216" t="s">
        <v>62</v>
      </c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52" t="s">
        <v>63</v>
      </c>
      <c r="O49" s="253"/>
    </row>
    <row r="50" ht="30" customHeight="1" spans="1:15">
      <c r="A50" s="194"/>
      <c r="B50" s="182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254"/>
      <c r="O50" s="254"/>
    </row>
    <row r="51" ht="27.75" customHeight="1" spans="1:15">
      <c r="A51" s="213" t="s">
        <v>64</v>
      </c>
      <c r="B51" s="194"/>
      <c r="C51" s="213" t="s">
        <v>65</v>
      </c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</row>
    <row r="52" ht="14.25" customHeight="1" spans="1:15">
      <c r="A52" s="181" t="s">
        <v>66</v>
      </c>
      <c r="B52" s="182"/>
      <c r="C52" s="218" t="s">
        <v>67</v>
      </c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</row>
    <row r="53" ht="14.25" customHeight="1" spans="1:15">
      <c r="A53" s="182"/>
      <c r="B53" s="182"/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</row>
    <row r="54" ht="27" customHeight="1" spans="1:15">
      <c r="A54" s="182"/>
      <c r="B54" s="182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</row>
  </sheetData>
  <mergeCells count="201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A7:B7"/>
    <mergeCell ref="C7:D7"/>
    <mergeCell ref="E7:G7"/>
    <mergeCell ref="H7:J7"/>
    <mergeCell ref="K7:L7"/>
    <mergeCell ref="M7:O7"/>
    <mergeCell ref="B8:D8"/>
    <mergeCell ref="E8:O8"/>
    <mergeCell ref="B9:C9"/>
    <mergeCell ref="D9:F9"/>
    <mergeCell ref="G9:I9"/>
    <mergeCell ref="J9:K9"/>
    <mergeCell ref="M9:O9"/>
    <mergeCell ref="C10:D10"/>
    <mergeCell ref="E10:G10"/>
    <mergeCell ref="H10:J10"/>
    <mergeCell ref="K10:L10"/>
    <mergeCell ref="M10:O10"/>
    <mergeCell ref="E11:G11"/>
    <mergeCell ref="H11:J11"/>
    <mergeCell ref="K11:L11"/>
    <mergeCell ref="M11:O11"/>
    <mergeCell ref="E12:G12"/>
    <mergeCell ref="H12:J12"/>
    <mergeCell ref="K12:L12"/>
    <mergeCell ref="M12:O12"/>
    <mergeCell ref="C13:D13"/>
    <mergeCell ref="E13:G13"/>
    <mergeCell ref="H13:J13"/>
    <mergeCell ref="K13:L13"/>
    <mergeCell ref="M13:O13"/>
    <mergeCell ref="E14:G14"/>
    <mergeCell ref="H14:J14"/>
    <mergeCell ref="K14:L14"/>
    <mergeCell ref="M14:O14"/>
    <mergeCell ref="E15:G15"/>
    <mergeCell ref="H15:J15"/>
    <mergeCell ref="K15:L15"/>
    <mergeCell ref="M15:O15"/>
    <mergeCell ref="E16:G16"/>
    <mergeCell ref="H16:J16"/>
    <mergeCell ref="K16:L16"/>
    <mergeCell ref="M16:O16"/>
    <mergeCell ref="E17:G17"/>
    <mergeCell ref="H17:J17"/>
    <mergeCell ref="K17:L17"/>
    <mergeCell ref="M17:O17"/>
    <mergeCell ref="E18:G18"/>
    <mergeCell ref="H18:J18"/>
    <mergeCell ref="K18:L18"/>
    <mergeCell ref="M18:O18"/>
    <mergeCell ref="E19:G19"/>
    <mergeCell ref="H19:J19"/>
    <mergeCell ref="K19:L19"/>
    <mergeCell ref="M19:O19"/>
    <mergeCell ref="E20:G20"/>
    <mergeCell ref="H20:J20"/>
    <mergeCell ref="K20:L20"/>
    <mergeCell ref="M20:O20"/>
    <mergeCell ref="C21:D21"/>
    <mergeCell ref="E21:H21"/>
    <mergeCell ref="I21:J21"/>
    <mergeCell ref="K21:L21"/>
    <mergeCell ref="M21:O21"/>
    <mergeCell ref="E22:H22"/>
    <mergeCell ref="I22:J22"/>
    <mergeCell ref="K22:L22"/>
    <mergeCell ref="M22:O22"/>
    <mergeCell ref="E23:H23"/>
    <mergeCell ref="I23:J23"/>
    <mergeCell ref="K23:L23"/>
    <mergeCell ref="M23:O23"/>
    <mergeCell ref="E24:H24"/>
    <mergeCell ref="I24:J24"/>
    <mergeCell ref="K24:L24"/>
    <mergeCell ref="M24:O24"/>
    <mergeCell ref="C25:D25"/>
    <mergeCell ref="E25:H25"/>
    <mergeCell ref="I25:J25"/>
    <mergeCell ref="K25:L25"/>
    <mergeCell ref="M25:O25"/>
    <mergeCell ref="E26:G26"/>
    <mergeCell ref="H26:O26"/>
    <mergeCell ref="E27:G27"/>
    <mergeCell ref="H27:J27"/>
    <mergeCell ref="K27:L27"/>
    <mergeCell ref="M27:O27"/>
    <mergeCell ref="E28:G28"/>
    <mergeCell ref="H28:J28"/>
    <mergeCell ref="K28:L28"/>
    <mergeCell ref="M28:O28"/>
    <mergeCell ref="E29:G29"/>
    <mergeCell ref="H29:J29"/>
    <mergeCell ref="K29:L29"/>
    <mergeCell ref="M29:O29"/>
    <mergeCell ref="E30:G30"/>
    <mergeCell ref="H30:J30"/>
    <mergeCell ref="K30:L30"/>
    <mergeCell ref="M30:O30"/>
    <mergeCell ref="E31:G31"/>
    <mergeCell ref="H31:O31"/>
    <mergeCell ref="H36:I36"/>
    <mergeCell ref="N36:O36"/>
    <mergeCell ref="E37:G37"/>
    <mergeCell ref="H37:I37"/>
    <mergeCell ref="N37:O37"/>
    <mergeCell ref="E40:G40"/>
    <mergeCell ref="H40:I40"/>
    <mergeCell ref="N40:O40"/>
    <mergeCell ref="A51:B51"/>
    <mergeCell ref="C51:O51"/>
    <mergeCell ref="A10:A20"/>
    <mergeCell ref="A21:A25"/>
    <mergeCell ref="A26:A40"/>
    <mergeCell ref="A41:A46"/>
    <mergeCell ref="A47:A48"/>
    <mergeCell ref="A49:A50"/>
    <mergeCell ref="B10:B20"/>
    <mergeCell ref="B21:B25"/>
    <mergeCell ref="B26:B30"/>
    <mergeCell ref="B31:B40"/>
    <mergeCell ref="B41:B46"/>
    <mergeCell ref="B47:B48"/>
    <mergeCell ref="B49:B50"/>
    <mergeCell ref="C43:C44"/>
    <mergeCell ref="C45:C46"/>
    <mergeCell ref="D43:D44"/>
    <mergeCell ref="D45:D46"/>
    <mergeCell ref="J32:J33"/>
    <mergeCell ref="J34:J35"/>
    <mergeCell ref="J41:J42"/>
    <mergeCell ref="J43:J44"/>
    <mergeCell ref="J45:J46"/>
    <mergeCell ref="K32:K33"/>
    <mergeCell ref="K34:K35"/>
    <mergeCell ref="K41:K42"/>
    <mergeCell ref="K43:K44"/>
    <mergeCell ref="K45:K46"/>
    <mergeCell ref="L32:L33"/>
    <mergeCell ref="L34:L35"/>
    <mergeCell ref="L41:L42"/>
    <mergeCell ref="L43:L44"/>
    <mergeCell ref="L45:L46"/>
    <mergeCell ref="M32:M33"/>
    <mergeCell ref="M34:M35"/>
    <mergeCell ref="C2:K3"/>
    <mergeCell ref="A1:B3"/>
    <mergeCell ref="C11:D12"/>
    <mergeCell ref="C22:D24"/>
    <mergeCell ref="C26:D30"/>
    <mergeCell ref="C31:D40"/>
    <mergeCell ref="E32:G33"/>
    <mergeCell ref="H32:I33"/>
    <mergeCell ref="N32:O33"/>
    <mergeCell ref="E34:G36"/>
    <mergeCell ref="H34:I35"/>
    <mergeCell ref="N34:O35"/>
    <mergeCell ref="E38:G39"/>
    <mergeCell ref="H38:I39"/>
    <mergeCell ref="N38:O39"/>
    <mergeCell ref="C41:D42"/>
    <mergeCell ref="E41:G42"/>
    <mergeCell ref="H41:I42"/>
    <mergeCell ref="M41:O42"/>
    <mergeCell ref="E43:G44"/>
    <mergeCell ref="H43:I46"/>
    <mergeCell ref="M43:O44"/>
    <mergeCell ref="E45:G46"/>
    <mergeCell ref="C47:G48"/>
    <mergeCell ref="H47:L48"/>
    <mergeCell ref="M47:O48"/>
    <mergeCell ref="A52:B54"/>
    <mergeCell ref="C52:O54"/>
    <mergeCell ref="C49:M50"/>
    <mergeCell ref="N49:O50"/>
    <mergeCell ref="M45:O46"/>
    <mergeCell ref="C14:D16"/>
    <mergeCell ref="C17:D20"/>
  </mergeCells>
  <printOptions horizont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workbookViewId="0">
      <selection activeCell="B13" sqref="B13"/>
    </sheetView>
  </sheetViews>
  <sheetFormatPr defaultColWidth="8.88333333333333" defaultRowHeight="13.5"/>
  <cols>
    <col min="1" max="1" width="18.3333333333333" style="122" customWidth="1"/>
    <col min="2" max="2" width="19.3333333333333" style="122" customWidth="1"/>
    <col min="3" max="3" width="21.4416666666667" style="122" customWidth="1"/>
    <col min="4" max="4" width="7.88333333333333" style="122" customWidth="1"/>
    <col min="5" max="7" width="14.1083333333333" style="122" customWidth="1"/>
    <col min="8" max="12" width="11" style="122" customWidth="1"/>
    <col min="13" max="13" width="16.3333333333333" style="122" customWidth="1"/>
    <col min="14" max="14" width="11" style="122" customWidth="1"/>
    <col min="15" max="15" width="20.1083333333333" style="122" customWidth="1"/>
    <col min="16" max="16" width="16.3333333333333" style="167" customWidth="1"/>
    <col min="17" max="16384" width="8.88333333333333" style="122"/>
  </cols>
  <sheetData>
    <row r="1" s="88" customFormat="1" ht="32.25" customHeight="1" spans="1:18">
      <c r="A1" s="106" t="s">
        <v>68</v>
      </c>
      <c r="B1" s="106" t="s">
        <v>69</v>
      </c>
      <c r="C1" s="106" t="s">
        <v>35</v>
      </c>
      <c r="D1" s="106"/>
      <c r="E1" s="168" t="s">
        <v>70</v>
      </c>
      <c r="F1" s="168" t="s">
        <v>71</v>
      </c>
      <c r="G1" s="168" t="s">
        <v>71</v>
      </c>
      <c r="H1" s="168" t="s">
        <v>72</v>
      </c>
      <c r="I1" s="168" t="s">
        <v>73</v>
      </c>
      <c r="J1" s="168" t="s">
        <v>73</v>
      </c>
      <c r="K1" s="168" t="s">
        <v>74</v>
      </c>
      <c r="L1" s="168" t="s">
        <v>74</v>
      </c>
      <c r="M1" s="168" t="s">
        <v>75</v>
      </c>
      <c r="N1" s="168" t="s">
        <v>76</v>
      </c>
      <c r="O1" s="168" t="s">
        <v>77</v>
      </c>
      <c r="P1" s="171" t="s">
        <v>78</v>
      </c>
      <c r="Q1" s="168" t="s">
        <v>26</v>
      </c>
      <c r="R1" s="168" t="s">
        <v>79</v>
      </c>
    </row>
    <row r="2" spans="1:18">
      <c r="A2" s="67" t="s">
        <v>29</v>
      </c>
      <c r="B2" s="67">
        <v>656.1</v>
      </c>
      <c r="C2" s="67">
        <v>656.1</v>
      </c>
      <c r="D2" s="67"/>
      <c r="E2" s="67" t="s">
        <v>80</v>
      </c>
      <c r="F2" s="69" t="s">
        <v>40</v>
      </c>
      <c r="G2" s="69">
        <v>0</v>
      </c>
      <c r="H2" s="67"/>
      <c r="I2" s="67" t="s">
        <v>81</v>
      </c>
      <c r="J2" s="67">
        <v>0</v>
      </c>
      <c r="K2" s="67" t="s">
        <v>82</v>
      </c>
      <c r="L2" s="67">
        <v>0</v>
      </c>
      <c r="M2" s="67"/>
      <c r="N2" s="67">
        <v>1</v>
      </c>
      <c r="P2" s="172">
        <v>0.2</v>
      </c>
      <c r="Q2" s="172"/>
      <c r="R2" s="67"/>
    </row>
    <row r="3" spans="1:18">
      <c r="A3" s="67" t="s">
        <v>83</v>
      </c>
      <c r="B3" s="67">
        <v>253.7</v>
      </c>
      <c r="C3" s="67">
        <v>253.7</v>
      </c>
      <c r="D3" s="67"/>
      <c r="E3" s="67" t="s">
        <v>84</v>
      </c>
      <c r="F3" s="69" t="s">
        <v>29</v>
      </c>
      <c r="G3" s="69">
        <v>1</v>
      </c>
      <c r="H3" s="67" t="s">
        <v>85</v>
      </c>
      <c r="I3" s="67" t="s">
        <v>86</v>
      </c>
      <c r="J3" s="67">
        <v>1</v>
      </c>
      <c r="K3" s="67" t="s">
        <v>87</v>
      </c>
      <c r="L3" s="67">
        <v>1</v>
      </c>
      <c r="M3" s="122">
        <v>0.02</v>
      </c>
      <c r="N3" s="67">
        <v>2</v>
      </c>
      <c r="O3" s="67">
        <v>1</v>
      </c>
      <c r="P3" s="172">
        <v>0.5</v>
      </c>
      <c r="Q3" s="67">
        <v>1</v>
      </c>
      <c r="R3" s="67">
        <v>0.5</v>
      </c>
    </row>
    <row r="4" spans="1:18">
      <c r="A4" s="67" t="s">
        <v>88</v>
      </c>
      <c r="B4" s="67" t="s">
        <v>89</v>
      </c>
      <c r="C4" s="67" t="s">
        <v>89</v>
      </c>
      <c r="D4" s="67"/>
      <c r="E4" s="67"/>
      <c r="F4" s="69" t="s">
        <v>32</v>
      </c>
      <c r="G4" s="69">
        <v>2</v>
      </c>
      <c r="H4" s="67"/>
      <c r="I4" s="67" t="s">
        <v>90</v>
      </c>
      <c r="J4" s="67">
        <v>2</v>
      </c>
      <c r="K4" s="67" t="s">
        <v>91</v>
      </c>
      <c r="L4" s="67">
        <v>2</v>
      </c>
      <c r="M4" s="67">
        <v>0.1</v>
      </c>
      <c r="N4" s="67">
        <v>3</v>
      </c>
      <c r="O4" s="67">
        <v>2</v>
      </c>
      <c r="P4" s="173" t="s">
        <v>92</v>
      </c>
      <c r="Q4" s="67">
        <v>2</v>
      </c>
      <c r="R4" s="67">
        <v>1</v>
      </c>
    </row>
    <row r="5" spans="1:18">
      <c r="A5" s="67" t="s">
        <v>30</v>
      </c>
      <c r="B5" s="67" t="s">
        <v>93</v>
      </c>
      <c r="C5" s="67" t="s">
        <v>93</v>
      </c>
      <c r="D5" s="67"/>
      <c r="E5" s="67"/>
      <c r="F5" s="67"/>
      <c r="G5" s="67"/>
      <c r="H5" s="67"/>
      <c r="I5" s="67" t="s">
        <v>94</v>
      </c>
      <c r="J5" s="67">
        <v>3</v>
      </c>
      <c r="K5" s="67" t="s">
        <v>95</v>
      </c>
      <c r="L5" s="67">
        <v>3</v>
      </c>
      <c r="M5" s="67">
        <v>0.2</v>
      </c>
      <c r="N5" s="67">
        <v>4</v>
      </c>
      <c r="O5" s="67"/>
      <c r="P5" s="173" t="s">
        <v>96</v>
      </c>
      <c r="Q5" s="67">
        <v>3</v>
      </c>
      <c r="R5" s="67">
        <v>2</v>
      </c>
    </row>
    <row r="6" spans="1:18">
      <c r="A6" s="67" t="s">
        <v>97</v>
      </c>
      <c r="B6" s="67" t="s">
        <v>98</v>
      </c>
      <c r="C6" s="67"/>
      <c r="D6" s="67"/>
      <c r="E6" s="67"/>
      <c r="F6" s="67"/>
      <c r="G6" s="67"/>
      <c r="H6" s="67"/>
      <c r="I6" s="67" t="s">
        <v>99</v>
      </c>
      <c r="J6" s="67">
        <v>4</v>
      </c>
      <c r="K6" s="67" t="s">
        <v>100</v>
      </c>
      <c r="L6" s="67">
        <v>4</v>
      </c>
      <c r="M6" s="67">
        <v>0.5</v>
      </c>
      <c r="N6" s="67">
        <v>5</v>
      </c>
      <c r="O6" s="67"/>
      <c r="P6" s="173" t="s">
        <v>101</v>
      </c>
      <c r="Q6" s="67">
        <v>4</v>
      </c>
      <c r="R6" s="67"/>
    </row>
    <row r="7" spans="1:18">
      <c r="A7" s="67" t="s">
        <v>102</v>
      </c>
      <c r="B7" s="67" t="s">
        <v>103</v>
      </c>
      <c r="C7" s="67"/>
      <c r="D7" s="67"/>
      <c r="E7" s="67"/>
      <c r="F7" s="67"/>
      <c r="G7" s="67"/>
      <c r="H7" s="67"/>
      <c r="I7" s="67"/>
      <c r="J7" s="67"/>
      <c r="K7" s="67" t="s">
        <v>104</v>
      </c>
      <c r="L7" s="67"/>
      <c r="M7" s="67">
        <v>1</v>
      </c>
      <c r="N7" s="67"/>
      <c r="O7" s="67"/>
      <c r="P7" s="172"/>
      <c r="Q7" s="67">
        <v>5</v>
      </c>
      <c r="R7" s="67"/>
    </row>
    <row r="8" spans="1:18">
      <c r="A8" s="67" t="s">
        <v>105</v>
      </c>
      <c r="B8" s="67" t="s">
        <v>106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>
        <v>2</v>
      </c>
      <c r="N8" s="67"/>
      <c r="O8" s="67"/>
      <c r="P8" s="172"/>
      <c r="Q8" s="67"/>
      <c r="R8" s="67"/>
    </row>
    <row r="9" spans="1:18">
      <c r="A9" s="169" t="s">
        <v>107</v>
      </c>
      <c r="B9" s="170">
        <v>350313257235</v>
      </c>
      <c r="C9" s="67" t="s">
        <v>108</v>
      </c>
      <c r="D9" s="170"/>
      <c r="E9" s="67"/>
      <c r="F9" s="67"/>
      <c r="G9" s="67"/>
      <c r="H9" s="67"/>
      <c r="I9" s="67"/>
      <c r="J9" s="67"/>
      <c r="K9" s="67"/>
      <c r="L9" s="67"/>
      <c r="M9" s="67">
        <v>5</v>
      </c>
      <c r="N9" s="67"/>
      <c r="O9" s="67"/>
      <c r="P9" s="172"/>
      <c r="Q9" s="67"/>
      <c r="R9" s="67"/>
    </row>
    <row r="10" spans="1:18">
      <c r="A10" s="67" t="s">
        <v>109</v>
      </c>
      <c r="B10" s="67">
        <v>220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172"/>
      <c r="Q10" s="67"/>
      <c r="R10" s="67"/>
    </row>
    <row r="11" spans="1:18">
      <c r="A11" s="67" t="s">
        <v>110</v>
      </c>
      <c r="B11" s="170">
        <v>340360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172"/>
      <c r="Q11" s="67"/>
      <c r="R11" s="67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showGridLines="0" workbookViewId="0">
      <pane ySplit="1" topLeftCell="A20" activePane="bottomLeft" state="frozen"/>
      <selection/>
      <selection pane="bottomLeft" activeCell="E5" sqref="E5"/>
    </sheetView>
  </sheetViews>
  <sheetFormatPr defaultColWidth="9" defaultRowHeight="13.5"/>
  <cols>
    <col min="1" max="1" width="10" style="156" customWidth="1"/>
    <col min="2" max="2" width="13.6666666666667" style="156" customWidth="1"/>
    <col min="3" max="3" width="7.88333333333333" style="156" customWidth="1"/>
    <col min="4" max="4" width="15.3333333333333" style="157" customWidth="1"/>
    <col min="9" max="9" width="17.2166666666667" customWidth="1"/>
    <col min="11" max="11" width="10" customWidth="1"/>
    <col min="14" max="14" width="10" style="156" customWidth="1"/>
    <col min="15" max="15" width="5.775" customWidth="1"/>
    <col min="16" max="16" width="36.6666666666667" style="156" customWidth="1"/>
    <col min="17" max="17" width="11.6666666666667" customWidth="1"/>
  </cols>
  <sheetData>
    <row r="1" spans="1:17">
      <c r="A1" s="158" t="s">
        <v>111</v>
      </c>
      <c r="B1" s="158" t="s">
        <v>112</v>
      </c>
      <c r="C1" s="158" t="s">
        <v>35</v>
      </c>
      <c r="D1" s="159" t="s">
        <v>28</v>
      </c>
      <c r="E1" s="159" t="s">
        <v>113</v>
      </c>
      <c r="F1" s="159" t="s">
        <v>114</v>
      </c>
      <c r="G1" s="159" t="s">
        <v>115</v>
      </c>
      <c r="H1" s="160" t="s">
        <v>7</v>
      </c>
      <c r="I1" s="164" t="s">
        <v>8</v>
      </c>
      <c r="J1" s="160" t="s">
        <v>9</v>
      </c>
      <c r="K1" s="160" t="s">
        <v>116</v>
      </c>
      <c r="L1" s="160" t="s">
        <v>117</v>
      </c>
      <c r="M1" s="160" t="s">
        <v>118</v>
      </c>
      <c r="N1" s="158" t="s">
        <v>119</v>
      </c>
      <c r="O1" s="159" t="s">
        <v>120</v>
      </c>
      <c r="P1" s="158" t="s">
        <v>121</v>
      </c>
      <c r="Q1" s="166"/>
    </row>
    <row r="2" ht="27" spans="1:16">
      <c r="A2" s="161">
        <v>1001</v>
      </c>
      <c r="B2" s="161" t="str">
        <f ca="1" t="shared" ref="B2:B37" si="0">MID(CELL("filename"),FIND("[",CELL("filename"),1)+1,FIND(".",CELL("filename"),1)-FIND("[",CELL("filename"),1)-1)</f>
        <v>T600T700-VariableSlit</v>
      </c>
      <c r="C2" s="43"/>
      <c r="D2" s="162">
        <f>波长拟合!$F2</f>
        <v>0</v>
      </c>
      <c r="E2" s="162" t="e">
        <f>波长拟合!#REF!</f>
        <v>#REF!</v>
      </c>
      <c r="F2" s="162" t="e">
        <f>波长拟合!#REF!</f>
        <v>#REF!</v>
      </c>
      <c r="G2" s="162" t="e">
        <f>波长拟合!#REF!</f>
        <v>#REF!</v>
      </c>
      <c r="H2" s="162">
        <f>Report!$F$5</f>
        <v>0</v>
      </c>
      <c r="I2" s="165">
        <f ca="1" t="shared" ref="I2:I37" si="1">NOW()</f>
        <v>45665.6169097222</v>
      </c>
      <c r="J2" s="162">
        <f>Report!$N$5</f>
        <v>0</v>
      </c>
      <c r="K2" s="162"/>
      <c r="L2" s="162">
        <f>Report!$C$6</f>
        <v>0</v>
      </c>
      <c r="M2" s="162">
        <f>Report!$H$6</f>
        <v>0</v>
      </c>
      <c r="N2" s="43" t="e">
        <f>波长拟合!#REF!</f>
        <v>#REF!</v>
      </c>
      <c r="O2" s="162"/>
      <c r="P2" s="69">
        <v>1001</v>
      </c>
    </row>
    <row r="3" ht="27" spans="1:16">
      <c r="A3" s="43">
        <v>1002</v>
      </c>
      <c r="B3" s="161" t="str">
        <f ca="1" t="shared" si="0"/>
        <v>T600T700-VariableSlit</v>
      </c>
      <c r="C3" s="43"/>
      <c r="D3" s="162">
        <f>波长拟合!$F3</f>
        <v>0</v>
      </c>
      <c r="E3" s="162" t="e">
        <f>波长拟合!#REF!</f>
        <v>#REF!</v>
      </c>
      <c r="F3" s="162" t="e">
        <f>波长拟合!#REF!</f>
        <v>#REF!</v>
      </c>
      <c r="G3" s="162" t="e">
        <f>波长拟合!#REF!</f>
        <v>#REF!</v>
      </c>
      <c r="H3" s="162">
        <f>Report!$F$5</f>
        <v>0</v>
      </c>
      <c r="I3" s="165">
        <f ca="1" t="shared" si="1"/>
        <v>45665.6169097222</v>
      </c>
      <c r="J3" s="162">
        <f>Report!$N$5</f>
        <v>0</v>
      </c>
      <c r="K3" s="162"/>
      <c r="L3" s="162">
        <f>Report!$C$6</f>
        <v>0</v>
      </c>
      <c r="M3" s="162">
        <f>Report!$H$6</f>
        <v>0</v>
      </c>
      <c r="N3" s="43" t="e">
        <f>波长拟合!#REF!</f>
        <v>#REF!</v>
      </c>
      <c r="O3" s="162"/>
      <c r="P3" s="69">
        <v>1002</v>
      </c>
    </row>
    <row r="4" ht="27" spans="1:16">
      <c r="A4" s="43">
        <v>1003</v>
      </c>
      <c r="B4" s="161" t="str">
        <f ca="1" t="shared" si="0"/>
        <v>T600T700-VariableSlit</v>
      </c>
      <c r="C4" s="43"/>
      <c r="D4" s="162">
        <f>波长拟合!$F4</f>
        <v>0</v>
      </c>
      <c r="E4" s="162" t="e">
        <f>波长拟合!#REF!</f>
        <v>#REF!</v>
      </c>
      <c r="F4" s="162" t="e">
        <f>波长拟合!#REF!</f>
        <v>#REF!</v>
      </c>
      <c r="G4" s="162" t="e">
        <f>波长拟合!#REF!</f>
        <v>#REF!</v>
      </c>
      <c r="H4" s="162">
        <f>Report!$F$5</f>
        <v>0</v>
      </c>
      <c r="I4" s="165">
        <f ca="1" t="shared" si="1"/>
        <v>45665.6169097222</v>
      </c>
      <c r="J4" s="162">
        <f>Report!$N$5</f>
        <v>0</v>
      </c>
      <c r="K4" s="162"/>
      <c r="L4" s="162">
        <f>Report!$C$6</f>
        <v>0</v>
      </c>
      <c r="M4" s="162">
        <f>Report!$H$6</f>
        <v>0</v>
      </c>
      <c r="N4" s="43" t="e">
        <f>波长拟合!#REF!</f>
        <v>#REF!</v>
      </c>
      <c r="O4" s="162"/>
      <c r="P4" s="69">
        <v>1003</v>
      </c>
    </row>
    <row r="5" ht="27" spans="1:16">
      <c r="A5" s="43">
        <v>1008</v>
      </c>
      <c r="B5" s="161" t="str">
        <f ca="1" t="shared" si="0"/>
        <v>T600T700-VariableSlit</v>
      </c>
      <c r="C5" s="43"/>
      <c r="D5" s="162">
        <f>波长拟合!$F5</f>
        <v>0</v>
      </c>
      <c r="E5" s="162" t="e">
        <f>波长拟合!#REF!</f>
        <v>#REF!</v>
      </c>
      <c r="F5" s="162" t="e">
        <f>波长拟合!#REF!</f>
        <v>#REF!</v>
      </c>
      <c r="G5" s="162" t="e">
        <f>波长拟合!#REF!</f>
        <v>#REF!</v>
      </c>
      <c r="H5" s="162">
        <f>Report!$F$5</f>
        <v>0</v>
      </c>
      <c r="I5" s="165">
        <f ca="1" t="shared" si="1"/>
        <v>45665.6169097222</v>
      </c>
      <c r="J5" s="162">
        <f>Report!$N$5</f>
        <v>0</v>
      </c>
      <c r="K5" s="162"/>
      <c r="L5" s="162">
        <f>Report!$C$6</f>
        <v>0</v>
      </c>
      <c r="M5" s="162">
        <f>Report!$H$6</f>
        <v>0</v>
      </c>
      <c r="N5" s="43" t="e">
        <f>波长拟合!#REF!</f>
        <v>#REF!</v>
      </c>
      <c r="O5" s="162"/>
      <c r="P5" s="69">
        <v>1004</v>
      </c>
    </row>
    <row r="6" ht="27" spans="1:16">
      <c r="A6" s="43">
        <v>1009</v>
      </c>
      <c r="B6" s="161" t="str">
        <f ca="1" t="shared" si="0"/>
        <v>T600T700-VariableSlit</v>
      </c>
      <c r="C6" s="43"/>
      <c r="D6" s="162">
        <f>波长拟合!$F6</f>
        <v>0</v>
      </c>
      <c r="E6" s="162" t="e">
        <f>波长拟合!#REF!</f>
        <v>#REF!</v>
      </c>
      <c r="F6" s="162" t="e">
        <f>波长拟合!#REF!</f>
        <v>#REF!</v>
      </c>
      <c r="G6" s="162" t="e">
        <f>波长拟合!#REF!</f>
        <v>#REF!</v>
      </c>
      <c r="H6" s="162">
        <f>Report!$F$5</f>
        <v>0</v>
      </c>
      <c r="I6" s="165">
        <f ca="1" t="shared" si="1"/>
        <v>45665.6169097222</v>
      </c>
      <c r="J6" s="162">
        <f>Report!$N$5</f>
        <v>0</v>
      </c>
      <c r="K6" s="162"/>
      <c r="L6" s="162">
        <f>Report!$C$6</f>
        <v>0</v>
      </c>
      <c r="M6" s="162">
        <f>Report!$H$6</f>
        <v>0</v>
      </c>
      <c r="N6" s="43" t="e">
        <f>波长拟合!#REF!</f>
        <v>#REF!</v>
      </c>
      <c r="O6" s="162"/>
      <c r="P6" s="69">
        <v>1004</v>
      </c>
    </row>
    <row r="7" ht="27" spans="1:16">
      <c r="A7" s="43">
        <v>1010</v>
      </c>
      <c r="B7" s="161" t="str">
        <f ca="1" t="shared" si="0"/>
        <v>T600T700-VariableSlit</v>
      </c>
      <c r="C7" s="43"/>
      <c r="D7" s="162">
        <f>波长拟合!$F7</f>
        <v>0</v>
      </c>
      <c r="E7" s="162" t="e">
        <f>波长拟合!#REF!</f>
        <v>#REF!</v>
      </c>
      <c r="F7" s="162" t="e">
        <f>波长拟合!#REF!</f>
        <v>#REF!</v>
      </c>
      <c r="G7" s="162" t="e">
        <f>波长拟合!#REF!</f>
        <v>#REF!</v>
      </c>
      <c r="H7" s="162">
        <f>Report!$F$5</f>
        <v>0</v>
      </c>
      <c r="I7" s="165">
        <f ca="1" t="shared" si="1"/>
        <v>45665.6169097222</v>
      </c>
      <c r="J7" s="162">
        <f>Report!$N$5</f>
        <v>0</v>
      </c>
      <c r="K7" s="162"/>
      <c r="L7" s="162">
        <f>Report!$C$6</f>
        <v>0</v>
      </c>
      <c r="M7" s="162">
        <f>Report!$H$6</f>
        <v>0</v>
      </c>
      <c r="N7" s="43" t="e">
        <f>波长拟合!#REF!</f>
        <v>#REF!</v>
      </c>
      <c r="O7" s="162"/>
      <c r="P7" s="69">
        <v>1004</v>
      </c>
    </row>
    <row r="8" ht="27" spans="1:16">
      <c r="A8" s="43">
        <v>1011</v>
      </c>
      <c r="B8" s="161" t="str">
        <f ca="1" t="shared" si="0"/>
        <v>T600T700-VariableSlit</v>
      </c>
      <c r="C8" s="43"/>
      <c r="D8" s="162">
        <f>波长拟合!$F8</f>
        <v>0</v>
      </c>
      <c r="E8" s="162" t="e">
        <f>波长拟合!#REF!</f>
        <v>#REF!</v>
      </c>
      <c r="F8" s="162" t="e">
        <f>波长拟合!#REF!</f>
        <v>#REF!</v>
      </c>
      <c r="G8" s="162" t="e">
        <f>波长拟合!#REF!</f>
        <v>#REF!</v>
      </c>
      <c r="H8" s="162">
        <f>Report!$F$5</f>
        <v>0</v>
      </c>
      <c r="I8" s="165">
        <f ca="1" t="shared" si="1"/>
        <v>45665.6169097222</v>
      </c>
      <c r="J8" s="162">
        <f>Report!$N$5</f>
        <v>0</v>
      </c>
      <c r="K8" s="162"/>
      <c r="L8" s="162">
        <f>Report!$C$6</f>
        <v>0</v>
      </c>
      <c r="M8" s="162">
        <f>Report!$H$6</f>
        <v>0</v>
      </c>
      <c r="N8" s="43" t="e">
        <f>波长拟合!#REF!</f>
        <v>#REF!</v>
      </c>
      <c r="O8" s="162"/>
      <c r="P8" s="69">
        <v>1004</v>
      </c>
    </row>
    <row r="9" ht="27" spans="1:16">
      <c r="A9" s="43">
        <v>1012</v>
      </c>
      <c r="B9" s="161" t="str">
        <f ca="1" t="shared" si="0"/>
        <v>T600T700-VariableSlit</v>
      </c>
      <c r="C9" s="43"/>
      <c r="D9" s="162">
        <f>波长拟合!$F9</f>
        <v>0</v>
      </c>
      <c r="E9" s="162" t="e">
        <f>波长拟合!#REF!</f>
        <v>#REF!</v>
      </c>
      <c r="F9" s="162" t="e">
        <f>波长拟合!#REF!</f>
        <v>#REF!</v>
      </c>
      <c r="G9" s="162" t="e">
        <f>波长拟合!#REF!</f>
        <v>#REF!</v>
      </c>
      <c r="H9" s="162">
        <f>Report!$F$5</f>
        <v>0</v>
      </c>
      <c r="I9" s="165">
        <f ca="1" t="shared" si="1"/>
        <v>45665.6169097222</v>
      </c>
      <c r="J9" s="162">
        <f>Report!$N$5</f>
        <v>0</v>
      </c>
      <c r="K9" s="162"/>
      <c r="L9" s="162">
        <f>Report!$C$6</f>
        <v>0</v>
      </c>
      <c r="M9" s="162">
        <f>Report!$H$6</f>
        <v>0</v>
      </c>
      <c r="N9" s="43" t="e">
        <f>波长拟合!#REF!</f>
        <v>#REF!</v>
      </c>
      <c r="O9" s="162"/>
      <c r="P9" s="69">
        <v>1004</v>
      </c>
    </row>
    <row r="10" ht="27" spans="1:16">
      <c r="A10" s="43">
        <v>1013</v>
      </c>
      <c r="B10" s="161" t="str">
        <f ca="1" t="shared" si="0"/>
        <v>T600T700-VariableSlit</v>
      </c>
      <c r="C10" s="43"/>
      <c r="D10" s="162">
        <f>波长拟合!$F10</f>
        <v>0</v>
      </c>
      <c r="E10" s="162" t="e">
        <f>波长拟合!#REF!</f>
        <v>#REF!</v>
      </c>
      <c r="F10" s="162" t="e">
        <f>波长拟合!#REF!</f>
        <v>#REF!</v>
      </c>
      <c r="G10" s="162" t="e">
        <f>波长拟合!#REF!</f>
        <v>#REF!</v>
      </c>
      <c r="H10" s="162">
        <f>Report!$F$5</f>
        <v>0</v>
      </c>
      <c r="I10" s="165">
        <f ca="1" t="shared" si="1"/>
        <v>45665.6169097222</v>
      </c>
      <c r="J10" s="162">
        <f>Report!$N$5</f>
        <v>0</v>
      </c>
      <c r="K10" s="162"/>
      <c r="L10" s="162">
        <f>Report!$C$6</f>
        <v>0</v>
      </c>
      <c r="M10" s="162">
        <f>Report!$H$6</f>
        <v>0</v>
      </c>
      <c r="N10" s="43" t="e">
        <f>波长拟合!#REF!</f>
        <v>#REF!</v>
      </c>
      <c r="O10" s="162"/>
      <c r="P10" s="69">
        <v>1004</v>
      </c>
    </row>
    <row r="11" ht="27" spans="1:16">
      <c r="A11" s="43">
        <v>2001</v>
      </c>
      <c r="B11" s="161" t="str">
        <f ca="1" t="shared" si="0"/>
        <v>T600T700-VariableSlit</v>
      </c>
      <c r="C11" s="43" t="e">
        <f>#REF!</f>
        <v>#REF!</v>
      </c>
      <c r="D11" s="162" t="e">
        <f>#REF!&amp;";"&amp;#REF!&amp;";"&amp;#REF!</f>
        <v>#REF!</v>
      </c>
      <c r="E11" s="162" t="e">
        <f>#REF!</f>
        <v>#REF!</v>
      </c>
      <c r="F11" s="162" t="e">
        <f>#REF!</f>
        <v>#REF!</v>
      </c>
      <c r="G11" s="162" t="e">
        <f>#REF!</f>
        <v>#REF!</v>
      </c>
      <c r="H11" s="162">
        <f>Report!$F$5</f>
        <v>0</v>
      </c>
      <c r="I11" s="165">
        <f ca="1" t="shared" si="1"/>
        <v>45665.6169097222</v>
      </c>
      <c r="J11" s="162">
        <f>Report!$N$5</f>
        <v>0</v>
      </c>
      <c r="K11" s="162"/>
      <c r="L11" s="162">
        <f>Report!$C$6</f>
        <v>0</v>
      </c>
      <c r="M11" s="162">
        <f>Report!$H$6</f>
        <v>0</v>
      </c>
      <c r="N11" s="43" t="e">
        <f>#REF!</f>
        <v>#REF!</v>
      </c>
      <c r="O11" s="162"/>
      <c r="P11" s="43">
        <v>2001</v>
      </c>
    </row>
    <row r="12" ht="27" spans="1:16">
      <c r="A12" s="43">
        <v>2002</v>
      </c>
      <c r="B12" s="161" t="str">
        <f ca="1" t="shared" si="0"/>
        <v>T600T700-VariableSlit</v>
      </c>
      <c r="C12" s="43" t="e">
        <f>#REF!</f>
        <v>#REF!</v>
      </c>
      <c r="D12" s="162" t="e">
        <f>#REF!&amp;";"&amp;#REF!&amp;";"&amp;#REF!</f>
        <v>#REF!</v>
      </c>
      <c r="E12" s="162" t="e">
        <f>#REF!</f>
        <v>#REF!</v>
      </c>
      <c r="F12" s="162" t="e">
        <f>#REF!</f>
        <v>#REF!</v>
      </c>
      <c r="G12" s="162" t="e">
        <f>#REF!</f>
        <v>#REF!</v>
      </c>
      <c r="H12" s="162">
        <f>Report!$F$5</f>
        <v>0</v>
      </c>
      <c r="I12" s="165">
        <f ca="1" t="shared" si="1"/>
        <v>45665.6169097222</v>
      </c>
      <c r="J12" s="162">
        <f>Report!$N$5</f>
        <v>0</v>
      </c>
      <c r="K12" s="162"/>
      <c r="L12" s="162">
        <f>Report!$C$6</f>
        <v>0</v>
      </c>
      <c r="M12" s="162">
        <f>Report!$H$6</f>
        <v>0</v>
      </c>
      <c r="N12" s="43" t="e">
        <f>#REF!</f>
        <v>#REF!</v>
      </c>
      <c r="O12" s="162"/>
      <c r="P12" s="43">
        <v>2001</v>
      </c>
    </row>
    <row r="13" ht="27" spans="1:16">
      <c r="A13" s="43">
        <v>2003</v>
      </c>
      <c r="B13" s="161" t="str">
        <f ca="1" t="shared" si="0"/>
        <v>T600T700-VariableSlit</v>
      </c>
      <c r="C13" s="43" t="e">
        <f>#REF!</f>
        <v>#REF!</v>
      </c>
      <c r="D13" s="162" t="e">
        <f>#REF!&amp;";"&amp;#REF!&amp;";"&amp;#REF!</f>
        <v>#REF!</v>
      </c>
      <c r="E13" s="162" t="e">
        <f>#REF!</f>
        <v>#REF!</v>
      </c>
      <c r="F13" s="162" t="e">
        <f>#REF!</f>
        <v>#REF!</v>
      </c>
      <c r="G13" s="162" t="e">
        <f>#REF!</f>
        <v>#REF!</v>
      </c>
      <c r="H13" s="162">
        <f>Report!$F$5</f>
        <v>0</v>
      </c>
      <c r="I13" s="165">
        <f ca="1" t="shared" si="1"/>
        <v>45665.6169097222</v>
      </c>
      <c r="J13" s="162">
        <f>Report!$N$5</f>
        <v>0</v>
      </c>
      <c r="K13" s="162"/>
      <c r="L13" s="162">
        <f>Report!$C$6</f>
        <v>0</v>
      </c>
      <c r="M13" s="162">
        <f>Report!$H$6</f>
        <v>0</v>
      </c>
      <c r="N13" s="43" t="e">
        <f>#REF!</f>
        <v>#REF!</v>
      </c>
      <c r="O13" s="162"/>
      <c r="P13" s="43">
        <v>2001</v>
      </c>
    </row>
    <row r="14" ht="27" spans="1:16">
      <c r="A14" s="43">
        <v>2004</v>
      </c>
      <c r="B14" s="161" t="str">
        <f ca="1" t="shared" si="0"/>
        <v>T600T700-VariableSlit</v>
      </c>
      <c r="C14" s="43" t="e">
        <f>#REF!</f>
        <v>#REF!</v>
      </c>
      <c r="D14" s="162" t="e">
        <f>#REF!&amp;";"&amp;#REF!&amp;";"&amp;#REF!</f>
        <v>#REF!</v>
      </c>
      <c r="E14" s="162" t="e">
        <f>#REF!</f>
        <v>#REF!</v>
      </c>
      <c r="F14" s="162" t="e">
        <f>#REF!</f>
        <v>#REF!</v>
      </c>
      <c r="G14" s="162" t="e">
        <f>#REF!</f>
        <v>#REF!</v>
      </c>
      <c r="H14" s="162">
        <f>Report!$F$5</f>
        <v>0</v>
      </c>
      <c r="I14" s="165">
        <f ca="1" t="shared" si="1"/>
        <v>45665.6169097222</v>
      </c>
      <c r="J14" s="162">
        <f>Report!$N$5</f>
        <v>0</v>
      </c>
      <c r="K14" s="162"/>
      <c r="L14" s="162">
        <f>Report!$C$6</f>
        <v>0</v>
      </c>
      <c r="M14" s="162">
        <f>Report!$H$6</f>
        <v>0</v>
      </c>
      <c r="N14" s="43" t="e">
        <f>#REF!</f>
        <v>#REF!</v>
      </c>
      <c r="O14" s="162"/>
      <c r="P14" s="43">
        <v>2001</v>
      </c>
    </row>
    <row r="15" ht="27" spans="1:16">
      <c r="A15" s="43">
        <v>2005</v>
      </c>
      <c r="B15" s="161" t="str">
        <f ca="1" t="shared" si="0"/>
        <v>T600T700-VariableSlit</v>
      </c>
      <c r="C15" s="43" t="e">
        <f>#REF!</f>
        <v>#REF!</v>
      </c>
      <c r="D15" s="162" t="e">
        <f>#REF!&amp;";"&amp;#REF!&amp;";"&amp;#REF!</f>
        <v>#REF!</v>
      </c>
      <c r="E15" s="162" t="e">
        <f>#REF!</f>
        <v>#REF!</v>
      </c>
      <c r="F15" s="162" t="e">
        <f>#REF!</f>
        <v>#REF!</v>
      </c>
      <c r="G15" s="162" t="e">
        <f>#REF!</f>
        <v>#REF!</v>
      </c>
      <c r="H15" s="162">
        <f>Report!$F$5</f>
        <v>0</v>
      </c>
      <c r="I15" s="165">
        <f ca="1" t="shared" si="1"/>
        <v>45665.6169097222</v>
      </c>
      <c r="J15" s="162">
        <f>Report!$N$5</f>
        <v>0</v>
      </c>
      <c r="K15" s="162"/>
      <c r="L15" s="162">
        <f>Report!$C$6</f>
        <v>0</v>
      </c>
      <c r="M15" s="162">
        <f>Report!$H$6</f>
        <v>0</v>
      </c>
      <c r="N15" s="43" t="e">
        <f>#REF!</f>
        <v>#REF!</v>
      </c>
      <c r="O15" s="162"/>
      <c r="P15" s="43">
        <v>2002</v>
      </c>
    </row>
    <row r="16" ht="27" spans="1:16">
      <c r="A16" s="43">
        <v>2006</v>
      </c>
      <c r="B16" s="161" t="str">
        <f ca="1" t="shared" si="0"/>
        <v>T600T700-VariableSlit</v>
      </c>
      <c r="C16" s="43" t="e">
        <f>#REF!</f>
        <v>#REF!</v>
      </c>
      <c r="D16" s="162" t="e">
        <f>#REF!&amp;";"&amp;#REF!&amp;";"&amp;#REF!</f>
        <v>#REF!</v>
      </c>
      <c r="E16" s="162" t="e">
        <f>#REF!</f>
        <v>#REF!</v>
      </c>
      <c r="F16" s="162" t="e">
        <f>#REF!</f>
        <v>#REF!</v>
      </c>
      <c r="G16" s="162" t="e">
        <f>#REF!</f>
        <v>#REF!</v>
      </c>
      <c r="H16" s="162">
        <f>Report!$F$5</f>
        <v>0</v>
      </c>
      <c r="I16" s="165">
        <f ca="1" t="shared" si="1"/>
        <v>45665.6169097222</v>
      </c>
      <c r="J16" s="162">
        <f>Report!$N$5</f>
        <v>0</v>
      </c>
      <c r="K16" s="162"/>
      <c r="L16" s="162">
        <f>Report!$C$6</f>
        <v>0</v>
      </c>
      <c r="M16" s="162">
        <f>Report!$H$6</f>
        <v>0</v>
      </c>
      <c r="N16" s="43" t="e">
        <f>#REF!</f>
        <v>#REF!</v>
      </c>
      <c r="O16" s="162"/>
      <c r="P16" s="43">
        <v>2002</v>
      </c>
    </row>
    <row r="17" ht="27" spans="1:16">
      <c r="A17" s="43">
        <v>2007</v>
      </c>
      <c r="B17" s="161" t="str">
        <f ca="1" t="shared" si="0"/>
        <v>T600T700-VariableSlit</v>
      </c>
      <c r="C17" s="43" t="e">
        <f>#REF!</f>
        <v>#REF!</v>
      </c>
      <c r="D17" s="162" t="e">
        <f>#REF!&amp;";"&amp;#REF!&amp;";"&amp;#REF!</f>
        <v>#REF!</v>
      </c>
      <c r="E17" s="162" t="e">
        <f>#REF!</f>
        <v>#REF!</v>
      </c>
      <c r="F17" s="162" t="e">
        <f>#REF!</f>
        <v>#REF!</v>
      </c>
      <c r="G17" s="162" t="e">
        <f>#REF!</f>
        <v>#REF!</v>
      </c>
      <c r="H17" s="162">
        <f>Report!$F$5</f>
        <v>0</v>
      </c>
      <c r="I17" s="165">
        <f ca="1" t="shared" si="1"/>
        <v>45665.6169097222</v>
      </c>
      <c r="J17" s="162">
        <f>Report!$N$5</f>
        <v>0</v>
      </c>
      <c r="K17" s="162"/>
      <c r="L17" s="162">
        <f>Report!$C$6</f>
        <v>0</v>
      </c>
      <c r="M17" s="162">
        <f>Report!$H$6</f>
        <v>0</v>
      </c>
      <c r="N17" s="43" t="e">
        <f>#REF!</f>
        <v>#REF!</v>
      </c>
      <c r="O17" s="162"/>
      <c r="P17" s="43">
        <v>2002</v>
      </c>
    </row>
    <row r="18" ht="27" spans="1:16">
      <c r="A18" s="43">
        <v>2008</v>
      </c>
      <c r="B18" s="161" t="str">
        <f ca="1" t="shared" si="0"/>
        <v>T600T700-VariableSlit</v>
      </c>
      <c r="C18" s="43" t="e">
        <f>#REF!</f>
        <v>#REF!</v>
      </c>
      <c r="D18" s="162" t="e">
        <f>#REF!&amp;";"&amp;#REF!&amp;";"&amp;#REF!</f>
        <v>#REF!</v>
      </c>
      <c r="E18" s="162" t="e">
        <f>#REF!</f>
        <v>#REF!</v>
      </c>
      <c r="F18" s="162" t="e">
        <f>#REF!</f>
        <v>#REF!</v>
      </c>
      <c r="G18" s="162" t="e">
        <f>#REF!</f>
        <v>#REF!</v>
      </c>
      <c r="H18" s="162">
        <f>Report!$F$5</f>
        <v>0</v>
      </c>
      <c r="I18" s="165">
        <f ca="1" t="shared" si="1"/>
        <v>45665.6169097222</v>
      </c>
      <c r="J18" s="162">
        <f>Report!$N$5</f>
        <v>0</v>
      </c>
      <c r="K18" s="162"/>
      <c r="L18" s="162">
        <f>Report!$C$6</f>
        <v>0</v>
      </c>
      <c r="M18" s="162">
        <f>Report!$H$6</f>
        <v>0</v>
      </c>
      <c r="N18" s="43" t="e">
        <f>#REF!</f>
        <v>#REF!</v>
      </c>
      <c r="O18" s="162"/>
      <c r="P18" s="68">
        <v>2003</v>
      </c>
    </row>
    <row r="19" ht="27" spans="1:16">
      <c r="A19" s="43">
        <v>2009</v>
      </c>
      <c r="B19" s="161" t="str">
        <f ca="1" t="shared" si="0"/>
        <v>T600T700-VariableSlit</v>
      </c>
      <c r="C19" s="43" t="e">
        <f>#REF!</f>
        <v>#REF!</v>
      </c>
      <c r="D19" s="162" t="e">
        <f>#REF!&amp;";"&amp;#REF!&amp;";"&amp;#REF!</f>
        <v>#REF!</v>
      </c>
      <c r="E19" s="162" t="e">
        <f>#REF!</f>
        <v>#REF!</v>
      </c>
      <c r="F19" s="162" t="e">
        <f>#REF!</f>
        <v>#REF!</v>
      </c>
      <c r="G19" s="162" t="e">
        <f>#REF!</f>
        <v>#REF!</v>
      </c>
      <c r="H19" s="162">
        <f>Report!$F$5</f>
        <v>0</v>
      </c>
      <c r="I19" s="165">
        <f ca="1" t="shared" si="1"/>
        <v>45665.6169097222</v>
      </c>
      <c r="J19" s="162">
        <f>Report!$N$5</f>
        <v>0</v>
      </c>
      <c r="K19" s="162"/>
      <c r="L19" s="162">
        <f>Report!$C$6</f>
        <v>0</v>
      </c>
      <c r="M19" s="162">
        <f>Report!$H$6</f>
        <v>0</v>
      </c>
      <c r="N19" s="43" t="e">
        <f>#REF!</f>
        <v>#REF!</v>
      </c>
      <c r="O19" s="162"/>
      <c r="P19" s="68">
        <v>2003</v>
      </c>
    </row>
    <row r="20" ht="27" spans="1:16">
      <c r="A20" s="43">
        <v>2010</v>
      </c>
      <c r="B20" s="161" t="str">
        <f ca="1" t="shared" si="0"/>
        <v>T600T700-VariableSlit</v>
      </c>
      <c r="C20" s="43" t="e">
        <f>#REF!</f>
        <v>#REF!</v>
      </c>
      <c r="D20" s="162" t="e">
        <f>#REF!&amp;";"&amp;#REF!&amp;";"&amp;#REF!</f>
        <v>#REF!</v>
      </c>
      <c r="E20" s="162" t="e">
        <f>#REF!</f>
        <v>#REF!</v>
      </c>
      <c r="F20" s="162" t="e">
        <f>#REF!</f>
        <v>#REF!</v>
      </c>
      <c r="G20" s="162" t="e">
        <f>#REF!</f>
        <v>#REF!</v>
      </c>
      <c r="H20" s="162">
        <f>Report!$F$5</f>
        <v>0</v>
      </c>
      <c r="I20" s="165">
        <f ca="1" t="shared" si="1"/>
        <v>45665.6169097222</v>
      </c>
      <c r="J20" s="162">
        <f>Report!$N$5</f>
        <v>0</v>
      </c>
      <c r="K20" s="162"/>
      <c r="L20" s="162">
        <f>Report!$C$6</f>
        <v>0</v>
      </c>
      <c r="M20" s="162">
        <f>Report!$H$6</f>
        <v>0</v>
      </c>
      <c r="N20" s="43" t="e">
        <f>#REF!</f>
        <v>#REF!</v>
      </c>
      <c r="O20" s="162"/>
      <c r="P20" s="68">
        <v>2003</v>
      </c>
    </row>
    <row r="21" ht="27" spans="1:16">
      <c r="A21" s="43">
        <v>2011</v>
      </c>
      <c r="B21" s="161" t="str">
        <f ca="1" t="shared" si="0"/>
        <v>T600T700-VariableSlit</v>
      </c>
      <c r="C21" s="43" t="e">
        <f>#REF!</f>
        <v>#REF!</v>
      </c>
      <c r="D21" s="162" t="e">
        <f>#REF!&amp;";"&amp;#REF!&amp;";"&amp;#REF!</f>
        <v>#REF!</v>
      </c>
      <c r="E21" s="162" t="e">
        <f>#REF!</f>
        <v>#REF!</v>
      </c>
      <c r="F21" s="162" t="e">
        <f>#REF!</f>
        <v>#REF!</v>
      </c>
      <c r="G21" s="162" t="e">
        <f>#REF!</f>
        <v>#REF!</v>
      </c>
      <c r="H21" s="162">
        <f>Report!$F$5</f>
        <v>0</v>
      </c>
      <c r="I21" s="165">
        <f ca="1" t="shared" si="1"/>
        <v>45665.6169097222</v>
      </c>
      <c r="J21" s="162">
        <f>Report!$N$5</f>
        <v>0</v>
      </c>
      <c r="K21" s="162"/>
      <c r="L21" s="162">
        <f>Report!$C$6</f>
        <v>0</v>
      </c>
      <c r="M21" s="162">
        <f>Report!$H$6</f>
        <v>0</v>
      </c>
      <c r="N21" s="43" t="e">
        <f>#REF!</f>
        <v>#REF!</v>
      </c>
      <c r="O21" s="162"/>
      <c r="P21" s="43">
        <v>2004</v>
      </c>
    </row>
    <row r="22" ht="27" spans="1:16">
      <c r="A22" s="43">
        <v>2012</v>
      </c>
      <c r="B22" s="161" t="str">
        <f ca="1" t="shared" si="0"/>
        <v>T600T700-VariableSlit</v>
      </c>
      <c r="C22" s="43" t="e">
        <f>#REF!</f>
        <v>#REF!</v>
      </c>
      <c r="D22" s="162" t="e">
        <f>#REF!&amp;";"&amp;#REF!&amp;";"&amp;#REF!</f>
        <v>#REF!</v>
      </c>
      <c r="E22" s="162" t="e">
        <f>#REF!</f>
        <v>#REF!</v>
      </c>
      <c r="F22" s="162" t="e">
        <f>#REF!</f>
        <v>#REF!</v>
      </c>
      <c r="G22" s="162" t="e">
        <f>#REF!</f>
        <v>#REF!</v>
      </c>
      <c r="H22" s="162">
        <f>Report!$F$5</f>
        <v>0</v>
      </c>
      <c r="I22" s="165">
        <f ca="1" t="shared" si="1"/>
        <v>45665.6169097222</v>
      </c>
      <c r="J22" s="162">
        <f>Report!$N$5</f>
        <v>0</v>
      </c>
      <c r="K22" s="162"/>
      <c r="L22" s="162">
        <f>Report!$C$6</f>
        <v>0</v>
      </c>
      <c r="M22" s="162">
        <f>Report!$H$6</f>
        <v>0</v>
      </c>
      <c r="N22" s="43" t="e">
        <f>#REF!</f>
        <v>#REF!</v>
      </c>
      <c r="O22" s="162"/>
      <c r="P22" s="43">
        <v>2004</v>
      </c>
    </row>
    <row r="23" ht="27" spans="1:16">
      <c r="A23" s="43">
        <v>2013</v>
      </c>
      <c r="B23" s="161" t="str">
        <f ca="1" t="shared" si="0"/>
        <v>T600T700-VariableSlit</v>
      </c>
      <c r="C23" s="43" t="e">
        <f>#REF!</f>
        <v>#REF!</v>
      </c>
      <c r="D23" s="162" t="e">
        <f>#REF!&amp;";"&amp;#REF!&amp;";"&amp;#REF!</f>
        <v>#REF!</v>
      </c>
      <c r="E23" s="162" t="e">
        <f>#REF!</f>
        <v>#REF!</v>
      </c>
      <c r="F23" s="162" t="e">
        <f>#REF!</f>
        <v>#REF!</v>
      </c>
      <c r="G23" s="162" t="e">
        <f>#REF!</f>
        <v>#REF!</v>
      </c>
      <c r="H23" s="162">
        <f>Report!$F$5</f>
        <v>0</v>
      </c>
      <c r="I23" s="165">
        <f ca="1" t="shared" si="1"/>
        <v>45665.6169097222</v>
      </c>
      <c r="J23" s="162">
        <f>Report!$N$5</f>
        <v>0</v>
      </c>
      <c r="K23" s="162"/>
      <c r="L23" s="162">
        <f>Report!$C$6</f>
        <v>0</v>
      </c>
      <c r="M23" s="162">
        <f>Report!$H$6</f>
        <v>0</v>
      </c>
      <c r="N23" s="43" t="e">
        <f>#REF!</f>
        <v>#REF!</v>
      </c>
      <c r="O23" s="162"/>
      <c r="P23" s="43">
        <v>2004</v>
      </c>
    </row>
    <row r="24" ht="27" spans="1:16">
      <c r="A24" s="43">
        <v>3001</v>
      </c>
      <c r="B24" s="161" t="str">
        <f ca="1" t="shared" si="0"/>
        <v>T600T700-VariableSlit</v>
      </c>
      <c r="C24" s="43" t="e">
        <f>#REF!</f>
        <v>#REF!</v>
      </c>
      <c r="D24" s="163" t="e">
        <f>#REF!&amp;";"&amp;#REF!&amp;";"&amp;#REF!</f>
        <v>#REF!</v>
      </c>
      <c r="E24" s="162"/>
      <c r="F24" s="162"/>
      <c r="G24" s="162"/>
      <c r="H24" s="162">
        <f>Report!$F$5</f>
        <v>0</v>
      </c>
      <c r="I24" s="165">
        <f ca="1" t="shared" si="1"/>
        <v>45665.6169097222</v>
      </c>
      <c r="J24" s="162">
        <f>Report!$N$5</f>
        <v>0</v>
      </c>
      <c r="K24" s="162"/>
      <c r="L24" s="162">
        <f>Report!$C$6</f>
        <v>0</v>
      </c>
      <c r="M24" s="162">
        <f>Report!$H$6</f>
        <v>0</v>
      </c>
      <c r="N24" s="43" t="e">
        <f>#REF!</f>
        <v>#REF!</v>
      </c>
      <c r="O24" s="162"/>
      <c r="P24" s="43">
        <v>3001</v>
      </c>
    </row>
    <row r="25" ht="27" spans="1:16">
      <c r="A25" s="43">
        <v>3002</v>
      </c>
      <c r="B25" s="161" t="str">
        <f ca="1" t="shared" si="0"/>
        <v>T600T700-VariableSlit</v>
      </c>
      <c r="C25" s="43" t="e">
        <f>#REF!</f>
        <v>#REF!</v>
      </c>
      <c r="D25" s="163" t="e">
        <f>#REF!&amp;";"&amp;#REF!&amp;";"&amp;#REF!</f>
        <v>#REF!</v>
      </c>
      <c r="E25" s="162"/>
      <c r="F25" s="162"/>
      <c r="G25" s="162"/>
      <c r="H25" s="162">
        <f>Report!$F$5</f>
        <v>0</v>
      </c>
      <c r="I25" s="165">
        <f ca="1" t="shared" si="1"/>
        <v>45665.6169097222</v>
      </c>
      <c r="J25" s="162">
        <f>Report!$N$5</f>
        <v>0</v>
      </c>
      <c r="K25" s="162"/>
      <c r="L25" s="162">
        <f>Report!$C$6</f>
        <v>0</v>
      </c>
      <c r="M25" s="162">
        <f>Report!$H$6</f>
        <v>0</v>
      </c>
      <c r="N25" s="43" t="e">
        <f>#REF!</f>
        <v>#REF!</v>
      </c>
      <c r="O25" s="162"/>
      <c r="P25" s="43">
        <v>3002</v>
      </c>
    </row>
    <row r="26" ht="27" spans="1:16">
      <c r="A26" s="43">
        <v>4001</v>
      </c>
      <c r="B26" s="161" t="str">
        <f ca="1" t="shared" si="0"/>
        <v>T600T700-VariableSlit</v>
      </c>
      <c r="C26" s="43"/>
      <c r="D26" s="162">
        <f>样品池重复性!$B$2</f>
        <v>0</v>
      </c>
      <c r="E26" s="162"/>
      <c r="F26" s="162"/>
      <c r="G26" s="162"/>
      <c r="H26" s="162">
        <f>Report!$F$5</f>
        <v>0</v>
      </c>
      <c r="I26" s="165">
        <f ca="1" t="shared" si="1"/>
        <v>45665.6169097222</v>
      </c>
      <c r="J26" s="162">
        <f>Report!$N$5</f>
        <v>0</v>
      </c>
      <c r="K26" s="162"/>
      <c r="L26" s="162">
        <f>Report!$C$6</f>
        <v>0</v>
      </c>
      <c r="M26" s="162">
        <f>Report!$H$6</f>
        <v>0</v>
      </c>
      <c r="N26" s="43" t="e">
        <f>样品池重复性!#REF!</f>
        <v>#REF!</v>
      </c>
      <c r="O26" s="162"/>
      <c r="P26" s="43">
        <v>4001</v>
      </c>
    </row>
    <row r="27" ht="27" spans="1:16">
      <c r="A27" s="43">
        <v>5001</v>
      </c>
      <c r="B27" s="161" t="str">
        <f ca="1" t="shared" si="0"/>
        <v>T600T700-VariableSlit</v>
      </c>
      <c r="C27" s="43"/>
      <c r="D27" s="162" t="str">
        <f>能量扫描!$B$3</f>
        <v>656.1</v>
      </c>
      <c r="E27" s="162"/>
      <c r="F27" s="162"/>
      <c r="G27" s="162"/>
      <c r="H27" s="162">
        <f>Report!$F$5</f>
        <v>0</v>
      </c>
      <c r="I27" s="165">
        <f ca="1" t="shared" si="1"/>
        <v>45665.6169097222</v>
      </c>
      <c r="J27" s="162">
        <f>Report!$N$5</f>
        <v>0</v>
      </c>
      <c r="K27" s="162"/>
      <c r="L27" s="162">
        <f>Report!$C$6</f>
        <v>0</v>
      </c>
      <c r="M27" s="162">
        <f>Report!$H$6</f>
        <v>0</v>
      </c>
      <c r="N27" s="43" t="e">
        <f>能量扫描!#REF!</f>
        <v>#REF!</v>
      </c>
      <c r="O27" s="162"/>
      <c r="P27" s="43">
        <v>5001</v>
      </c>
    </row>
    <row r="28" ht="27" spans="1:16">
      <c r="A28" s="43">
        <v>6002</v>
      </c>
      <c r="B28" s="161" t="str">
        <f ca="1" t="shared" si="0"/>
        <v>T600T700-VariableSlit</v>
      </c>
      <c r="C28" s="43" t="e">
        <f>#REF!</f>
        <v>#REF!</v>
      </c>
      <c r="D28" s="162" t="e">
        <f>#REF!</f>
        <v>#REF!</v>
      </c>
      <c r="E28" s="162"/>
      <c r="F28" s="162"/>
      <c r="G28" s="162"/>
      <c r="H28" s="162">
        <f>Report!$F$5</f>
        <v>0</v>
      </c>
      <c r="I28" s="165">
        <f ca="1" t="shared" si="1"/>
        <v>45665.6169097222</v>
      </c>
      <c r="J28" s="162">
        <f>Report!$N$5</f>
        <v>0</v>
      </c>
      <c r="K28" s="162"/>
      <c r="L28" s="162">
        <f>Report!$C$6</f>
        <v>0</v>
      </c>
      <c r="M28" s="162">
        <f>Report!$H$6</f>
        <v>0</v>
      </c>
      <c r="N28" s="43" t="e">
        <f>#REF!</f>
        <v>#REF!</v>
      </c>
      <c r="O28" s="162"/>
      <c r="P28" s="43">
        <v>6001</v>
      </c>
    </row>
    <row r="29" ht="27" spans="1:16">
      <c r="A29" s="43">
        <v>7001</v>
      </c>
      <c r="B29" s="161" t="str">
        <f ca="1" t="shared" si="0"/>
        <v>T600T700-VariableSlit</v>
      </c>
      <c r="C29" s="43" t="e">
        <f>#REF!</f>
        <v>#REF!</v>
      </c>
      <c r="D29" s="162" t="e">
        <f>#REF!</f>
        <v>#REF!</v>
      </c>
      <c r="E29" s="162"/>
      <c r="F29" s="162"/>
      <c r="G29" s="162"/>
      <c r="H29" s="162">
        <f>Report!$F$5</f>
        <v>0</v>
      </c>
      <c r="I29" s="165">
        <f ca="1" t="shared" si="1"/>
        <v>45665.6169097222</v>
      </c>
      <c r="J29" s="162">
        <f>Report!$N$5</f>
        <v>0</v>
      </c>
      <c r="K29" s="162"/>
      <c r="L29" s="162">
        <f>Report!$C$6</f>
        <v>0</v>
      </c>
      <c r="M29" s="162">
        <f>Report!$H$6</f>
        <v>0</v>
      </c>
      <c r="N29" s="43" t="e">
        <f>#REF!</f>
        <v>#REF!</v>
      </c>
      <c r="O29" s="162"/>
      <c r="P29" s="43">
        <v>7001</v>
      </c>
    </row>
    <row r="30" ht="27" spans="1:16">
      <c r="A30" s="43">
        <v>7002</v>
      </c>
      <c r="B30" s="161" t="str">
        <f ca="1" t="shared" si="0"/>
        <v>T600T700-VariableSlit</v>
      </c>
      <c r="C30" s="43" t="e">
        <f>#REF!</f>
        <v>#REF!</v>
      </c>
      <c r="D30" s="162" t="e">
        <f>#REF!</f>
        <v>#REF!</v>
      </c>
      <c r="E30" s="162"/>
      <c r="F30" s="162"/>
      <c r="G30" s="162"/>
      <c r="H30" s="162">
        <f>Report!$F$5</f>
        <v>0</v>
      </c>
      <c r="I30" s="165">
        <f ca="1" t="shared" si="1"/>
        <v>45665.6169097222</v>
      </c>
      <c r="J30" s="162">
        <f>Report!$N$5</f>
        <v>0</v>
      </c>
      <c r="K30" s="162"/>
      <c r="L30" s="162">
        <f>Report!$C$6</f>
        <v>0</v>
      </c>
      <c r="M30" s="162">
        <f>Report!$H$6</f>
        <v>0</v>
      </c>
      <c r="N30" s="43" t="e">
        <f>#REF!</f>
        <v>#REF!</v>
      </c>
      <c r="O30" s="162"/>
      <c r="P30" s="43">
        <v>7002</v>
      </c>
    </row>
    <row r="31" ht="27" spans="1:16">
      <c r="A31" s="43">
        <v>7003</v>
      </c>
      <c r="B31" s="161" t="str">
        <f ca="1" t="shared" si="0"/>
        <v>T600T700-VariableSlit</v>
      </c>
      <c r="C31" s="43" t="e">
        <f>#REF!</f>
        <v>#REF!</v>
      </c>
      <c r="D31" s="162" t="e">
        <f>#REF!</f>
        <v>#REF!</v>
      </c>
      <c r="E31" s="162"/>
      <c r="F31" s="162"/>
      <c r="G31" s="162"/>
      <c r="H31" s="162">
        <f>Report!$F$5</f>
        <v>0</v>
      </c>
      <c r="I31" s="165">
        <f ca="1" t="shared" si="1"/>
        <v>45665.6169097222</v>
      </c>
      <c r="J31" s="162">
        <f>Report!$N$5</f>
        <v>0</v>
      </c>
      <c r="K31" s="162"/>
      <c r="L31" s="162">
        <f>Report!$C$6</f>
        <v>0</v>
      </c>
      <c r="M31" s="162">
        <f>Report!$H$6</f>
        <v>0</v>
      </c>
      <c r="N31" s="43" t="e">
        <f>#REF!</f>
        <v>#REF!</v>
      </c>
      <c r="O31" s="162"/>
      <c r="P31" s="43">
        <v>7003</v>
      </c>
    </row>
    <row r="32" ht="27" spans="1:16">
      <c r="A32" s="43">
        <v>7004</v>
      </c>
      <c r="B32" s="161" t="str">
        <f ca="1" t="shared" si="0"/>
        <v>T600T700-VariableSlit</v>
      </c>
      <c r="C32" s="43" t="e">
        <f>#REF!</f>
        <v>#REF!</v>
      </c>
      <c r="D32" s="162" t="e">
        <f>#REF!</f>
        <v>#REF!</v>
      </c>
      <c r="E32" s="162"/>
      <c r="F32" s="162"/>
      <c r="G32" s="162"/>
      <c r="H32" s="162">
        <f>Report!$F$5</f>
        <v>0</v>
      </c>
      <c r="I32" s="165">
        <f ca="1" t="shared" si="1"/>
        <v>45665.6169097222</v>
      </c>
      <c r="J32" s="162">
        <f>Report!$N$5</f>
        <v>0</v>
      </c>
      <c r="K32" s="162"/>
      <c r="L32" s="162">
        <f>Report!$C$6</f>
        <v>0</v>
      </c>
      <c r="M32" s="162">
        <f>Report!$H$6</f>
        <v>0</v>
      </c>
      <c r="N32" s="43" t="e">
        <f>#REF!</f>
        <v>#REF!</v>
      </c>
      <c r="O32" s="162"/>
      <c r="P32" s="43">
        <v>7004</v>
      </c>
    </row>
    <row r="33" ht="27" spans="1:16">
      <c r="A33" s="43">
        <v>8001</v>
      </c>
      <c r="B33" s="161" t="str">
        <f ca="1" t="shared" si="0"/>
        <v>T600T700-VariableSlit</v>
      </c>
      <c r="C33" s="43" t="e">
        <f>#REF!</f>
        <v>#REF!</v>
      </c>
      <c r="D33" s="162" t="e">
        <f>#REF!</f>
        <v>#REF!</v>
      </c>
      <c r="E33" s="162"/>
      <c r="F33" s="162"/>
      <c r="G33" s="162"/>
      <c r="H33" s="162">
        <f>Report!$F$5</f>
        <v>0</v>
      </c>
      <c r="I33" s="165">
        <f ca="1" t="shared" si="1"/>
        <v>45665.6169097222</v>
      </c>
      <c r="J33" s="162">
        <f>Report!$N$5</f>
        <v>0</v>
      </c>
      <c r="K33" s="162"/>
      <c r="L33" s="162">
        <f>Report!$C$6</f>
        <v>0</v>
      </c>
      <c r="M33" s="162">
        <f>Report!$H$6</f>
        <v>0</v>
      </c>
      <c r="N33" s="43" t="e">
        <f>#REF!</f>
        <v>#REF!</v>
      </c>
      <c r="O33" s="162"/>
      <c r="P33" s="43">
        <v>8001</v>
      </c>
    </row>
    <row r="34" ht="27" spans="1:16">
      <c r="A34" s="43">
        <v>8002</v>
      </c>
      <c r="B34" s="161" t="str">
        <f ca="1" t="shared" si="0"/>
        <v>T600T700-VariableSlit</v>
      </c>
      <c r="C34" s="43" t="e">
        <f>#REF!</f>
        <v>#REF!</v>
      </c>
      <c r="D34" s="162" t="e">
        <f>#REF!</f>
        <v>#REF!</v>
      </c>
      <c r="E34" s="162"/>
      <c r="F34" s="162"/>
      <c r="G34" s="162"/>
      <c r="H34" s="162">
        <f>Report!$F$5</f>
        <v>0</v>
      </c>
      <c r="I34" s="165">
        <f ca="1" t="shared" si="1"/>
        <v>45665.6169097222</v>
      </c>
      <c r="J34" s="162">
        <f>Report!$N$5</f>
        <v>0</v>
      </c>
      <c r="K34" s="162"/>
      <c r="L34" s="162">
        <f>Report!$C$6</f>
        <v>0</v>
      </c>
      <c r="M34" s="162">
        <f>Report!$H$6</f>
        <v>0</v>
      </c>
      <c r="N34" s="43" t="e">
        <f>#REF!</f>
        <v>#REF!</v>
      </c>
      <c r="O34" s="162"/>
      <c r="P34" s="43">
        <v>8002</v>
      </c>
    </row>
    <row r="35" ht="27" spans="1:16">
      <c r="A35" s="43">
        <v>8003</v>
      </c>
      <c r="B35" s="161" t="str">
        <f ca="1" t="shared" si="0"/>
        <v>T600T700-VariableSlit</v>
      </c>
      <c r="C35" s="43" t="e">
        <f>#REF!</f>
        <v>#REF!</v>
      </c>
      <c r="D35" s="162" t="e">
        <f>#REF!</f>
        <v>#REF!</v>
      </c>
      <c r="E35" s="162"/>
      <c r="F35" s="162"/>
      <c r="G35" s="162"/>
      <c r="H35" s="162">
        <f>Report!$F$5</f>
        <v>0</v>
      </c>
      <c r="I35" s="165">
        <f ca="1" t="shared" si="1"/>
        <v>45665.6169097222</v>
      </c>
      <c r="J35" s="162">
        <f>Report!$N$5</f>
        <v>0</v>
      </c>
      <c r="K35" s="162"/>
      <c r="L35" s="162">
        <f>Report!$C$6</f>
        <v>0</v>
      </c>
      <c r="M35" s="162">
        <f>Report!$H$6</f>
        <v>0</v>
      </c>
      <c r="N35" s="43" t="e">
        <f>#REF!</f>
        <v>#REF!</v>
      </c>
      <c r="O35" s="162"/>
      <c r="P35" s="43">
        <v>8003</v>
      </c>
    </row>
    <row r="36" ht="27" spans="1:16">
      <c r="A36" s="67">
        <v>8004</v>
      </c>
      <c r="B36" s="161" t="str">
        <f ca="1" t="shared" si="0"/>
        <v>T600T700-VariableSlit</v>
      </c>
      <c r="C36" s="43" t="e">
        <f>#REF!</f>
        <v>#REF!</v>
      </c>
      <c r="D36" s="162" t="e">
        <f>#REF!</f>
        <v>#REF!</v>
      </c>
      <c r="E36" s="162"/>
      <c r="F36" s="162"/>
      <c r="G36" s="162"/>
      <c r="H36" s="162">
        <f>Report!$F$5</f>
        <v>0</v>
      </c>
      <c r="I36" s="165">
        <f ca="1" t="shared" si="1"/>
        <v>45665.6169097222</v>
      </c>
      <c r="J36" s="162">
        <f>Report!$N$5</f>
        <v>0</v>
      </c>
      <c r="K36" s="162"/>
      <c r="L36" s="162">
        <f>Report!$C$6</f>
        <v>0</v>
      </c>
      <c r="M36" s="162">
        <f>Report!$H$6</f>
        <v>0</v>
      </c>
      <c r="N36" s="43" t="e">
        <f>#REF!</f>
        <v>#REF!</v>
      </c>
      <c r="O36" s="162"/>
      <c r="P36" s="43">
        <v>8004</v>
      </c>
    </row>
    <row r="37" ht="27" spans="1:16">
      <c r="A37" s="67">
        <v>9001</v>
      </c>
      <c r="B37" s="161" t="str">
        <f ca="1" t="shared" si="0"/>
        <v>T600T700-VariableSlit</v>
      </c>
      <c r="C37" s="43" t="e">
        <f>#REF!</f>
        <v>#REF!</v>
      </c>
      <c r="D37" s="162" t="e">
        <f>#REF!</f>
        <v>#REF!</v>
      </c>
      <c r="E37" s="162"/>
      <c r="F37" s="162"/>
      <c r="G37" s="162"/>
      <c r="H37" s="162">
        <f>Report!$F$5</f>
        <v>0</v>
      </c>
      <c r="I37" s="165">
        <f ca="1" t="shared" si="1"/>
        <v>45665.6169097222</v>
      </c>
      <c r="J37" s="162">
        <f>Report!$N$5</f>
        <v>0</v>
      </c>
      <c r="K37" s="162"/>
      <c r="L37" s="162">
        <f>Report!$C$6</f>
        <v>0</v>
      </c>
      <c r="M37" s="162">
        <f>Report!$H$6</f>
        <v>0</v>
      </c>
      <c r="N37" s="43" t="e">
        <f>#REF!</f>
        <v>#REF!</v>
      </c>
      <c r="O37" s="162"/>
      <c r="P37" s="43">
        <v>9001</v>
      </c>
    </row>
    <row r="38" spans="8:8">
      <c r="H38" s="157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showGridLines="0" workbookViewId="0">
      <selection activeCell="B5" sqref="B5"/>
    </sheetView>
  </sheetViews>
  <sheetFormatPr defaultColWidth="9" defaultRowHeight="13.5"/>
  <cols>
    <col min="1" max="1" width="9" style="126"/>
    <col min="2" max="2" width="17.2166666666667" style="126" customWidth="1"/>
    <col min="3" max="3" width="29.2166666666667" style="126" customWidth="1"/>
    <col min="4" max="4" width="12.3333333333333" style="126" customWidth="1"/>
    <col min="5" max="5" width="22.6666666666667" style="127" customWidth="1"/>
    <col min="6" max="6" width="9" style="126"/>
    <col min="7" max="7" width="16.8833333333333" style="126" customWidth="1"/>
    <col min="8" max="8" width="29.2166666666667" style="126" customWidth="1"/>
    <col min="9" max="9" width="12.3333333333333" style="126" customWidth="1"/>
    <col min="10" max="10" width="3.775" style="126" customWidth="1"/>
    <col min="11" max="11" width="17.2166666666667" style="126" customWidth="1"/>
    <col min="12" max="12" width="16.8833333333333" style="126" customWidth="1"/>
    <col min="13" max="13" width="12.3333333333333" style="128" customWidth="1"/>
    <col min="14" max="14" width="5.775" style="126" customWidth="1"/>
    <col min="15" max="15" width="11.6666666666667" style="126" customWidth="1"/>
    <col min="16" max="16" width="5.775" style="126" customWidth="1"/>
    <col min="17" max="17" width="20.3333333333333" style="126" customWidth="1"/>
    <col min="18" max="18" width="14.8833333333333" style="126" customWidth="1"/>
    <col min="19" max="20" width="13.8833333333333" style="126" customWidth="1"/>
    <col min="21" max="21" width="19" style="126" customWidth="1"/>
    <col min="22" max="22" width="7.44166666666667" style="126" customWidth="1"/>
    <col min="23" max="23" width="19.3333333333333" style="126" customWidth="1"/>
    <col min="24" max="25" width="13.8833333333333" style="126" customWidth="1"/>
    <col min="26" max="26" width="14.8833333333333" style="126" customWidth="1"/>
    <col min="27" max="16384" width="9" style="126"/>
  </cols>
  <sheetData>
    <row r="1" spans="1:15">
      <c r="A1" s="129" t="s">
        <v>17</v>
      </c>
      <c r="B1" s="130"/>
      <c r="C1" s="130"/>
      <c r="D1" s="130"/>
      <c r="E1" s="130"/>
      <c r="F1" s="130"/>
      <c r="G1" s="130"/>
      <c r="H1" s="131"/>
      <c r="M1" s="126"/>
      <c r="O1" s="127"/>
    </row>
    <row r="2" spans="1:15">
      <c r="A2" s="132" t="s">
        <v>5</v>
      </c>
      <c r="B2" s="132" t="s">
        <v>122</v>
      </c>
      <c r="C2" s="132" t="s">
        <v>123</v>
      </c>
      <c r="D2" s="132" t="s">
        <v>124</v>
      </c>
      <c r="E2" s="132" t="s">
        <v>125</v>
      </c>
      <c r="F2" s="132" t="s">
        <v>69</v>
      </c>
      <c r="G2" s="133" t="s">
        <v>126</v>
      </c>
      <c r="H2" s="132" t="s">
        <v>127</v>
      </c>
      <c r="M2" s="126"/>
      <c r="O2" s="127"/>
    </row>
    <row r="3" spans="1:15">
      <c r="A3" s="123" t="s">
        <v>128</v>
      </c>
      <c r="B3" s="123">
        <v>900</v>
      </c>
      <c r="C3" s="123" t="s">
        <v>19</v>
      </c>
      <c r="D3" s="123">
        <v>901</v>
      </c>
      <c r="E3" s="92" t="s">
        <v>129</v>
      </c>
      <c r="F3" s="91">
        <v>546</v>
      </c>
      <c r="G3" s="134"/>
      <c r="H3" s="135"/>
      <c r="M3" s="126"/>
      <c r="O3" s="127"/>
    </row>
    <row r="4" spans="1:15">
      <c r="A4" s="123" t="s">
        <v>128</v>
      </c>
      <c r="B4" s="123">
        <v>1000</v>
      </c>
      <c r="C4" s="123" t="s">
        <v>130</v>
      </c>
      <c r="D4" s="123">
        <v>1001</v>
      </c>
      <c r="E4" s="136" t="s">
        <v>29</v>
      </c>
      <c r="F4" s="137" t="s">
        <v>131</v>
      </c>
      <c r="G4" s="134">
        <v>0.1</v>
      </c>
      <c r="H4" s="135">
        <v>0.1</v>
      </c>
      <c r="M4" s="126"/>
      <c r="O4" s="127"/>
    </row>
    <row r="5" spans="1:15">
      <c r="A5" s="123" t="s">
        <v>128</v>
      </c>
      <c r="B5" s="123">
        <v>1000</v>
      </c>
      <c r="C5" s="123" t="s">
        <v>130</v>
      </c>
      <c r="D5" s="123">
        <v>1002</v>
      </c>
      <c r="E5" s="136" t="s">
        <v>29</v>
      </c>
      <c r="F5" s="123">
        <v>486</v>
      </c>
      <c r="G5" s="134">
        <v>0.3</v>
      </c>
      <c r="H5" s="135">
        <v>0.1</v>
      </c>
      <c r="M5" s="126"/>
      <c r="O5" s="127"/>
    </row>
    <row r="6" spans="1:19">
      <c r="A6" s="123" t="s">
        <v>128</v>
      </c>
      <c r="B6" s="123">
        <v>1000</v>
      </c>
      <c r="C6" s="123" t="s">
        <v>130</v>
      </c>
      <c r="D6" s="123">
        <v>1003</v>
      </c>
      <c r="E6" s="136" t="s">
        <v>30</v>
      </c>
      <c r="F6" s="137" t="s">
        <v>132</v>
      </c>
      <c r="G6" s="134">
        <v>0.3</v>
      </c>
      <c r="H6" s="135">
        <v>0.1</v>
      </c>
      <c r="J6" s="152"/>
      <c r="K6" s="152"/>
      <c r="L6" s="152"/>
      <c r="M6" s="152"/>
      <c r="S6" s="155"/>
    </row>
    <row r="7" spans="1:13">
      <c r="A7" s="123" t="s">
        <v>128</v>
      </c>
      <c r="B7" s="123">
        <v>1000</v>
      </c>
      <c r="C7" s="123" t="s">
        <v>130</v>
      </c>
      <c r="D7" s="123">
        <v>1008</v>
      </c>
      <c r="E7" s="136" t="s">
        <v>31</v>
      </c>
      <c r="F7" s="137" t="s">
        <v>133</v>
      </c>
      <c r="G7" s="134">
        <v>0.3</v>
      </c>
      <c r="H7" s="135">
        <v>0.1</v>
      </c>
      <c r="I7" s="153"/>
      <c r="J7" s="154"/>
      <c r="K7" s="154"/>
      <c r="M7" s="126"/>
    </row>
    <row r="8" spans="1:13">
      <c r="A8" s="123" t="s">
        <v>128</v>
      </c>
      <c r="B8" s="123">
        <v>1000</v>
      </c>
      <c r="C8" s="123" t="s">
        <v>130</v>
      </c>
      <c r="D8" s="123">
        <v>1009</v>
      </c>
      <c r="E8" s="136" t="s">
        <v>31</v>
      </c>
      <c r="F8" s="137" t="s">
        <v>134</v>
      </c>
      <c r="G8" s="134">
        <v>0.3</v>
      </c>
      <c r="H8" s="135">
        <v>0.1</v>
      </c>
      <c r="J8" s="154"/>
      <c r="K8" s="154"/>
      <c r="M8" s="126"/>
    </row>
    <row r="9" spans="1:13">
      <c r="A9" s="123" t="s">
        <v>128</v>
      </c>
      <c r="B9" s="123">
        <v>1000</v>
      </c>
      <c r="C9" s="123" t="s">
        <v>130</v>
      </c>
      <c r="D9" s="123">
        <v>1010</v>
      </c>
      <c r="E9" s="136" t="s">
        <v>31</v>
      </c>
      <c r="F9" s="137" t="s">
        <v>135</v>
      </c>
      <c r="G9" s="134">
        <v>0.3</v>
      </c>
      <c r="H9" s="135">
        <v>0.1</v>
      </c>
      <c r="J9" s="154"/>
      <c r="K9" s="154"/>
      <c r="M9" s="126"/>
    </row>
    <row r="10" spans="1:13">
      <c r="A10" s="123" t="s">
        <v>128</v>
      </c>
      <c r="B10" s="123">
        <v>1000</v>
      </c>
      <c r="C10" s="123" t="s">
        <v>130</v>
      </c>
      <c r="D10" s="123">
        <v>1011</v>
      </c>
      <c r="E10" s="136" t="s">
        <v>31</v>
      </c>
      <c r="F10" s="137" t="s">
        <v>136</v>
      </c>
      <c r="G10" s="134">
        <v>0.3</v>
      </c>
      <c r="H10" s="135">
        <v>0.1</v>
      </c>
      <c r="J10" s="154"/>
      <c r="K10" s="154"/>
      <c r="M10" s="126"/>
    </row>
    <row r="11" spans="1:13">
      <c r="A11" s="123" t="s">
        <v>128</v>
      </c>
      <c r="B11" s="123">
        <v>1000</v>
      </c>
      <c r="C11" s="123" t="s">
        <v>130</v>
      </c>
      <c r="D11" s="123">
        <v>1012</v>
      </c>
      <c r="E11" s="136" t="s">
        <v>31</v>
      </c>
      <c r="F11" s="137" t="s">
        <v>137</v>
      </c>
      <c r="G11" s="134">
        <v>0.3</v>
      </c>
      <c r="H11" s="135">
        <v>0.1</v>
      </c>
      <c r="J11" s="154"/>
      <c r="K11" s="154"/>
      <c r="M11" s="126"/>
    </row>
    <row r="12" spans="1:13">
      <c r="A12" s="123" t="s">
        <v>128</v>
      </c>
      <c r="B12" s="123">
        <v>1000</v>
      </c>
      <c r="C12" s="123" t="s">
        <v>130</v>
      </c>
      <c r="D12" s="123">
        <v>1013</v>
      </c>
      <c r="E12" s="136" t="s">
        <v>31</v>
      </c>
      <c r="F12" s="137" t="s">
        <v>138</v>
      </c>
      <c r="G12" s="134">
        <v>0.3</v>
      </c>
      <c r="H12" s="135">
        <v>0.1</v>
      </c>
      <c r="J12" s="154"/>
      <c r="K12" s="154"/>
      <c r="M12" s="126"/>
    </row>
    <row r="13" ht="14.25" customHeight="1" spans="1:13">
      <c r="A13" s="123" t="s">
        <v>128</v>
      </c>
      <c r="B13" s="123">
        <v>2000</v>
      </c>
      <c r="C13" s="123" t="s">
        <v>139</v>
      </c>
      <c r="D13" s="123">
        <v>2001</v>
      </c>
      <c r="E13" s="136" t="s">
        <v>140</v>
      </c>
      <c r="F13" s="138" t="s">
        <v>141</v>
      </c>
      <c r="G13" s="139">
        <v>0.3</v>
      </c>
      <c r="H13" s="139">
        <v>0.1</v>
      </c>
      <c r="J13" s="154"/>
      <c r="K13" s="153"/>
      <c r="M13" s="126"/>
    </row>
    <row r="14" ht="25.5" spans="1:13">
      <c r="A14" s="123" t="s">
        <v>128</v>
      </c>
      <c r="B14" s="123">
        <v>2000</v>
      </c>
      <c r="C14" s="123" t="s">
        <v>139</v>
      </c>
      <c r="D14" s="123">
        <v>2002</v>
      </c>
      <c r="E14" s="136" t="s">
        <v>140</v>
      </c>
      <c r="F14" s="138" t="s">
        <v>142</v>
      </c>
      <c r="G14" s="139">
        <v>0.3</v>
      </c>
      <c r="H14" s="139">
        <v>0.1</v>
      </c>
      <c r="J14" s="154"/>
      <c r="K14" s="153"/>
      <c r="M14" s="126"/>
    </row>
    <row r="15" ht="25.5" spans="1:13">
      <c r="A15" s="123" t="s">
        <v>128</v>
      </c>
      <c r="B15" s="123">
        <v>2000</v>
      </c>
      <c r="C15" s="123" t="s">
        <v>139</v>
      </c>
      <c r="D15" s="123">
        <v>2003</v>
      </c>
      <c r="E15" s="136" t="s">
        <v>140</v>
      </c>
      <c r="F15" s="138" t="s">
        <v>143</v>
      </c>
      <c r="G15" s="139">
        <v>0.3</v>
      </c>
      <c r="H15" s="139">
        <v>0.1</v>
      </c>
      <c r="J15" s="154"/>
      <c r="K15" s="153"/>
      <c r="M15" s="126"/>
    </row>
    <row r="16" ht="25.5" spans="1:13">
      <c r="A16" s="123" t="s">
        <v>128</v>
      </c>
      <c r="B16" s="123">
        <v>2000</v>
      </c>
      <c r="C16" s="123" t="s">
        <v>139</v>
      </c>
      <c r="D16" s="123">
        <v>2004</v>
      </c>
      <c r="E16" s="136" t="s">
        <v>140</v>
      </c>
      <c r="F16" s="138" t="s">
        <v>144</v>
      </c>
      <c r="G16" s="139">
        <v>0.3</v>
      </c>
      <c r="H16" s="139">
        <v>0.1</v>
      </c>
      <c r="J16" s="154"/>
      <c r="K16" s="153"/>
      <c r="M16" s="126"/>
    </row>
    <row r="17" spans="1:13">
      <c r="A17" s="123" t="s">
        <v>128</v>
      </c>
      <c r="B17" s="123">
        <v>2000</v>
      </c>
      <c r="C17" s="123" t="s">
        <v>139</v>
      </c>
      <c r="D17" s="123">
        <v>2005</v>
      </c>
      <c r="E17" s="138" t="s">
        <v>97</v>
      </c>
      <c r="F17" s="138" t="s">
        <v>145</v>
      </c>
      <c r="G17" s="139">
        <v>0.3</v>
      </c>
      <c r="H17" s="139">
        <v>0.1</v>
      </c>
      <c r="M17" s="126"/>
    </row>
    <row r="18" spans="1:13">
      <c r="A18" s="123" t="s">
        <v>128</v>
      </c>
      <c r="B18" s="123">
        <v>2000</v>
      </c>
      <c r="C18" s="123" t="s">
        <v>139</v>
      </c>
      <c r="D18" s="123">
        <v>2006</v>
      </c>
      <c r="E18" s="138" t="s">
        <v>97</v>
      </c>
      <c r="F18" s="138" t="s">
        <v>146</v>
      </c>
      <c r="G18" s="139">
        <v>0.3</v>
      </c>
      <c r="H18" s="139">
        <v>0.1</v>
      </c>
      <c r="M18" s="126"/>
    </row>
    <row r="19" spans="1:13">
      <c r="A19" s="123" t="s">
        <v>128</v>
      </c>
      <c r="B19" s="123">
        <v>2000</v>
      </c>
      <c r="C19" s="123" t="s">
        <v>139</v>
      </c>
      <c r="D19" s="123">
        <v>2007</v>
      </c>
      <c r="E19" s="138" t="s">
        <v>97</v>
      </c>
      <c r="F19" s="138" t="s">
        <v>147</v>
      </c>
      <c r="G19" s="139">
        <v>0.3</v>
      </c>
      <c r="H19" s="139">
        <v>0.1</v>
      </c>
      <c r="M19" s="126"/>
    </row>
    <row r="20" spans="1:13">
      <c r="A20" s="123" t="s">
        <v>128</v>
      </c>
      <c r="B20" s="123">
        <v>2000</v>
      </c>
      <c r="C20" s="123" t="s">
        <v>139</v>
      </c>
      <c r="D20" s="123">
        <v>2008</v>
      </c>
      <c r="E20" s="138" t="s">
        <v>102</v>
      </c>
      <c r="F20" s="138" t="s">
        <v>145</v>
      </c>
      <c r="G20" s="139">
        <v>0.3</v>
      </c>
      <c r="H20" s="139">
        <v>0.1</v>
      </c>
      <c r="M20" s="126"/>
    </row>
    <row r="21" spans="1:13">
      <c r="A21" s="123" t="s">
        <v>128</v>
      </c>
      <c r="B21" s="123">
        <v>2000</v>
      </c>
      <c r="C21" s="123" t="s">
        <v>139</v>
      </c>
      <c r="D21" s="123">
        <v>2009</v>
      </c>
      <c r="E21" s="138" t="s">
        <v>102</v>
      </c>
      <c r="F21" s="138" t="s">
        <v>146</v>
      </c>
      <c r="G21" s="139">
        <v>0.3</v>
      </c>
      <c r="H21" s="139">
        <v>0.1</v>
      </c>
      <c r="M21" s="126"/>
    </row>
    <row r="22" spans="1:13">
      <c r="A22" s="123" t="s">
        <v>128</v>
      </c>
      <c r="B22" s="123">
        <v>2000</v>
      </c>
      <c r="C22" s="123" t="s">
        <v>139</v>
      </c>
      <c r="D22" s="123">
        <v>2010</v>
      </c>
      <c r="E22" s="138" t="s">
        <v>102</v>
      </c>
      <c r="F22" s="138" t="s">
        <v>147</v>
      </c>
      <c r="G22" s="139">
        <v>0.3</v>
      </c>
      <c r="H22" s="139">
        <v>0.1</v>
      </c>
      <c r="M22" s="126"/>
    </row>
    <row r="23" spans="1:13">
      <c r="A23" s="123" t="s">
        <v>128</v>
      </c>
      <c r="B23" s="123">
        <v>2000</v>
      </c>
      <c r="C23" s="123" t="s">
        <v>139</v>
      </c>
      <c r="D23" s="123">
        <v>2011</v>
      </c>
      <c r="E23" s="138" t="s">
        <v>105</v>
      </c>
      <c r="F23" s="138" t="s">
        <v>145</v>
      </c>
      <c r="G23" s="139">
        <v>0.3</v>
      </c>
      <c r="H23" s="139">
        <v>0.1</v>
      </c>
      <c r="M23" s="126"/>
    </row>
    <row r="24" spans="1:13">
      <c r="A24" s="123" t="s">
        <v>128</v>
      </c>
      <c r="B24" s="123">
        <v>2000</v>
      </c>
      <c r="C24" s="123" t="s">
        <v>139</v>
      </c>
      <c r="D24" s="123">
        <v>2012</v>
      </c>
      <c r="E24" s="138" t="s">
        <v>105</v>
      </c>
      <c r="F24" s="138" t="s">
        <v>146</v>
      </c>
      <c r="G24" s="139">
        <v>0.3</v>
      </c>
      <c r="H24" s="139">
        <v>0.1</v>
      </c>
      <c r="M24" s="126"/>
    </row>
    <row r="25" spans="1:13">
      <c r="A25" s="123" t="s">
        <v>128</v>
      </c>
      <c r="B25" s="123">
        <v>2000</v>
      </c>
      <c r="C25" s="123" t="s">
        <v>139</v>
      </c>
      <c r="D25" s="123">
        <v>2013</v>
      </c>
      <c r="E25" s="138" t="s">
        <v>105</v>
      </c>
      <c r="F25" s="138" t="s">
        <v>147</v>
      </c>
      <c r="G25" s="139">
        <v>0.3</v>
      </c>
      <c r="H25" s="139">
        <v>0.1</v>
      </c>
      <c r="M25" s="126"/>
    </row>
    <row r="26" spans="1:13">
      <c r="A26" s="123" t="s">
        <v>128</v>
      </c>
      <c r="B26" s="123">
        <v>3000</v>
      </c>
      <c r="C26" s="123" t="s">
        <v>148</v>
      </c>
      <c r="D26" s="123">
        <v>3001</v>
      </c>
      <c r="E26" s="140" t="s">
        <v>53</v>
      </c>
      <c r="F26" s="141" t="s">
        <v>51</v>
      </c>
      <c r="G26" s="142">
        <v>0.01</v>
      </c>
      <c r="H26" s="123"/>
      <c r="M26" s="126"/>
    </row>
    <row r="27" spans="1:13">
      <c r="A27" s="123" t="s">
        <v>128</v>
      </c>
      <c r="B27" s="123">
        <v>3000</v>
      </c>
      <c r="C27" s="123" t="s">
        <v>148</v>
      </c>
      <c r="D27" s="123">
        <v>3002</v>
      </c>
      <c r="E27" s="140" t="s">
        <v>57</v>
      </c>
      <c r="F27" s="141" t="s">
        <v>55</v>
      </c>
      <c r="G27" s="142">
        <v>0.02</v>
      </c>
      <c r="H27" s="123"/>
      <c r="M27" s="126"/>
    </row>
    <row r="28" spans="1:13">
      <c r="A28" s="123" t="s">
        <v>128</v>
      </c>
      <c r="B28" s="123">
        <v>4000</v>
      </c>
      <c r="C28" s="123" t="s">
        <v>149</v>
      </c>
      <c r="D28" s="123">
        <v>4001</v>
      </c>
      <c r="E28" s="140" t="s">
        <v>58</v>
      </c>
      <c r="F28" s="123"/>
      <c r="G28" s="143">
        <v>0.0005</v>
      </c>
      <c r="H28" s="123"/>
      <c r="M28" s="126"/>
    </row>
    <row r="29" spans="1:13">
      <c r="A29" s="123" t="s">
        <v>128</v>
      </c>
      <c r="B29" s="123">
        <v>5000</v>
      </c>
      <c r="C29" s="123" t="s">
        <v>150</v>
      </c>
      <c r="D29" s="123">
        <v>5001</v>
      </c>
      <c r="E29" s="140" t="s">
        <v>151</v>
      </c>
      <c r="F29" s="123"/>
      <c r="G29" s="144">
        <v>0.1</v>
      </c>
      <c r="H29" s="123"/>
      <c r="M29" s="126"/>
    </row>
    <row r="30" spans="1:13">
      <c r="A30" s="123" t="s">
        <v>128</v>
      </c>
      <c r="B30" s="123">
        <v>6000</v>
      </c>
      <c r="C30" s="123" t="s">
        <v>152</v>
      </c>
      <c r="D30" s="123">
        <v>6002</v>
      </c>
      <c r="E30" s="140" t="s">
        <v>153</v>
      </c>
      <c r="F30" s="140">
        <v>656.1</v>
      </c>
      <c r="G30" s="145">
        <v>20</v>
      </c>
      <c r="H30" s="123"/>
      <c r="M30" s="126"/>
    </row>
    <row r="31" spans="1:13">
      <c r="A31" s="123" t="s">
        <v>128</v>
      </c>
      <c r="B31" s="123">
        <v>7000</v>
      </c>
      <c r="C31" s="123" t="s">
        <v>154</v>
      </c>
      <c r="D31" s="123">
        <v>7001</v>
      </c>
      <c r="E31" s="139" t="s">
        <v>155</v>
      </c>
      <c r="F31" s="146">
        <v>500</v>
      </c>
      <c r="G31" s="147">
        <v>0.05</v>
      </c>
      <c r="H31" s="123"/>
      <c r="M31" s="126"/>
    </row>
    <row r="32" spans="1:13">
      <c r="A32" s="123" t="s">
        <v>128</v>
      </c>
      <c r="B32" s="123">
        <v>7000</v>
      </c>
      <c r="C32" s="123" t="s">
        <v>154</v>
      </c>
      <c r="D32" s="123">
        <v>7002</v>
      </c>
      <c r="E32" s="139" t="s">
        <v>156</v>
      </c>
      <c r="F32" s="146">
        <v>500</v>
      </c>
      <c r="G32" s="148">
        <v>0.005</v>
      </c>
      <c r="H32" s="123"/>
      <c r="M32" s="126"/>
    </row>
    <row r="33" spans="1:13">
      <c r="A33" s="123" t="s">
        <v>128</v>
      </c>
      <c r="B33" s="123">
        <v>7000</v>
      </c>
      <c r="C33" s="123" t="s">
        <v>154</v>
      </c>
      <c r="D33" s="123">
        <v>7003</v>
      </c>
      <c r="E33" s="139" t="s">
        <v>157</v>
      </c>
      <c r="F33" s="146">
        <v>250</v>
      </c>
      <c r="G33" s="147">
        <v>0.05</v>
      </c>
      <c r="H33" s="123"/>
      <c r="M33" s="126"/>
    </row>
    <row r="34" spans="1:13">
      <c r="A34" s="123" t="s">
        <v>128</v>
      </c>
      <c r="B34" s="123">
        <v>7000</v>
      </c>
      <c r="C34" s="123" t="s">
        <v>154</v>
      </c>
      <c r="D34" s="123">
        <v>7004</v>
      </c>
      <c r="E34" s="139" t="s">
        <v>158</v>
      </c>
      <c r="F34" s="146">
        <v>250</v>
      </c>
      <c r="G34" s="148">
        <v>0.005</v>
      </c>
      <c r="H34" s="123"/>
      <c r="M34" s="126"/>
    </row>
    <row r="35" spans="1:13">
      <c r="A35" s="123" t="s">
        <v>128</v>
      </c>
      <c r="B35" s="123">
        <v>8000</v>
      </c>
      <c r="C35" s="123" t="s">
        <v>159</v>
      </c>
      <c r="D35" s="123">
        <v>8001</v>
      </c>
      <c r="E35" s="139" t="s">
        <v>160</v>
      </c>
      <c r="F35" s="146">
        <v>1090</v>
      </c>
      <c r="G35" s="149">
        <v>0.1</v>
      </c>
      <c r="H35" s="123"/>
      <c r="M35" s="126"/>
    </row>
    <row r="36" spans="1:13">
      <c r="A36" s="123" t="s">
        <v>128</v>
      </c>
      <c r="B36" s="123">
        <v>8000</v>
      </c>
      <c r="C36" s="123" t="s">
        <v>159</v>
      </c>
      <c r="D36" s="123">
        <v>8002</v>
      </c>
      <c r="E36" s="139" t="s">
        <v>161</v>
      </c>
      <c r="F36" s="146">
        <v>1090</v>
      </c>
      <c r="G36" s="147">
        <v>0.02</v>
      </c>
      <c r="H36" s="123"/>
      <c r="M36" s="126"/>
    </row>
    <row r="37" spans="1:13">
      <c r="A37" s="123" t="s">
        <v>128</v>
      </c>
      <c r="B37" s="123">
        <v>8000</v>
      </c>
      <c r="C37" s="123" t="s">
        <v>159</v>
      </c>
      <c r="D37" s="123">
        <v>8003</v>
      </c>
      <c r="E37" s="139" t="s">
        <v>162</v>
      </c>
      <c r="F37" s="146">
        <v>200</v>
      </c>
      <c r="G37" s="149">
        <v>0.1</v>
      </c>
      <c r="H37" s="123"/>
      <c r="M37" s="126"/>
    </row>
    <row r="38" spans="1:13">
      <c r="A38" s="123" t="s">
        <v>128</v>
      </c>
      <c r="B38" s="125">
        <v>8000</v>
      </c>
      <c r="C38" s="125" t="s">
        <v>159</v>
      </c>
      <c r="D38" s="125">
        <v>8004</v>
      </c>
      <c r="E38" s="150" t="s">
        <v>163</v>
      </c>
      <c r="F38" s="146">
        <v>200</v>
      </c>
      <c r="G38" s="147">
        <v>0.02</v>
      </c>
      <c r="H38" s="125"/>
      <c r="M38" s="126"/>
    </row>
    <row r="39" spans="1:13">
      <c r="A39" s="123" t="s">
        <v>128</v>
      </c>
      <c r="B39" s="125">
        <v>9000</v>
      </c>
      <c r="C39" s="125" t="s">
        <v>164</v>
      </c>
      <c r="D39" s="125">
        <v>9001</v>
      </c>
      <c r="E39" s="140" t="s">
        <v>164</v>
      </c>
      <c r="F39" s="150" t="s">
        <v>165</v>
      </c>
      <c r="G39" s="151">
        <v>0.1</v>
      </c>
      <c r="H39" s="125"/>
      <c r="M39" s="126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6" sqref="A6"/>
    </sheetView>
  </sheetViews>
  <sheetFormatPr defaultColWidth="9" defaultRowHeight="13.5" outlineLevelCol="4"/>
  <cols>
    <col min="1" max="1" width="10.1083333333333" style="122" customWidth="1"/>
    <col min="2" max="2" width="12.4416666666667" style="122" customWidth="1"/>
    <col min="4" max="4" width="29.2166666666667" customWidth="1"/>
    <col min="5" max="5" width="12.3333333333333" customWidth="1"/>
    <col min="6" max="6" width="9" customWidth="1"/>
  </cols>
  <sheetData>
    <row r="1" spans="1:5">
      <c r="A1" s="106" t="s">
        <v>6</v>
      </c>
      <c r="B1" s="106" t="s">
        <v>5</v>
      </c>
      <c r="D1" s="31" t="s">
        <v>123</v>
      </c>
      <c r="E1" s="31" t="s">
        <v>122</v>
      </c>
    </row>
    <row r="2" spans="1:5">
      <c r="A2" s="69" t="s">
        <v>166</v>
      </c>
      <c r="B2" s="69" t="s">
        <v>167</v>
      </c>
      <c r="D2" s="123" t="s">
        <v>130</v>
      </c>
      <c r="E2" s="123">
        <v>1000</v>
      </c>
    </row>
    <row r="3" spans="1:5">
      <c r="A3" s="69" t="s">
        <v>168</v>
      </c>
      <c r="B3" s="69" t="s">
        <v>169</v>
      </c>
      <c r="D3" s="123" t="s">
        <v>139</v>
      </c>
      <c r="E3" s="123">
        <v>2000</v>
      </c>
    </row>
    <row r="4" spans="1:5">
      <c r="A4" s="69" t="s">
        <v>170</v>
      </c>
      <c r="B4" s="69" t="s">
        <v>171</v>
      </c>
      <c r="D4" s="123" t="s">
        <v>148</v>
      </c>
      <c r="E4" s="123">
        <v>3000</v>
      </c>
    </row>
    <row r="5" spans="1:5">
      <c r="A5" s="69" t="s">
        <v>172</v>
      </c>
      <c r="B5" s="69" t="s">
        <v>173</v>
      </c>
      <c r="D5" s="123" t="s">
        <v>149</v>
      </c>
      <c r="E5" s="123">
        <v>4000</v>
      </c>
    </row>
    <row r="6" spans="1:5">
      <c r="A6" s="69" t="s">
        <v>174</v>
      </c>
      <c r="B6" s="69" t="s">
        <v>175</v>
      </c>
      <c r="D6" s="123" t="s">
        <v>150</v>
      </c>
      <c r="E6" s="123">
        <v>5000</v>
      </c>
    </row>
    <row r="7" spans="1:5">
      <c r="A7" s="69" t="s">
        <v>176</v>
      </c>
      <c r="B7" s="69" t="s">
        <v>177</v>
      </c>
      <c r="D7" s="123" t="s">
        <v>152</v>
      </c>
      <c r="E7" s="123">
        <v>6000</v>
      </c>
    </row>
    <row r="8" spans="1:5">
      <c r="A8" s="69" t="s">
        <v>178</v>
      </c>
      <c r="B8" s="69" t="s">
        <v>128</v>
      </c>
      <c r="D8" s="123" t="s">
        <v>154</v>
      </c>
      <c r="E8" s="123">
        <v>7000</v>
      </c>
    </row>
    <row r="9" spans="1:5">
      <c r="A9" s="124" t="s">
        <v>179</v>
      </c>
      <c r="B9" s="124" t="s">
        <v>180</v>
      </c>
      <c r="D9" s="125" t="s">
        <v>159</v>
      </c>
      <c r="E9" s="125">
        <v>8000</v>
      </c>
    </row>
    <row r="10" spans="1:5">
      <c r="A10" s="67"/>
      <c r="B10" s="67"/>
      <c r="D10" s="125" t="s">
        <v>164</v>
      </c>
      <c r="E10" s="125">
        <v>9000</v>
      </c>
    </row>
    <row r="11" spans="1:2">
      <c r="A11" s="67"/>
      <c r="B11" s="67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1"/>
  <sheetViews>
    <sheetView showGridLines="0" tabSelected="1" zoomScale="85" zoomScaleNormal="85" workbookViewId="0">
      <pane xSplit="1" topLeftCell="L1" activePane="topRight" state="frozen"/>
      <selection/>
      <selection pane="topRight" activeCell="S12" sqref="S12"/>
    </sheetView>
  </sheetViews>
  <sheetFormatPr defaultColWidth="8.88333333333333" defaultRowHeight="13.5"/>
  <cols>
    <col min="1" max="1" width="29.2166666666667" style="87" customWidth="1"/>
    <col min="2" max="2" width="18.3333333333333" style="86" customWidth="1"/>
    <col min="3" max="3" width="21.4416666666667" style="86" customWidth="1"/>
    <col min="4" max="4" width="40" style="86" customWidth="1"/>
    <col min="5" max="5" width="46.4416666666667" style="86" customWidth="1"/>
    <col min="6" max="6" width="8.88333333333333" style="86"/>
    <col min="7" max="7" width="10.4416666666667" style="86" customWidth="1"/>
    <col min="8" max="8" width="20.1083333333333" style="86" customWidth="1"/>
    <col min="9" max="9" width="79.4416666666667" style="86" customWidth="1"/>
    <col min="10" max="10" width="15.3333333333333" style="86" customWidth="1"/>
    <col min="11" max="11" width="11.4416666666667" style="86" customWidth="1"/>
    <col min="12" max="12" width="9.66666666666667" style="86" customWidth="1"/>
    <col min="13" max="13" width="8.44166666666667" style="86" customWidth="1"/>
    <col min="14" max="14" width="9.88333333333333" style="86" customWidth="1"/>
    <col min="15" max="15" width="10" style="86" customWidth="1"/>
    <col min="16" max="16" width="9.66666666666667" style="86" customWidth="1"/>
    <col min="17" max="17" width="8.44166666666667" style="86" customWidth="1"/>
    <col min="18" max="18" width="9.10833333333333" style="86" customWidth="1"/>
    <col min="19" max="19" width="9.44166666666667" style="86" customWidth="1"/>
    <col min="20" max="21" width="9.66666666666667" style="86" customWidth="1"/>
    <col min="22" max="22" width="18" style="86" customWidth="1"/>
    <col min="23" max="23" width="12.3333333333333" style="86" customWidth="1"/>
    <col min="24" max="24" width="18.4416666666667" style="86" customWidth="1"/>
    <col min="25" max="25" width="19.3333333333333" style="86" customWidth="1"/>
    <col min="26" max="26" width="15.1083333333333" style="88" customWidth="1"/>
    <col min="27" max="27" width="21.225" style="88" customWidth="1"/>
    <col min="28" max="28" width="17.2166666666667" style="89" customWidth="1"/>
    <col min="29" max="16384" width="8.88333333333333" style="86"/>
  </cols>
  <sheetData>
    <row r="1" s="84" customFormat="1" ht="40.5" spans="1:28">
      <c r="A1" s="90" t="s">
        <v>181</v>
      </c>
      <c r="B1" s="90" t="s">
        <v>182</v>
      </c>
      <c r="C1" s="90" t="s">
        <v>34</v>
      </c>
      <c r="D1" s="90" t="s">
        <v>183</v>
      </c>
      <c r="E1" s="90" t="s">
        <v>184</v>
      </c>
      <c r="F1" s="90" t="s">
        <v>76</v>
      </c>
      <c r="G1" s="90" t="s">
        <v>185</v>
      </c>
      <c r="H1" s="90" t="s">
        <v>69</v>
      </c>
      <c r="I1" s="106" t="s">
        <v>186</v>
      </c>
      <c r="J1" s="90" t="s">
        <v>186</v>
      </c>
      <c r="K1" s="107" t="s">
        <v>71</v>
      </c>
      <c r="L1" s="107" t="s">
        <v>187</v>
      </c>
      <c r="M1" s="107" t="s">
        <v>74</v>
      </c>
      <c r="N1" s="107" t="s">
        <v>188</v>
      </c>
      <c r="O1" s="107" t="s">
        <v>189</v>
      </c>
      <c r="P1" s="107" t="s">
        <v>190</v>
      </c>
      <c r="Q1" s="107" t="s">
        <v>26</v>
      </c>
      <c r="R1" s="107" t="s">
        <v>191</v>
      </c>
      <c r="S1" s="107" t="s">
        <v>192</v>
      </c>
      <c r="T1" s="107" t="s">
        <v>193</v>
      </c>
      <c r="U1" s="107" t="s">
        <v>79</v>
      </c>
      <c r="V1" s="90" t="s">
        <v>70</v>
      </c>
      <c r="W1" s="90" t="s">
        <v>194</v>
      </c>
      <c r="X1" s="90" t="s">
        <v>195</v>
      </c>
      <c r="Y1" s="90" t="s">
        <v>196</v>
      </c>
      <c r="Z1" s="90" t="s">
        <v>122</v>
      </c>
      <c r="AA1" s="90" t="s">
        <v>124</v>
      </c>
      <c r="AB1" s="115" t="s">
        <v>35</v>
      </c>
    </row>
    <row r="2" ht="27" spans="1:28">
      <c r="A2" s="91" t="s">
        <v>19</v>
      </c>
      <c r="B2" s="92" t="s">
        <v>129</v>
      </c>
      <c r="C2" s="91"/>
      <c r="D2" s="91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PhotoMode=1;ScanSpeed=2;WlRange=660,650,0.1;Slit1=2.0;LampPos=1</v>
      </c>
      <c r="E2" s="91" t="str">
        <f>IF(W2="","",检测项信息!W2&amp;":"&amp;字段对应!$B$16&amp;"|")&amp;IF(X2="","",X2&amp;":"&amp;IF(V2="是",字段对应!$C$17,字段对应!$B$17&amp;";"&amp;IF(H2="","",字段对应!$B$15&amp;"="&amp;检测项信息!H2))&amp;"|")&amp;IF(Y2="",":",Y2&amp;":")&amp;IF(V2="是",字段对应!$C$18,字段对应!$B$18&amp;";"&amp;IF(H2="","",字段对应!$B$15&amp;"="&amp;检测项信息!H2)&amp;IF(AND(T2="",S2=""),"",";"&amp;字段对应!$B$20&amp;"="&amp;T2&amp;";"&amp;字段对应!$B$19&amp;"="&amp;S2))</f>
        <v>空气:Zero;Wl=546|空气:Measure;Wl=546</v>
      </c>
      <c r="F2" s="91">
        <v>1</v>
      </c>
      <c r="G2" s="91"/>
      <c r="H2" s="91">
        <v>546</v>
      </c>
      <c r="I2" s="91" t="str">
        <f>VLOOKUP(J2,字段对应!$D$2:$E$8,2,0)</f>
        <v>Validation.ViewModel.DataStructure.FindMaxOffsetUVTestTool</v>
      </c>
      <c r="J2" s="91" t="s">
        <v>197</v>
      </c>
      <c r="K2" s="108" t="s">
        <v>29</v>
      </c>
      <c r="L2" s="108" t="s">
        <v>86</v>
      </c>
      <c r="M2" s="108" t="s">
        <v>91</v>
      </c>
      <c r="N2" s="108">
        <v>660</v>
      </c>
      <c r="O2" s="108">
        <v>650</v>
      </c>
      <c r="P2" s="108">
        <v>0.1</v>
      </c>
      <c r="Q2" s="108"/>
      <c r="R2" s="108" t="s">
        <v>96</v>
      </c>
      <c r="S2" s="108"/>
      <c r="T2" s="108"/>
      <c r="U2" s="108"/>
      <c r="V2" s="91" t="s">
        <v>84</v>
      </c>
      <c r="W2" s="91"/>
      <c r="X2" s="91" t="s">
        <v>198</v>
      </c>
      <c r="Y2" s="91" t="s">
        <v>198</v>
      </c>
      <c r="Z2" s="91" t="e">
        <f>VLOOKUP(A2,对应信息!$D$2:$E$10,2,0)</f>
        <v>#N/A</v>
      </c>
      <c r="AA2" s="91" t="e">
        <f>IF(Z1=Z2,AA1+1,Z2+1)</f>
        <v>#N/A</v>
      </c>
      <c r="AB2" s="116" t="s">
        <v>96</v>
      </c>
    </row>
    <row r="3" s="85" customFormat="1" ht="44.25" customHeight="1" spans="1:28">
      <c r="A3" s="93" t="s">
        <v>23</v>
      </c>
      <c r="B3" s="92" t="s">
        <v>199</v>
      </c>
      <c r="C3" s="94"/>
      <c r="D3" s="93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PhotoMode=2;ScanSpeed=2;WlRange=490,480,0.1;Gain=4;Slit1=2.0;LampPos=1</v>
      </c>
      <c r="E3" s="93" t="str">
        <f>IF(W3="","",检测项信息!W3&amp;":"&amp;字段对应!$B$16&amp;"|")&amp;IF(X3="","",X3&amp;":"&amp;IF(V3="是",字段对应!$C$17,字段对应!$B$17&amp;";"&amp;IF(H3="","",字段对应!$B$15&amp;"="&amp;检测项信息!H3))&amp;"|")&amp;IF(Y3="",":",Y3&amp;":")&amp;IF(V3="是",字段对应!$C$18,字段对应!$B$18&amp;";"&amp;IF(H3="","",字段对应!$B$15&amp;"="&amp;检测项信息!H3)&amp;IF(AND(T3="",S3=""),"",";"&amp;字段对应!$B$20&amp;"="&amp;T3&amp;";"&amp;字段对应!$B$19&amp;"="&amp;S3))</f>
        <v>空气:Scan</v>
      </c>
      <c r="F3" s="93">
        <v>1</v>
      </c>
      <c r="G3" s="93"/>
      <c r="H3" s="95">
        <v>486</v>
      </c>
      <c r="I3" s="93" t="str">
        <f>VLOOKUP(J3,字段对应!$D$2:$E$8,2,0)</f>
        <v>Validation.ViewModel.DataStructure.FindPeakAndAverageUVTestTool</v>
      </c>
      <c r="J3" s="93" t="s">
        <v>200</v>
      </c>
      <c r="K3" s="93" t="s">
        <v>29</v>
      </c>
      <c r="L3" s="93" t="s">
        <v>90</v>
      </c>
      <c r="M3" s="93" t="s">
        <v>91</v>
      </c>
      <c r="N3" s="93">
        <v>490</v>
      </c>
      <c r="O3" s="93">
        <v>480</v>
      </c>
      <c r="P3" s="93">
        <v>0.1</v>
      </c>
      <c r="Q3" s="93">
        <v>4</v>
      </c>
      <c r="R3" s="93" t="s">
        <v>96</v>
      </c>
      <c r="S3" s="93"/>
      <c r="T3" s="93"/>
      <c r="U3" s="93"/>
      <c r="V3" s="93" t="s">
        <v>80</v>
      </c>
      <c r="W3" s="93"/>
      <c r="X3" s="93"/>
      <c r="Y3" s="93" t="s">
        <v>198</v>
      </c>
      <c r="Z3" s="93" t="e">
        <f>VLOOKUP(A3,对应信息!$D$2:$E$10,2,0)</f>
        <v>#N/A</v>
      </c>
      <c r="AA3" s="93" t="e">
        <f>IF(#REF!=Z3,#REF!+1,Z3+1)</f>
        <v>#REF!</v>
      </c>
      <c r="AB3" s="117"/>
    </row>
    <row r="4" ht="44.25" customHeight="1" spans="1:28">
      <c r="A4" s="91" t="s">
        <v>23</v>
      </c>
      <c r="B4" s="92" t="s">
        <v>201</v>
      </c>
      <c r="C4" s="96"/>
      <c r="D4" s="91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PhotoMode=2;ScanSpeed=2;WlRange=660,650,0.1;Gain=4;Slit1=2.0;LampPos=1</v>
      </c>
      <c r="E4" s="91" t="str">
        <f>IF(W4="","",检测项信息!W4&amp;":"&amp;字段对应!$B$16&amp;"|")&amp;IF(X4="","",X4&amp;":"&amp;IF(V4="是",字段对应!$C$17,字段对应!$B$17&amp;";"&amp;IF(H4="","",字段对应!$B$15&amp;"="&amp;检测项信息!H4))&amp;"|")&amp;IF(Y4="",":",Y4&amp;":")&amp;IF(V4="是",字段对应!$C$18,字段对应!$B$18&amp;";"&amp;IF(H4="","",字段对应!$B$15&amp;"="&amp;检测项信息!H4)&amp;IF(AND(T4="",S4=""),"",";"&amp;字段对应!$B$20&amp;"="&amp;T4&amp;";"&amp;字段对应!$B$19&amp;"="&amp;S4))</f>
        <v>空气:Scan</v>
      </c>
      <c r="F4" s="91">
        <v>1</v>
      </c>
      <c r="G4" s="91"/>
      <c r="H4" s="97">
        <v>656.1</v>
      </c>
      <c r="I4" s="91" t="str">
        <f>VLOOKUP(J4,字段对应!$D$2:$E$8,2,0)</f>
        <v>Validation.ViewModel.DataStructure.FindPeakAndAverageUVTestTool</v>
      </c>
      <c r="J4" s="91" t="s">
        <v>200</v>
      </c>
      <c r="K4" s="108" t="s">
        <v>29</v>
      </c>
      <c r="L4" s="108" t="s">
        <v>90</v>
      </c>
      <c r="M4" s="108" t="s">
        <v>91</v>
      </c>
      <c r="N4" s="108">
        <v>660</v>
      </c>
      <c r="O4" s="108">
        <v>650</v>
      </c>
      <c r="P4" s="108">
        <v>0.1</v>
      </c>
      <c r="Q4" s="108">
        <v>4</v>
      </c>
      <c r="R4" s="108" t="s">
        <v>96</v>
      </c>
      <c r="S4" s="108"/>
      <c r="T4" s="108"/>
      <c r="U4" s="108"/>
      <c r="V4" s="91" t="s">
        <v>80</v>
      </c>
      <c r="W4" s="91"/>
      <c r="X4" s="91"/>
      <c r="Y4" s="91" t="s">
        <v>198</v>
      </c>
      <c r="Z4" s="91" t="e">
        <f>VLOOKUP(A4,对应信息!$D$2:$E$10,2,0)</f>
        <v>#N/A</v>
      </c>
      <c r="AA4" s="91" t="e">
        <f>IF(#REF!=Z4,#REF!+1,Z4+1)</f>
        <v>#REF!</v>
      </c>
      <c r="AB4" s="118"/>
    </row>
    <row r="5" ht="46.5" customHeight="1" spans="1:28">
      <c r="A5" s="91" t="s">
        <v>23</v>
      </c>
      <c r="B5" s="91" t="s">
        <v>30</v>
      </c>
      <c r="C5" s="91"/>
      <c r="D5" s="91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PhotoMode=0;ScanSpeed=2;WlRange=810,800,0.1;Slit1=2.0;</v>
      </c>
      <c r="E5" s="91" t="str">
        <f>IF(W5="","",检测项信息!W5&amp;":"&amp;字段对应!$B$16&amp;"|")&amp;IF(X5="","",X5&amp;":"&amp;IF(V5="是",字段对应!$C$17,字段对应!$B$17&amp;";"&amp;IF(H5="","",字段对应!$B$15&amp;"="&amp;检测项信息!H5))&amp;"|")&amp;IF(Y5="",":",Y5&amp;":")&amp;IF(V5="是",字段对应!$C$18,字段对应!$B$18&amp;";"&amp;IF(H5="","",字段对应!$B$15&amp;"="&amp;检测项信息!H5)&amp;IF(AND(T5="",S5=""),"",";"&amp;字段对应!$B$20&amp;"="&amp;T5&amp;";"&amp;字段对应!$B$19&amp;"="&amp;S5))</f>
        <v>黑挡块:Dark|空气:BaseLine|镨钕滤光片:Scan</v>
      </c>
      <c r="F5" s="91">
        <v>1</v>
      </c>
      <c r="G5" s="91"/>
      <c r="H5" s="91" t="s">
        <v>132</v>
      </c>
      <c r="I5" s="91" t="str">
        <f>VLOOKUP(J5,字段对应!$D$2:$E$8,2,0)</f>
        <v>Validation.ViewModel.DataStructure.FindPeakAndAverageUVTestTool</v>
      </c>
      <c r="J5" s="91" t="s">
        <v>200</v>
      </c>
      <c r="K5" s="108"/>
      <c r="L5" s="108" t="s">
        <v>81</v>
      </c>
      <c r="M5" s="108" t="s">
        <v>91</v>
      </c>
      <c r="N5" s="108">
        <v>810</v>
      </c>
      <c r="O5" s="108">
        <v>800</v>
      </c>
      <c r="P5" s="108">
        <v>0.1</v>
      </c>
      <c r="Q5" s="108"/>
      <c r="R5" s="108" t="s">
        <v>96</v>
      </c>
      <c r="S5" s="108"/>
      <c r="T5" s="108"/>
      <c r="U5" s="108"/>
      <c r="V5" s="91" t="s">
        <v>80</v>
      </c>
      <c r="W5" s="99" t="s">
        <v>202</v>
      </c>
      <c r="X5" s="91" t="s">
        <v>198</v>
      </c>
      <c r="Y5" s="91" t="s">
        <v>30</v>
      </c>
      <c r="Z5" s="91" t="e">
        <f>VLOOKUP(A5,对应信息!$D$2:$E$10,2,0)</f>
        <v>#N/A</v>
      </c>
      <c r="AA5" s="91" t="e">
        <f>IF(Z12=Z5,AA12+1,Z5+1)</f>
        <v>#N/A</v>
      </c>
      <c r="AB5" s="118"/>
    </row>
    <row r="6" ht="44.25" customHeight="1" spans="1:28">
      <c r="A6" s="91" t="s">
        <v>23</v>
      </c>
      <c r="B6" s="92" t="s">
        <v>203</v>
      </c>
      <c r="C6" s="91"/>
      <c r="D6" s="91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PhotoMode=0;ScanSpeed=2;WlRange=245,235,0.1;Slit1=2.0;</v>
      </c>
      <c r="E6" s="91" t="str">
        <f>IF(W6="","",检测项信息!W6&amp;":"&amp;字段对应!$B$16&amp;"|")&amp;IF(X6="","",X6&amp;":"&amp;IF(V6="是",字段对应!$C$17,字段对应!$B$17&amp;";"&amp;IF(H6="","",字段对应!$B$15&amp;"="&amp;检测项信息!H6))&amp;"|")&amp;IF(Y6="",":",Y6&amp;":")&amp;IF(V6="是",字段对应!$C$18,字段对应!$B$18&amp;";"&amp;IF(H6="","",字段对应!$B$15&amp;"="&amp;检测项信息!H6)&amp;IF(AND(T6="",S6=""),"",";"&amp;字段对应!$B$20&amp;"="&amp;T6&amp;";"&amp;字段对应!$B$19&amp;"="&amp;S6))</f>
        <v>黑挡块:Dark|空气:BaseLine|钬溶液:Scan</v>
      </c>
      <c r="F6" s="91">
        <v>1</v>
      </c>
      <c r="G6" s="91"/>
      <c r="H6" s="98">
        <v>241</v>
      </c>
      <c r="I6" s="91" t="str">
        <f>VLOOKUP(J6,字段对应!$D$2:$E$8,2,0)</f>
        <v>Validation.ViewModel.DataStructure.FindPeakAndAverageUVTestTool</v>
      </c>
      <c r="J6" s="91" t="s">
        <v>200</v>
      </c>
      <c r="K6" s="109"/>
      <c r="L6" s="108" t="s">
        <v>81</v>
      </c>
      <c r="M6" s="108" t="s">
        <v>91</v>
      </c>
      <c r="N6" s="108">
        <v>245</v>
      </c>
      <c r="O6" s="108">
        <v>235</v>
      </c>
      <c r="P6" s="108">
        <v>0.1</v>
      </c>
      <c r="Q6" s="108"/>
      <c r="R6" s="108" t="s">
        <v>96</v>
      </c>
      <c r="S6" s="108"/>
      <c r="T6" s="108"/>
      <c r="U6" s="108"/>
      <c r="V6" s="91" t="s">
        <v>80</v>
      </c>
      <c r="W6" s="99" t="s">
        <v>202</v>
      </c>
      <c r="X6" s="91" t="s">
        <v>198</v>
      </c>
      <c r="Y6" s="91" t="s">
        <v>31</v>
      </c>
      <c r="Z6" s="91" t="e">
        <f>VLOOKUP(A6,对应信息!$D$2:$E$10,2,0)</f>
        <v>#N/A</v>
      </c>
      <c r="AA6" s="91" t="e">
        <f>IF(Z5=Z6,AA5+1,Z6+1)</f>
        <v>#N/A</v>
      </c>
      <c r="AB6" s="118"/>
    </row>
    <row r="7" ht="44.25" customHeight="1" spans="1:28">
      <c r="A7" s="91" t="s">
        <v>23</v>
      </c>
      <c r="B7" s="92" t="s">
        <v>204</v>
      </c>
      <c r="C7" s="91"/>
      <c r="D7" s="91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PhotoMode=0;ScanSpeed=2;WlRange=365,355,0.1;Slit1=2.0;</v>
      </c>
      <c r="E7" s="91" t="str">
        <f>IF(W7="","",检测项信息!W7&amp;":"&amp;字段对应!$B$16&amp;"|")&amp;IF(X7="","",X7&amp;":"&amp;IF(V7="是",字段对应!$C$17,字段对应!$B$17&amp;";"&amp;IF(H7="","",字段对应!$B$15&amp;"="&amp;检测项信息!H7))&amp;"|")&amp;IF(Y7="",":",Y7&amp;":")&amp;IF(V7="是",字段对应!$C$18,字段对应!$B$18&amp;";"&amp;IF(H7="","",字段对应!$B$15&amp;"="&amp;检测项信息!H7)&amp;IF(AND(T7="",S7=""),"",";"&amp;字段对应!$B$20&amp;"="&amp;T7&amp;";"&amp;字段对应!$B$19&amp;"="&amp;S7))</f>
        <v>黑挡块:Dark|空气:BaseLine|钬溶液:Scan</v>
      </c>
      <c r="F7" s="91">
        <v>1</v>
      </c>
      <c r="G7" s="91"/>
      <c r="H7" s="98">
        <v>361</v>
      </c>
      <c r="I7" s="91" t="str">
        <f>VLOOKUP(J7,字段对应!$D$2:$E$8,2,0)</f>
        <v>Validation.ViewModel.DataStructure.FindPeakAndAverageUVTestTool</v>
      </c>
      <c r="J7" s="91" t="s">
        <v>200</v>
      </c>
      <c r="K7" s="109"/>
      <c r="L7" s="108" t="s">
        <v>81</v>
      </c>
      <c r="M7" s="108" t="s">
        <v>91</v>
      </c>
      <c r="N7" s="108">
        <v>365</v>
      </c>
      <c r="O7" s="108">
        <v>355</v>
      </c>
      <c r="P7" s="108">
        <v>0.1</v>
      </c>
      <c r="Q7" s="108"/>
      <c r="R7" s="108" t="s">
        <v>96</v>
      </c>
      <c r="S7" s="108"/>
      <c r="T7" s="108"/>
      <c r="U7" s="108"/>
      <c r="V7" s="91" t="s">
        <v>80</v>
      </c>
      <c r="W7" s="99" t="s">
        <v>202</v>
      </c>
      <c r="X7" s="91" t="s">
        <v>198</v>
      </c>
      <c r="Y7" s="91" t="s">
        <v>31</v>
      </c>
      <c r="Z7" s="91" t="e">
        <f>VLOOKUP(A7,对应信息!$D$2:$E$10,2,0)</f>
        <v>#N/A</v>
      </c>
      <c r="AA7" s="91" t="e">
        <f>IF(Z6=Z7,AA6+1,Z7+1)</f>
        <v>#N/A</v>
      </c>
      <c r="AB7" s="118"/>
    </row>
    <row r="8" ht="44.25" customHeight="1" spans="1:28">
      <c r="A8" s="91" t="s">
        <v>23</v>
      </c>
      <c r="B8" s="92" t="s">
        <v>205</v>
      </c>
      <c r="C8" s="91"/>
      <c r="D8" s="91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PhotoMode=0;ScanSpeed=2;WlRange=645,635,0.1;Slit1=2.0;</v>
      </c>
      <c r="E8" s="91" t="str">
        <f>IF(W8="","",检测项信息!W8&amp;":"&amp;字段对应!$B$16&amp;"|")&amp;IF(X8="","",X8&amp;":"&amp;IF(V8="是",字段对应!$C$17,字段对应!$B$17&amp;";"&amp;IF(H8="","",字段对应!$B$15&amp;"="&amp;检测项信息!H8))&amp;"|")&amp;IF(Y8="",":",Y8&amp;":")&amp;IF(V8="是",字段对应!$C$18,字段对应!$B$18&amp;";"&amp;IF(H8="","",字段对应!$B$15&amp;"="&amp;检测项信息!H8)&amp;IF(AND(T8="",S8=""),"",";"&amp;字段对应!$B$20&amp;"="&amp;T8&amp;";"&amp;字段对应!$B$19&amp;"="&amp;S8))</f>
        <v>黑挡块:Dark|空气:BaseLine|钬溶液:Scan</v>
      </c>
      <c r="F8" s="91">
        <v>1</v>
      </c>
      <c r="G8" s="91"/>
      <c r="H8" s="92">
        <v>640.7</v>
      </c>
      <c r="I8" s="91" t="str">
        <f>VLOOKUP(J8,字段对应!$D$2:$E$8,2,0)</f>
        <v>Validation.ViewModel.DataStructure.FindPeakAndAverageUVTestTool</v>
      </c>
      <c r="J8" s="91" t="s">
        <v>200</v>
      </c>
      <c r="K8" s="109"/>
      <c r="L8" s="108" t="s">
        <v>81</v>
      </c>
      <c r="M8" s="108" t="s">
        <v>91</v>
      </c>
      <c r="N8" s="108">
        <v>645</v>
      </c>
      <c r="O8" s="108">
        <v>635</v>
      </c>
      <c r="P8" s="108">
        <v>0.1</v>
      </c>
      <c r="Q8" s="108"/>
      <c r="R8" s="108" t="s">
        <v>96</v>
      </c>
      <c r="S8" s="108"/>
      <c r="T8" s="108"/>
      <c r="U8" s="108"/>
      <c r="V8" s="91" t="s">
        <v>80</v>
      </c>
      <c r="W8" s="99" t="s">
        <v>202</v>
      </c>
      <c r="X8" s="91" t="s">
        <v>198</v>
      </c>
      <c r="Y8" s="91" t="s">
        <v>31</v>
      </c>
      <c r="Z8" s="91" t="e">
        <f>VLOOKUP(A8,对应信息!$D$2:$E$10,2,0)</f>
        <v>#N/A</v>
      </c>
      <c r="AA8" s="91" t="e">
        <f>IF(Z7=Z8,AA7+1,Z8+1)</f>
        <v>#N/A</v>
      </c>
      <c r="AB8" s="118"/>
    </row>
    <row r="9" ht="44.25" customHeight="1" spans="1:28">
      <c r="A9" s="91" t="s">
        <v>23</v>
      </c>
      <c r="B9" s="92" t="s">
        <v>206</v>
      </c>
      <c r="C9" s="96"/>
      <c r="D9" s="91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PhotoMode=2;ScanSpeed=2;WlRange=300,290,0.1;Gain=3;Slit1=2.0;LampPos=2</v>
      </c>
      <c r="E9" s="91" t="str">
        <f>IF(W9="","",检测项信息!W9&amp;":"&amp;字段对应!$B$16&amp;"|")&amp;IF(X9="","",X9&amp;":"&amp;IF(V9="是",字段对应!$C$17,字段对应!$B$17&amp;";"&amp;IF(H9="","",字段对应!$B$15&amp;"="&amp;检测项信息!H9))&amp;"|")&amp;IF(Y9="",":",Y9&amp;":")&amp;IF(V9="是",字段对应!$C$18,字段对应!$B$18&amp;";"&amp;IF(H9="","",字段对应!$B$15&amp;"="&amp;检测项信息!H9)&amp;IF(AND(T9="",S9=""),"",";"&amp;字段对应!$B$20&amp;"="&amp;T9&amp;";"&amp;字段对应!$B$19&amp;"="&amp;S9))</f>
        <v>空气:Scan</v>
      </c>
      <c r="F9" s="91">
        <v>1</v>
      </c>
      <c r="G9" s="91"/>
      <c r="H9" s="97">
        <v>296.7</v>
      </c>
      <c r="I9" s="91" t="str">
        <f>VLOOKUP(J9,字段对应!$D$2:$E$8,2,0)</f>
        <v>Validation.ViewModel.DataStructure.FindPeakAndAverageUVTestTool</v>
      </c>
      <c r="J9" s="91" t="s">
        <v>200</v>
      </c>
      <c r="K9" s="108" t="s">
        <v>32</v>
      </c>
      <c r="L9" s="108" t="s">
        <v>90</v>
      </c>
      <c r="M9" s="108" t="s">
        <v>91</v>
      </c>
      <c r="N9" s="108">
        <v>300</v>
      </c>
      <c r="O9" s="108">
        <v>290</v>
      </c>
      <c r="P9" s="108">
        <v>0.1</v>
      </c>
      <c r="Q9" s="108">
        <v>3</v>
      </c>
      <c r="R9" s="108" t="s">
        <v>96</v>
      </c>
      <c r="S9" s="108"/>
      <c r="T9" s="108"/>
      <c r="U9" s="108"/>
      <c r="V9" s="91" t="s">
        <v>80</v>
      </c>
      <c r="W9" s="91"/>
      <c r="X9" s="91"/>
      <c r="Y9" s="91" t="s">
        <v>198</v>
      </c>
      <c r="Z9" s="91" t="e">
        <f>VLOOKUP(A9,对应信息!$D$2:$E$10,2,0)</f>
        <v>#N/A</v>
      </c>
      <c r="AA9" s="91" t="e">
        <f>IF(#REF!=Z9,#REF!+1,Z9+1)</f>
        <v>#REF!</v>
      </c>
      <c r="AB9" s="118"/>
    </row>
    <row r="10" ht="44.25" customHeight="1" spans="1:28">
      <c r="A10" s="91" t="s">
        <v>23</v>
      </c>
      <c r="B10" s="92" t="s">
        <v>207</v>
      </c>
      <c r="C10" s="96"/>
      <c r="D10" s="91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PhotoMode=2;ScanSpeed=2;WlRange=410,400,0.1;Gain=3;Slit1=2.0;LampPos=2</v>
      </c>
      <c r="E10" s="91" t="str">
        <f>IF(W10="","",检测项信息!W10&amp;":"&amp;字段对应!$B$16&amp;"|")&amp;IF(X10="","",X10&amp;":"&amp;IF(V10="是",字段对应!$C$17,字段对应!$B$17&amp;";"&amp;IF(H10="","",字段对应!$B$15&amp;"="&amp;检测项信息!H10))&amp;"|")&amp;IF(Y10="",":",Y10&amp;":")&amp;IF(V10="是",字段对应!$C$18,字段对应!$B$18&amp;";"&amp;IF(H10="","",字段对应!$B$15&amp;"="&amp;检测项信息!H10)&amp;IF(AND(T10="",S10=""),"",";"&amp;字段对应!$B$20&amp;"="&amp;T10&amp;";"&amp;字段对应!$B$19&amp;"="&amp;S10))</f>
        <v>空气:Scan</v>
      </c>
      <c r="F10" s="91">
        <v>1</v>
      </c>
      <c r="G10" s="91"/>
      <c r="H10" s="97">
        <v>404.7</v>
      </c>
      <c r="I10" s="91" t="str">
        <f>VLOOKUP(J10,字段对应!$D$2:$E$8,2,0)</f>
        <v>Validation.ViewModel.DataStructure.FindPeakAndAverageUVTestTool</v>
      </c>
      <c r="J10" s="91" t="s">
        <v>200</v>
      </c>
      <c r="K10" s="108" t="s">
        <v>32</v>
      </c>
      <c r="L10" s="108" t="s">
        <v>90</v>
      </c>
      <c r="M10" s="108" t="s">
        <v>91</v>
      </c>
      <c r="N10" s="108">
        <v>410</v>
      </c>
      <c r="O10" s="108">
        <v>400</v>
      </c>
      <c r="P10" s="108">
        <v>0.1</v>
      </c>
      <c r="Q10" s="108">
        <v>3</v>
      </c>
      <c r="R10" s="108" t="s">
        <v>96</v>
      </c>
      <c r="S10" s="108"/>
      <c r="T10" s="108"/>
      <c r="U10" s="108"/>
      <c r="V10" s="91" t="s">
        <v>80</v>
      </c>
      <c r="W10" s="91"/>
      <c r="X10" s="91"/>
      <c r="Y10" s="91" t="s">
        <v>198</v>
      </c>
      <c r="Z10" s="91" t="e">
        <f>VLOOKUP(A10,对应信息!$D$2:$E$10,2,0)</f>
        <v>#N/A</v>
      </c>
      <c r="AA10" s="91" t="e">
        <f>IF(#REF!=Z10,#REF!+1,Z10+1)</f>
        <v>#REF!</v>
      </c>
      <c r="AB10" s="118"/>
    </row>
    <row r="11" ht="44.25" customHeight="1" spans="1:28">
      <c r="A11" s="91" t="s">
        <v>23</v>
      </c>
      <c r="B11" s="92" t="s">
        <v>208</v>
      </c>
      <c r="C11" s="96"/>
      <c r="D11" s="91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PhotoMode=2;ScanSpeed=2;WlRange=440,430,0.1;Gain=3;Slit1=2.0;LampPos=2</v>
      </c>
      <c r="E11" s="91" t="str">
        <f>IF(W11="","",检测项信息!W11&amp;":"&amp;字段对应!$B$16&amp;"|")&amp;IF(X11="","",X11&amp;":"&amp;IF(V11="是",字段对应!$C$17,字段对应!$B$17&amp;";"&amp;IF(H11="","",字段对应!$B$15&amp;"="&amp;检测项信息!H11))&amp;"|")&amp;IF(Y11="",":",Y11&amp;":")&amp;IF(V11="是",字段对应!$C$18,字段对应!$B$18&amp;";"&amp;IF(H11="","",字段对应!$B$15&amp;"="&amp;检测项信息!H11)&amp;IF(AND(T11="",S11=""),"",";"&amp;字段对应!$B$20&amp;"="&amp;T11&amp;";"&amp;字段对应!$B$19&amp;"="&amp;S11))</f>
        <v>空气:Scan</v>
      </c>
      <c r="F11" s="91">
        <v>1</v>
      </c>
      <c r="G11" s="91"/>
      <c r="H11" s="97">
        <v>435.8</v>
      </c>
      <c r="I11" s="91" t="str">
        <f>VLOOKUP(J11,字段对应!$D$2:$E$8,2,0)</f>
        <v>Validation.ViewModel.DataStructure.FindPeakAndAverageUVTestTool</v>
      </c>
      <c r="J11" s="91" t="s">
        <v>200</v>
      </c>
      <c r="K11" s="108" t="s">
        <v>32</v>
      </c>
      <c r="L11" s="108" t="s">
        <v>90</v>
      </c>
      <c r="M11" s="108" t="s">
        <v>91</v>
      </c>
      <c r="N11" s="108">
        <v>440</v>
      </c>
      <c r="O11" s="108">
        <v>430</v>
      </c>
      <c r="P11" s="108">
        <v>0.1</v>
      </c>
      <c r="Q11" s="108">
        <v>3</v>
      </c>
      <c r="R11" s="108" t="s">
        <v>96</v>
      </c>
      <c r="S11" s="108"/>
      <c r="T11" s="108"/>
      <c r="U11" s="108"/>
      <c r="V11" s="91" t="s">
        <v>80</v>
      </c>
      <c r="W11" s="91"/>
      <c r="X11" s="91"/>
      <c r="Y11" s="91" t="s">
        <v>198</v>
      </c>
      <c r="Z11" s="91" t="e">
        <f>VLOOKUP(A11,对应信息!$D$2:$E$10,2,0)</f>
        <v>#N/A</v>
      </c>
      <c r="AA11" s="91" t="e">
        <f>IF(#REF!=Z11,#REF!+1,Z11+1)</f>
        <v>#REF!</v>
      </c>
      <c r="AB11" s="118"/>
    </row>
    <row r="12" ht="44.25" customHeight="1" spans="1:28">
      <c r="A12" s="91" t="s">
        <v>23</v>
      </c>
      <c r="B12" s="92" t="s">
        <v>209</v>
      </c>
      <c r="C12" s="96"/>
      <c r="D12" s="91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PhotoMode=2;ScanSpeed=2;WlRange=550,540,0.1;Gain=3;Slit1=2.0;LampPos=2</v>
      </c>
      <c r="E12" s="91" t="str">
        <f>IF(W12="","",检测项信息!W12&amp;":"&amp;字段对应!$B$16&amp;"|")&amp;IF(X12="","",X12&amp;":"&amp;IF(V12="是",字段对应!$C$17,字段对应!$B$17&amp;";"&amp;IF(H12="","",字段对应!$B$15&amp;"="&amp;检测项信息!H12))&amp;"|")&amp;IF(Y12="",":",Y12&amp;":")&amp;IF(V12="是",字段对应!$C$18,字段对应!$B$18&amp;";"&amp;IF(H12="","",字段对应!$B$15&amp;"="&amp;检测项信息!H12)&amp;IF(AND(T12="",S12=""),"",";"&amp;字段对应!$B$20&amp;"="&amp;T12&amp;";"&amp;字段对应!$B$19&amp;"="&amp;S12))</f>
        <v>空气:Scan</v>
      </c>
      <c r="F12" s="91">
        <v>1</v>
      </c>
      <c r="G12" s="91"/>
      <c r="H12" s="97">
        <v>546.1</v>
      </c>
      <c r="I12" s="91" t="str">
        <f>VLOOKUP(J12,字段对应!$D$2:$E$8,2,0)</f>
        <v>Validation.ViewModel.DataStructure.FindPeakAndAverageUVTestTool</v>
      </c>
      <c r="J12" s="91" t="s">
        <v>200</v>
      </c>
      <c r="K12" s="108" t="s">
        <v>32</v>
      </c>
      <c r="L12" s="108" t="s">
        <v>90</v>
      </c>
      <c r="M12" s="108" t="s">
        <v>91</v>
      </c>
      <c r="N12" s="108">
        <v>550</v>
      </c>
      <c r="O12" s="108">
        <v>540</v>
      </c>
      <c r="P12" s="108">
        <v>0.1</v>
      </c>
      <c r="Q12" s="108">
        <v>3</v>
      </c>
      <c r="R12" s="108" t="s">
        <v>96</v>
      </c>
      <c r="S12" s="108"/>
      <c r="T12" s="108"/>
      <c r="U12" s="108"/>
      <c r="V12" s="91" t="s">
        <v>80</v>
      </c>
      <c r="W12" s="91"/>
      <c r="X12" s="91"/>
      <c r="Y12" s="91" t="s">
        <v>198</v>
      </c>
      <c r="Z12" s="91" t="e">
        <f>VLOOKUP(A12,对应信息!$D$2:$E$10,2,0)</f>
        <v>#N/A</v>
      </c>
      <c r="AA12" s="91" t="e">
        <f>IF(Z1=Z12,AA1+1,Z12+1)</f>
        <v>#N/A</v>
      </c>
      <c r="AB12" s="118"/>
    </row>
    <row r="13" ht="27" spans="1:28">
      <c r="A13" s="91" t="s">
        <v>33</v>
      </c>
      <c r="B13" s="26" t="s">
        <v>199</v>
      </c>
      <c r="C13" s="91"/>
      <c r="D13" s="91" t="str">
        <f>IF(L13="","",字段对应!$B$10&amp;"="&amp;VLOOKUP(L13,基础信息!$I$2:$J$6,2,0)&amp;";")&amp;IF(M13="","",字段对应!$B$11&amp;"="&amp;VLOOKUP(M13,基础信息!$K$2:$L$6,2,0)&amp;";")&amp;IF(N13="","",字段对应!$C$2&amp;"="&amp;N13&amp;","&amp;O13&amp;","&amp;P13&amp;";")&amp;IF(Q13="","",字段对应!$B$13&amp;"="&amp;Q13&amp;";")&amp;IF(R13="","",字段对应!$B$14&amp;"="&amp;R13&amp;";")&amp;IF(U13="","",字段对应!$B$22&amp;"="&amp;U13&amp;";")&amp;IF(K13="","",字段对应!$B$21&amp;"="&amp;VLOOKUP(K13,基础信息!$F$2:$G$4,2,0))</f>
        <v>PhotoMode=2;ScanSpeed=2;WlRange=490,480,0.1;Gain=4;Slit1=2.0;</v>
      </c>
      <c r="E13" s="91" t="str">
        <f>IF(W13="","",检测项信息!W13&amp;":"&amp;字段对应!$B$16&amp;"|")&amp;IF(X13="","",X13&amp;":"&amp;IF(V13="是",字段对应!$C$17,字段对应!$B$17&amp;";"&amp;IF(H13="","",字段对应!$B$15&amp;"="&amp;检测项信息!H13))&amp;"|")&amp;IF(Y13="",":",Y13&amp;":")&amp;IF(V13="是",字段对应!$C$18,字段对应!$B$18&amp;";"&amp;IF(H13="","",字段对应!$B$15&amp;"="&amp;检测项信息!H13)&amp;IF(AND(T13="",S13=""),"",";"&amp;字段对应!$B$20&amp;"="&amp;T13&amp;";"&amp;字段对应!$B$19&amp;"="&amp;S13))</f>
        <v>空气:Scan</v>
      </c>
      <c r="F13" s="91">
        <v>1</v>
      </c>
      <c r="G13" s="91"/>
      <c r="H13" s="91">
        <v>486</v>
      </c>
      <c r="I13" s="91" t="str">
        <f>VLOOKUP(J13,字段对应!$D$2:$E$8,2,0)</f>
        <v>Validation.ViewModel.DataStructure.FindPeakAndAverageUVTestTool</v>
      </c>
      <c r="J13" s="91" t="s">
        <v>200</v>
      </c>
      <c r="K13" s="108"/>
      <c r="L13" s="108" t="s">
        <v>90</v>
      </c>
      <c r="M13" s="108" t="s">
        <v>91</v>
      </c>
      <c r="N13" s="108">
        <v>490</v>
      </c>
      <c r="O13" s="108">
        <v>480</v>
      </c>
      <c r="P13" s="108">
        <v>0.1</v>
      </c>
      <c r="Q13" s="108">
        <v>4</v>
      </c>
      <c r="R13" s="108" t="s">
        <v>96</v>
      </c>
      <c r="S13" s="108"/>
      <c r="T13" s="108"/>
      <c r="U13" s="108"/>
      <c r="V13" s="91" t="s">
        <v>80</v>
      </c>
      <c r="W13" s="91"/>
      <c r="X13" s="91"/>
      <c r="Y13" s="91" t="s">
        <v>198</v>
      </c>
      <c r="Z13" s="91" t="e">
        <f>VLOOKUP(A13,对应信息!$D$2:$E$10,2,0)</f>
        <v>#N/A</v>
      </c>
      <c r="AA13" s="91" t="e">
        <f>IF(Z8=Z13,AA8+1,Z13+1)</f>
        <v>#N/A</v>
      </c>
      <c r="AB13" s="118"/>
    </row>
    <row r="14" ht="37.5" customHeight="1" spans="1:28">
      <c r="A14" s="91" t="s">
        <v>33</v>
      </c>
      <c r="B14" s="26" t="s">
        <v>201</v>
      </c>
      <c r="C14" s="91"/>
      <c r="D14" s="91" t="str">
        <f>IF(L14="","",字段对应!$B$10&amp;"="&amp;VLOOKUP(L14,基础信息!$I$2:$J$6,2,0)&amp;";")&amp;IF(M14="","",字段对应!$B$11&amp;"="&amp;VLOOKUP(M14,基础信息!$K$2:$L$6,2,0)&amp;";")&amp;IF(N14="","",字段对应!$C$2&amp;"="&amp;N14&amp;","&amp;O14&amp;","&amp;P14&amp;";")&amp;IF(Q14="","",字段对应!$B$13&amp;"="&amp;Q14&amp;";")&amp;IF(R14="","",字段对应!$B$14&amp;"="&amp;R14&amp;";")&amp;IF(U14="","",字段对应!$B$22&amp;"="&amp;U14&amp;";")&amp;IF(K14="","",字段对应!$B$21&amp;"="&amp;VLOOKUP(K14,基础信息!$F$2:$G$4,2,0))</f>
        <v>PhotoMode=2;ScanSpeed=2;WlRange=660,650,0.1;Gain=4;Slit1=2.0;</v>
      </c>
      <c r="E14" s="91" t="str">
        <f>IF(W14="","",检测项信息!W14&amp;":"&amp;字段对应!$B$16&amp;"|")&amp;IF(X14="","",X14&amp;":"&amp;IF(V14="是",字段对应!$C$17,字段对应!$B$17&amp;";"&amp;IF(H14="","",字段对应!$B$15&amp;"="&amp;检测项信息!H14))&amp;"|")&amp;IF(Y14="",":",Y14&amp;":")&amp;IF(V14="是",字段对应!$C$18,字段对应!$B$18&amp;";"&amp;IF(H14="","",字段对应!$B$15&amp;"="&amp;检测项信息!H14)&amp;IF(AND(T14="",S14=""),"",";"&amp;字段对应!$B$20&amp;"="&amp;T14&amp;";"&amp;字段对应!$B$19&amp;"="&amp;S14))</f>
        <v>空气:Scan</v>
      </c>
      <c r="F14" s="91">
        <v>1</v>
      </c>
      <c r="G14" s="91"/>
      <c r="H14" s="91">
        <v>656.1</v>
      </c>
      <c r="I14" s="91" t="str">
        <f>VLOOKUP(J14,字段对应!$D$2:$E$8,2,0)</f>
        <v>Validation.ViewModel.DataStructure.FindPeakAndAverageUVTestTool</v>
      </c>
      <c r="J14" s="91" t="s">
        <v>200</v>
      </c>
      <c r="K14" s="108"/>
      <c r="L14" s="108" t="s">
        <v>90</v>
      </c>
      <c r="M14" s="108" t="s">
        <v>91</v>
      </c>
      <c r="N14" s="108">
        <v>660</v>
      </c>
      <c r="O14" s="108">
        <v>650</v>
      </c>
      <c r="P14" s="108">
        <v>0.1</v>
      </c>
      <c r="Q14" s="108">
        <v>4</v>
      </c>
      <c r="R14" s="108" t="s">
        <v>96</v>
      </c>
      <c r="S14" s="108"/>
      <c r="T14" s="108"/>
      <c r="U14" s="108"/>
      <c r="V14" s="91" t="s">
        <v>80</v>
      </c>
      <c r="W14" s="91"/>
      <c r="X14" s="91"/>
      <c r="Y14" s="91" t="s">
        <v>198</v>
      </c>
      <c r="Z14" s="91" t="e">
        <f>VLOOKUP(A14,对应信息!$D$2:$E$10,2,0)</f>
        <v>#N/A</v>
      </c>
      <c r="AA14" s="91" t="e">
        <f>IF(Z13=Z14,AA13+1,Z14+1)</f>
        <v>#N/A</v>
      </c>
      <c r="AB14" s="118"/>
    </row>
    <row r="15" ht="51" customHeight="1" spans="1:28">
      <c r="A15" s="99" t="s">
        <v>33</v>
      </c>
      <c r="B15" s="55" t="s">
        <v>40</v>
      </c>
      <c r="C15" s="99"/>
      <c r="D15" s="99" t="str">
        <f>IF(L15="","",字段对应!$B$10&amp;"="&amp;VLOOKUP(L15,基础信息!$I$2:$J$6,2,0)&amp;";")&amp;IF(M15="","",字段对应!$B$11&amp;"="&amp;VLOOKUP(M15,基础信息!$K$2:$L$6,2,0)&amp;";")&amp;IF(N15="","",字段对应!$C$2&amp;"="&amp;N15&amp;","&amp;O15&amp;","&amp;P15&amp;";")&amp;IF(Q15="","",字段对应!$B$13&amp;"="&amp;Q15&amp;";")&amp;IF(R15="","",字段对应!$B$14&amp;"="&amp;R15&amp;";")&amp;IF(U15="","",字段对应!$B$22&amp;"="&amp;U15&amp;";")&amp;IF(K15="","",字段对应!$B$21&amp;"="&amp;VLOOKUP(K15,基础信息!$F$2:$G$4,2,0))</f>
        <v>PhotoMode=2;ScanSpeed=2;WlRange=1100,300,1;Gain=2;Slit1=2.0;ResponseTime=1;LampPos=0</v>
      </c>
      <c r="E15" s="99" t="str">
        <f>IF(W15="","",检测项信息!W15&amp;":"&amp;字段对应!$B$16&amp;"|")&amp;IF(X15="","",X15&amp;":"&amp;IF(V15="是",字段对应!$C$17,字段对应!$B$17&amp;";"&amp;IF(H15="","",字段对应!$B$15&amp;"="&amp;检测项信息!H15))&amp;"|")&amp;IF(Y15="",":",Y15&amp;":")&amp;IF(V15="是",字段对应!$C$18,字段对应!$B$18&amp;";"&amp;IF(H15="","",字段对应!$B$15&amp;"="&amp;检测项信息!H15)&amp;IF(AND(T15="",S15=""),"",";"&amp;字段对应!$B$20&amp;"="&amp;T15&amp;";"&amp;字段对应!$B$19&amp;"="&amp;S15))</f>
        <v>空气:Scan</v>
      </c>
      <c r="F15" s="99">
        <v>1</v>
      </c>
      <c r="G15" s="99"/>
      <c r="H15" s="99">
        <v>500</v>
      </c>
      <c r="I15" s="99" t="str">
        <f>VLOOKUP(J15,字段对应!$D$2:$E$8,2,0)</f>
        <v>Validation.ViewModel.DataStructure.FindPeakAndAverageUVTestTool</v>
      </c>
      <c r="J15" s="99" t="s">
        <v>200</v>
      </c>
      <c r="K15" s="110" t="s">
        <v>40</v>
      </c>
      <c r="L15" s="110" t="s">
        <v>90</v>
      </c>
      <c r="M15" s="110" t="s">
        <v>91</v>
      </c>
      <c r="N15" s="110">
        <v>1100</v>
      </c>
      <c r="O15" s="110">
        <v>300</v>
      </c>
      <c r="P15" s="110">
        <v>1</v>
      </c>
      <c r="Q15" s="110">
        <v>2</v>
      </c>
      <c r="R15" s="110" t="s">
        <v>96</v>
      </c>
      <c r="S15" s="110">
        <v>1</v>
      </c>
      <c r="T15" s="110">
        <v>120</v>
      </c>
      <c r="U15" s="110">
        <v>1</v>
      </c>
      <c r="V15" s="99" t="s">
        <v>80</v>
      </c>
      <c r="W15" s="99"/>
      <c r="X15" s="99"/>
      <c r="Y15" s="99" t="s">
        <v>198</v>
      </c>
      <c r="Z15" s="91" t="e">
        <f>VLOOKUP(A15,对应信息!$D$2:$E$10,2,0)</f>
        <v>#N/A</v>
      </c>
      <c r="AA15" s="91" t="e">
        <f>IF(Z14=Z15,AA14+1,Z15+1)</f>
        <v>#N/A</v>
      </c>
      <c r="AB15" s="119"/>
    </row>
    <row r="16" customFormat="1" ht="51" customHeight="1" spans="1:33">
      <c r="A16" s="99" t="s">
        <v>33</v>
      </c>
      <c r="B16" s="55" t="s">
        <v>29</v>
      </c>
      <c r="C16" s="99"/>
      <c r="D16" s="99" t="str">
        <f>IF(L16="","",字段对应!$B$10&amp;"="&amp;VLOOKUP(L16,基础信息!$I$2:$J$6,2,0)&amp;";")&amp;IF(M16="","",字段对应!$B$11&amp;"="&amp;VLOOKUP(M16,基础信息!$K$2:$L$6,2,0)&amp;";")&amp;IF(N16="","",字段对应!$C$2&amp;"="&amp;N16&amp;","&amp;O16&amp;","&amp;P16&amp;";")&amp;IF(Q16="","",字段对应!$B$13&amp;"="&amp;Q16&amp;";")&amp;IF(R16="","",字段对应!$B$14&amp;"="&amp;R16&amp;";")&amp;IF(U16="","",字段对应!$B$22&amp;"="&amp;U16&amp;";")&amp;IF(K16="","",字段对应!$B$21&amp;"="&amp;VLOOKUP(K16,基础信息!$F$2:$G$4,2,0))</f>
        <v>PhotoMode=2;ScanSpeed=2;WlRange=700,190,1;Gain=4;Slit1=2.0;ResponseTime=1;LampPos=1</v>
      </c>
      <c r="E16" s="99" t="str">
        <f>IF(W16="","",检测项信息!W16&amp;":"&amp;字段对应!$B$16&amp;"|")&amp;IF(X16="","",X16&amp;":"&amp;IF(V16="是",字段对应!$C$17,字段对应!$B$17&amp;";"&amp;IF(H16="","",字段对应!$B$15&amp;"="&amp;检测项信息!H16))&amp;"|")&amp;IF(Y16="",":",Y16&amp;":")&amp;IF(V16="是",字段对应!$C$18,字段对应!$B$18&amp;";"&amp;IF(H16="","",字段对应!$B$15&amp;"="&amp;检测项信息!H16)&amp;IF(AND(T16="",S16=""),"",";"&amp;字段对应!$B$20&amp;"="&amp;T16&amp;";"&amp;字段对应!$B$19&amp;"="&amp;S16))</f>
        <v>空气:Scan</v>
      </c>
      <c r="F16" s="99">
        <v>1</v>
      </c>
      <c r="G16" s="99"/>
      <c r="H16" s="99">
        <v>500</v>
      </c>
      <c r="I16" s="99" t="str">
        <f>VLOOKUP(J16,字段对应!$D$2:$E$8,2,0)</f>
        <v>Validation.ViewModel.DataStructure.FindPeakAndAverageUVTestTool</v>
      </c>
      <c r="J16" s="99" t="s">
        <v>200</v>
      </c>
      <c r="K16" s="110" t="s">
        <v>29</v>
      </c>
      <c r="L16" s="110" t="s">
        <v>90</v>
      </c>
      <c r="M16" s="110" t="s">
        <v>91</v>
      </c>
      <c r="N16" s="110">
        <v>700</v>
      </c>
      <c r="O16" s="110">
        <v>190</v>
      </c>
      <c r="P16" s="110">
        <v>1</v>
      </c>
      <c r="Q16" s="110">
        <v>4</v>
      </c>
      <c r="R16" s="110" t="s">
        <v>96</v>
      </c>
      <c r="S16" s="110">
        <v>1</v>
      </c>
      <c r="T16" s="110">
        <v>120</v>
      </c>
      <c r="U16" s="110">
        <v>1</v>
      </c>
      <c r="V16" s="99" t="s">
        <v>80</v>
      </c>
      <c r="W16" s="99"/>
      <c r="X16" s="99"/>
      <c r="Y16" s="99" t="s">
        <v>198</v>
      </c>
      <c r="Z16" s="91" t="e">
        <f>VLOOKUP(A16,对应信息!$D$2:$E$10,2,0)</f>
        <v>#N/A</v>
      </c>
      <c r="AA16" s="91" t="e">
        <f>IF(Z15=Z16,AA15+1,Z16+1)</f>
        <v>#N/A</v>
      </c>
      <c r="AB16" s="119"/>
      <c r="AC16" s="86"/>
      <c r="AD16" s="86"/>
      <c r="AE16" s="86"/>
      <c r="AF16" s="86"/>
      <c r="AG16" s="86"/>
    </row>
    <row r="17" customFormat="1" ht="51" customHeight="1" spans="1:33">
      <c r="A17" s="99" t="s">
        <v>42</v>
      </c>
      <c r="B17" s="26" t="s">
        <v>201</v>
      </c>
      <c r="C17" s="99"/>
      <c r="D17" s="99" t="str">
        <f>IF(L17="","",字段对应!$B$10&amp;"="&amp;VLOOKUP(L17,基础信息!$I$2:$J$6,2,0)&amp;";")&amp;IF(M17="","",字段对应!$B$11&amp;"="&amp;VLOOKUP(M17,基础信息!$K$2:$L$6,2,0)&amp;";")&amp;IF(N17="","",字段对应!$C$2&amp;"="&amp;N17&amp;","&amp;O17&amp;","&amp;P17&amp;";")&amp;IF(Q17="","",字段对应!$B$13&amp;"="&amp;Q17&amp;";")&amp;IF(R17="","",字段对应!$B$14&amp;"="&amp;R17&amp;";")&amp;IF(U17="","",字段对应!$B$22&amp;"="&amp;U17&amp;";")&amp;IF(K17="","",字段对应!$B$21&amp;"="&amp;VLOOKUP(K17,基础信息!$F$2:$G$4,2,0))</f>
        <v>PhotoMode=2;ScanSpeed=2;WlRange=660,650,0.02;Gain=4;Slit1=2.0;LampPos=1</v>
      </c>
      <c r="E17" s="99" t="str">
        <f>IF(W17="","",检测项信息!W17&amp;":"&amp;字段对应!$B$16&amp;"|")&amp;IF(X17="","",X17&amp;":"&amp;IF(V17="是",字段对应!$C$17,字段对应!$B$17&amp;";"&amp;IF(H17="","",字段对应!$B$15&amp;"="&amp;检测项信息!H17))&amp;"|")&amp;IF(Y17="",":",Y17&amp;":")&amp;IF(V17="是",字段对应!$C$18,字段对应!$B$18&amp;";"&amp;IF(H17="","",字段对应!$B$15&amp;"="&amp;检测项信息!H17)&amp;IF(AND(T17="",S17=""),"",";"&amp;字段对应!$B$20&amp;"="&amp;T17&amp;";"&amp;字段对应!$B$19&amp;"="&amp;S17))</f>
        <v>空气:Scan</v>
      </c>
      <c r="F17" s="99">
        <v>1</v>
      </c>
      <c r="G17" s="99"/>
      <c r="H17" s="91">
        <v>656.1</v>
      </c>
      <c r="I17" s="99" t="str">
        <f>VLOOKUP(J17,字段对应!$D$2:$E$8,2,0)</f>
        <v>Validation.ViewModel.DataStructure.FindPeakAndAverageUVTestTool</v>
      </c>
      <c r="J17" s="99" t="s">
        <v>200</v>
      </c>
      <c r="K17" s="110" t="s">
        <v>29</v>
      </c>
      <c r="L17" s="110" t="s">
        <v>90</v>
      </c>
      <c r="M17" s="110" t="s">
        <v>91</v>
      </c>
      <c r="N17" s="110">
        <v>660</v>
      </c>
      <c r="O17" s="110">
        <v>650</v>
      </c>
      <c r="P17" s="110">
        <v>0.02</v>
      </c>
      <c r="Q17" s="110">
        <v>4</v>
      </c>
      <c r="R17" s="110" t="s">
        <v>96</v>
      </c>
      <c r="S17" s="110"/>
      <c r="T17" s="110"/>
      <c r="U17" s="110"/>
      <c r="V17" s="99" t="s">
        <v>80</v>
      </c>
      <c r="W17" s="99"/>
      <c r="X17" s="99"/>
      <c r="Y17" s="99" t="s">
        <v>198</v>
      </c>
      <c r="Z17" s="91" t="e">
        <f>VLOOKUP(A17,对应信息!$D$2:$E$10,2,0)</f>
        <v>#N/A</v>
      </c>
      <c r="AA17" s="91" t="e">
        <f>IF(Z15=Z17,AA15+1,Z17+1)</f>
        <v>#N/A</v>
      </c>
      <c r="AB17" s="119"/>
      <c r="AC17" s="86"/>
      <c r="AD17" s="86"/>
      <c r="AE17" s="86"/>
      <c r="AF17" s="86"/>
      <c r="AG17" s="86"/>
    </row>
    <row r="18" customFormat="1" ht="51" customHeight="1" spans="1:33">
      <c r="A18" s="99" t="s">
        <v>42</v>
      </c>
      <c r="B18" s="26" t="s">
        <v>199</v>
      </c>
      <c r="C18" s="99"/>
      <c r="D18" s="99" t="str">
        <f>IF(L18="","",字段对应!$B$10&amp;"="&amp;VLOOKUP(L18,基础信息!$I$2:$J$6,2,0)&amp;";")&amp;IF(M18="","",字段对应!$B$11&amp;"="&amp;VLOOKUP(M18,基础信息!$K$2:$L$6,2,0)&amp;";")&amp;IF(N18="","",字段对应!$C$2&amp;"="&amp;N18&amp;","&amp;O18&amp;","&amp;P18&amp;";")&amp;IF(Q18="","",字段对应!$B$13&amp;"="&amp;Q18&amp;";")&amp;IF(R18="","",字段对应!$B$14&amp;"="&amp;R18&amp;";")&amp;IF(U18="","",字段对应!$B$22&amp;"="&amp;U18&amp;";")&amp;IF(K18="","",字段对应!$B$21&amp;"="&amp;VLOOKUP(K18,基础信息!$F$2:$G$4,2,0))</f>
        <v>PhotoMode=2;ScanSpeed=2;WlRange=490,480,0.02;Gain=4;Slit1=2.0;LampPos=1</v>
      </c>
      <c r="E18" s="99" t="str">
        <f>IF(W18="","",检测项信息!W18&amp;":"&amp;字段对应!$B$16&amp;"|")&amp;IF(X18="","",X18&amp;":"&amp;IF(V18="是",字段对应!$C$17,字段对应!$B$17&amp;";"&amp;IF(H18="","",字段对应!$B$15&amp;"="&amp;检测项信息!H18))&amp;"|")&amp;IF(Y18="",":",Y18&amp;":")&amp;IF(V18="是",字段对应!$C$18,字段对应!$B$18&amp;";"&amp;IF(H18="","",字段对应!$B$15&amp;"="&amp;检测项信息!H18)&amp;IF(AND(T18="",S18=""),"",";"&amp;字段对应!$B$20&amp;"="&amp;T18&amp;";"&amp;字段对应!$B$19&amp;"="&amp;S18))</f>
        <v>空气:Scan</v>
      </c>
      <c r="F18" s="99">
        <v>1</v>
      </c>
      <c r="G18" s="99"/>
      <c r="H18" s="91">
        <v>486</v>
      </c>
      <c r="I18" s="99" t="str">
        <f>VLOOKUP(J18,字段对应!$D$2:$E$8,2,0)</f>
        <v>Validation.ViewModel.DataStructure.FindPeakAndAverageUVTestTool</v>
      </c>
      <c r="J18" s="99" t="s">
        <v>200</v>
      </c>
      <c r="K18" s="110" t="s">
        <v>29</v>
      </c>
      <c r="L18" s="110" t="s">
        <v>90</v>
      </c>
      <c r="M18" s="110" t="s">
        <v>91</v>
      </c>
      <c r="N18" s="110">
        <v>490</v>
      </c>
      <c r="O18" s="110">
        <v>480</v>
      </c>
      <c r="P18" s="110">
        <v>0.02</v>
      </c>
      <c r="Q18" s="110">
        <v>4</v>
      </c>
      <c r="R18" s="110" t="s">
        <v>96</v>
      </c>
      <c r="S18" s="110"/>
      <c r="T18" s="110"/>
      <c r="U18" s="110"/>
      <c r="V18" s="99" t="s">
        <v>80</v>
      </c>
      <c r="W18" s="99"/>
      <c r="X18" s="99"/>
      <c r="Y18" s="99" t="s">
        <v>198</v>
      </c>
      <c r="Z18" s="91" t="e">
        <f>VLOOKUP(A18,对应信息!$D$2:$E$10,2,0)</f>
        <v>#N/A</v>
      </c>
      <c r="AA18" s="91" t="e">
        <f t="shared" ref="AA18:AA23" si="0">IF(Z17=Z18,AA17+1,Z18+1)</f>
        <v>#N/A</v>
      </c>
      <c r="AB18" s="119"/>
      <c r="AC18" s="86"/>
      <c r="AD18" s="86"/>
      <c r="AE18" s="86"/>
      <c r="AF18" s="86"/>
      <c r="AG18" s="86"/>
    </row>
    <row r="19" customFormat="1" ht="51" customHeight="1" spans="1:33">
      <c r="A19" s="99" t="s">
        <v>42</v>
      </c>
      <c r="B19" s="26" t="s">
        <v>30</v>
      </c>
      <c r="C19" s="99"/>
      <c r="D19" s="99" t="str">
        <f>IF(L19="","",字段对应!$B$10&amp;"="&amp;VLOOKUP(L19,基础信息!$I$2:$J$6,2,0)&amp;";")&amp;IF(M19="","",字段对应!$B$11&amp;"="&amp;VLOOKUP(M19,基础信息!$K$2:$L$6,2,0)&amp;";")&amp;IF(N19="","",字段对应!$C$2&amp;"="&amp;N19&amp;","&amp;O19&amp;","&amp;P19&amp;";")&amp;IF(Q19="","",字段对应!$B$13&amp;"="&amp;Q19&amp;";")&amp;IF(R19="","",字段对应!$B$14&amp;"="&amp;R19&amp;";")&amp;IF(U19="","",字段对应!$B$22&amp;"="&amp;U19&amp;";")&amp;IF(K19="","",字段对应!$B$21&amp;"="&amp;VLOOKUP(K19,基础信息!$F$2:$G$4,2,0))</f>
        <v>PhotoMode=0;ScanSpeed=2;WlRange=810,800,0.1;Slit1=2.0;</v>
      </c>
      <c r="E19" s="99" t="str">
        <f>IF(W19="","",检测项信息!W19&amp;":"&amp;字段对应!$B$16&amp;"|")&amp;IF(X19="","",X19&amp;":"&amp;IF(V19="是",字段对应!$C$17,字段对应!$B$17&amp;";"&amp;IF(H19="","",字段对应!$B$15&amp;"="&amp;检测项信息!H19))&amp;"|")&amp;IF(Y19="",":",Y19&amp;":")&amp;IF(V19="是",字段对应!$C$18,字段对应!$B$18&amp;";"&amp;IF(H19="","",字段对应!$B$15&amp;"="&amp;检测项信息!H19)&amp;IF(AND(T19="",S19=""),"",";"&amp;字段对应!$B$20&amp;"="&amp;T19&amp;";"&amp;字段对应!$B$19&amp;"="&amp;S19))</f>
        <v>黑挡块:Dark|空气:BaseLine|镨钕滤光片:Scan</v>
      </c>
      <c r="F19" s="99">
        <v>1</v>
      </c>
      <c r="G19" s="99"/>
      <c r="H19" s="100" t="s">
        <v>132</v>
      </c>
      <c r="I19" s="99" t="str">
        <f>VLOOKUP(J19,字段对应!$D$2:$E$8,2,0)</f>
        <v>Validation.ViewModel.DataStructure.FindPeakAndAverageUVTestTool</v>
      </c>
      <c r="J19" s="99" t="s">
        <v>200</v>
      </c>
      <c r="K19" s="110"/>
      <c r="L19" s="110" t="s">
        <v>81</v>
      </c>
      <c r="M19" s="110" t="s">
        <v>91</v>
      </c>
      <c r="N19" s="110">
        <v>810</v>
      </c>
      <c r="O19" s="110">
        <v>800</v>
      </c>
      <c r="P19" s="110">
        <v>0.1</v>
      </c>
      <c r="Q19" s="110"/>
      <c r="R19" s="110" t="s">
        <v>96</v>
      </c>
      <c r="S19" s="110"/>
      <c r="T19" s="110"/>
      <c r="U19" s="110"/>
      <c r="V19" s="99" t="s">
        <v>80</v>
      </c>
      <c r="W19" s="99" t="s">
        <v>202</v>
      </c>
      <c r="X19" s="99" t="s">
        <v>198</v>
      </c>
      <c r="Y19" s="91" t="s">
        <v>30</v>
      </c>
      <c r="Z19" s="91" t="e">
        <f>VLOOKUP(A19,对应信息!$D$2:$E$10,2,0)</f>
        <v>#N/A</v>
      </c>
      <c r="AA19" s="91" t="e">
        <f t="shared" si="0"/>
        <v>#N/A</v>
      </c>
      <c r="AB19" s="119"/>
      <c r="AC19" s="86"/>
      <c r="AD19" s="86"/>
      <c r="AE19" s="86"/>
      <c r="AF19" s="86"/>
      <c r="AG19" s="86"/>
    </row>
    <row r="20" customFormat="1" ht="51" customHeight="1" spans="1:33">
      <c r="A20" s="99" t="s">
        <v>42</v>
      </c>
      <c r="B20" s="55" t="s">
        <v>31</v>
      </c>
      <c r="C20" s="99"/>
      <c r="D20" s="99" t="str">
        <f>IF(L20="","",字段对应!$B$10&amp;"="&amp;VLOOKUP(L20,基础信息!$I$2:$J$6,2,0)&amp;";")&amp;IF(M20="","",字段对应!$B$11&amp;"="&amp;VLOOKUP(M20,基础信息!$K$2:$L$6,2,0)&amp;";")&amp;IF(N20="","",字段对应!$C$2&amp;"="&amp;N20&amp;","&amp;O20&amp;","&amp;P20&amp;";")&amp;IF(Q20="","",字段对应!$B$13&amp;"="&amp;Q20&amp;";")&amp;IF(R20="","",字段对应!$B$14&amp;"="&amp;R20&amp;";")&amp;IF(U20="","",字段对应!$B$22&amp;"="&amp;U20&amp;";")&amp;IF(K20="","",字段对应!$B$21&amp;"="&amp;VLOOKUP(K20,基础信息!$F$2:$G$4,2,0))</f>
        <v>PhotoMode=0;ScanSpeed=3;WlRange=645,235,0.1;Slit1=2.0;</v>
      </c>
      <c r="E20" s="99" t="str">
        <f>IF(W20="","",检测项信息!W20&amp;":"&amp;字段对应!$B$16&amp;"|")&amp;IF(X20="","",X20&amp;":"&amp;IF(V20="是",字段对应!$C$17,字段对应!$B$17&amp;";"&amp;IF(H20="","",字段对应!$B$15&amp;"="&amp;检测项信息!H20))&amp;"|")&amp;IF(Y20="",":",Y20&amp;":")&amp;IF(V20="是",字段对应!$C$18,字段对应!$B$18&amp;";"&amp;IF(H20="","",字段对应!$B$15&amp;"="&amp;检测项信息!H20)&amp;IF(AND(T20="",S20=""),"",";"&amp;字段对应!$B$20&amp;"="&amp;T20&amp;";"&amp;字段对应!$B$19&amp;"="&amp;S20))</f>
        <v>黑挡块:Dark|空气:BaseLine|钬溶液:Scan</v>
      </c>
      <c r="F20" s="99">
        <v>1</v>
      </c>
      <c r="G20" s="99"/>
      <c r="H20" s="99" t="s">
        <v>210</v>
      </c>
      <c r="I20" s="99" t="str">
        <f>VLOOKUP(J20,字段对应!$D$2:$E$8,2,0)</f>
        <v>Validation.ViewModel.DataStructure.FindPeakAndAverageUVTestTool</v>
      </c>
      <c r="J20" s="99" t="s">
        <v>200</v>
      </c>
      <c r="K20" s="110"/>
      <c r="L20" s="110" t="s">
        <v>81</v>
      </c>
      <c r="M20" s="110" t="s">
        <v>95</v>
      </c>
      <c r="N20" s="110">
        <v>645</v>
      </c>
      <c r="O20" s="110">
        <v>235</v>
      </c>
      <c r="P20" s="110">
        <v>0.1</v>
      </c>
      <c r="Q20" s="110"/>
      <c r="R20" s="110" t="s">
        <v>96</v>
      </c>
      <c r="S20" s="110"/>
      <c r="T20" s="110"/>
      <c r="U20" s="110"/>
      <c r="V20" s="99" t="s">
        <v>80</v>
      </c>
      <c r="W20" s="99" t="s">
        <v>202</v>
      </c>
      <c r="X20" s="99" t="s">
        <v>198</v>
      </c>
      <c r="Y20" s="91" t="s">
        <v>31</v>
      </c>
      <c r="Z20" s="91" t="e">
        <f>VLOOKUP(A20,对应信息!$D$2:$E$10,2,0)</f>
        <v>#N/A</v>
      </c>
      <c r="AA20" s="91" t="e">
        <f t="shared" si="0"/>
        <v>#N/A</v>
      </c>
      <c r="AB20" s="119"/>
      <c r="AC20" s="86"/>
      <c r="AD20" s="86"/>
      <c r="AE20" s="86"/>
      <c r="AF20" s="86"/>
      <c r="AG20" s="86"/>
    </row>
    <row r="21" customFormat="1" ht="39.75" customHeight="1" spans="1:33">
      <c r="A21" s="91" t="s">
        <v>148</v>
      </c>
      <c r="B21" s="92" t="s">
        <v>211</v>
      </c>
      <c r="C21" s="91"/>
      <c r="D21" s="91" t="s">
        <v>212</v>
      </c>
      <c r="E21" s="99" t="str">
        <f>IF(W21="","",检测项信息!W21&amp;":"&amp;字段对应!$B$16&amp;"|")&amp;IF(X21="","",X21&amp;":"&amp;IF(V21="是",字段对应!$C$17,字段对应!$B$17&amp;";"&amp;IF(H21="","",字段对应!$B$15&amp;"="&amp;检测项信息!H21))&amp;"|")&amp;IF(Y21="",":",Y21&amp;":")&amp;IF(V21="是",字段对应!$C$18,字段对应!$B$18&amp;";"&amp;IF(H21="","",字段对应!$B$15&amp;"="&amp;检测项信息!H21)&amp;IF(AND(T21="",S21=""),"",";"&amp;字段对应!$B$20&amp;"="&amp;T21&amp;";"&amp;字段对应!$B$19&amp;"="&amp;S21))</f>
        <v>黑挡块:Dark|碘化钠空白溶液:Zero;Wl=220|碘化钠溶液:Measure;Wl=220</v>
      </c>
      <c r="F21" s="91">
        <v>3</v>
      </c>
      <c r="G21" s="91">
        <v>1</v>
      </c>
      <c r="H21" s="91" t="s">
        <v>213</v>
      </c>
      <c r="I21" s="99" t="str">
        <f>VLOOKUP(J21,字段对应!$D$2:$E$8,2,0)</f>
        <v>Validation.ViewModel.DataStructure.WlPointsUVTestTool</v>
      </c>
      <c r="J21" s="91" t="s">
        <v>214</v>
      </c>
      <c r="K21" s="108"/>
      <c r="L21" s="108" t="s">
        <v>86</v>
      </c>
      <c r="M21" s="108" t="s">
        <v>91</v>
      </c>
      <c r="N21" s="108"/>
      <c r="O21" s="108"/>
      <c r="P21" s="108"/>
      <c r="Q21" s="108"/>
      <c r="R21" s="108" t="s">
        <v>96</v>
      </c>
      <c r="S21" s="108"/>
      <c r="T21" s="108"/>
      <c r="U21" s="108"/>
      <c r="V21" s="91" t="s">
        <v>84</v>
      </c>
      <c r="W21" s="91" t="s">
        <v>202</v>
      </c>
      <c r="X21" s="92" t="s">
        <v>215</v>
      </c>
      <c r="Y21" s="91" t="s">
        <v>109</v>
      </c>
      <c r="Z21" s="91">
        <f>VLOOKUP(A21,对应信息!$D$2:$E$10,2,0)</f>
        <v>3000</v>
      </c>
      <c r="AA21" s="91" t="e">
        <f t="shared" si="0"/>
        <v>#N/A</v>
      </c>
      <c r="AB21" s="118"/>
      <c r="AC21" s="86"/>
      <c r="AD21" s="86"/>
      <c r="AE21" s="86"/>
      <c r="AF21" s="86"/>
      <c r="AG21" s="86"/>
    </row>
    <row r="22" customFormat="1" ht="27" spans="1:33">
      <c r="A22" s="91" t="s">
        <v>148</v>
      </c>
      <c r="B22" s="92" t="s">
        <v>216</v>
      </c>
      <c r="C22" s="91"/>
      <c r="D22" s="91" t="s">
        <v>212</v>
      </c>
      <c r="E22" s="99" t="str">
        <f>IF(W22="","",检测项信息!W22&amp;":"&amp;字段对应!$B$16&amp;"|")&amp;IF(X22="","",X22&amp;":"&amp;IF(V22="是",字段对应!$C$17,字段对应!$B$17&amp;";"&amp;IF(H22="","",字段对应!$B$15&amp;"="&amp;检测项信息!H22))&amp;"|")&amp;IF(Y22="",":",Y22&amp;":")&amp;IF(V22="是",字段对应!$C$18,字段对应!$B$18&amp;";"&amp;IF(H22="","",字段对应!$B$15&amp;"="&amp;检测项信息!H22)&amp;IF(AND(T22="",S22=""),"",";"&amp;字段对应!$B$20&amp;"="&amp;T22&amp;";"&amp;字段对应!$B$19&amp;"="&amp;S22))</f>
        <v>黑挡块:Dark|亚硝酸钠空白溶液:Zero;Wl=360|亚硝酸钠溶液:Measure;Wl=360</v>
      </c>
      <c r="F22" s="91">
        <v>3</v>
      </c>
      <c r="G22" s="91">
        <v>1</v>
      </c>
      <c r="H22" s="91" t="s">
        <v>217</v>
      </c>
      <c r="I22" s="99" t="str">
        <f>VLOOKUP(J22,字段对应!$D$2:$E$8,2,0)</f>
        <v>Validation.ViewModel.DataStructure.WlPointsUVTestTool</v>
      </c>
      <c r="J22" s="91" t="s">
        <v>214</v>
      </c>
      <c r="K22" s="108"/>
      <c r="L22" s="108" t="s">
        <v>86</v>
      </c>
      <c r="M22" s="108" t="s">
        <v>91</v>
      </c>
      <c r="N22" s="108"/>
      <c r="O22" s="108"/>
      <c r="P22" s="108"/>
      <c r="Q22" s="108"/>
      <c r="R22" s="109" t="s">
        <v>96</v>
      </c>
      <c r="S22" s="108"/>
      <c r="T22" s="108"/>
      <c r="U22" s="108"/>
      <c r="V22" s="91" t="s">
        <v>84</v>
      </c>
      <c r="W22" s="91" t="s">
        <v>202</v>
      </c>
      <c r="X22" s="92" t="s">
        <v>218</v>
      </c>
      <c r="Y22" s="91" t="s">
        <v>110</v>
      </c>
      <c r="Z22" s="91">
        <f>VLOOKUP(A22,对应信息!$D$2:$E$10,2,0)</f>
        <v>3000</v>
      </c>
      <c r="AA22" s="91" t="e">
        <f t="shared" si="0"/>
        <v>#N/A</v>
      </c>
      <c r="AB22" s="118"/>
      <c r="AC22" s="86"/>
      <c r="AD22" s="86"/>
      <c r="AE22" s="86"/>
      <c r="AF22" s="86"/>
      <c r="AG22" s="86"/>
    </row>
    <row r="23" s="86" customFormat="1" ht="27" spans="1:28">
      <c r="A23" s="91" t="s">
        <v>149</v>
      </c>
      <c r="B23" s="92" t="s">
        <v>58</v>
      </c>
      <c r="C23" s="91"/>
      <c r="D23" s="91" t="str">
        <f>IF(L23="","",[1]字段对应!$B$10&amp;"="&amp;VLOOKUP(L23,[1]基础信息!$I$2:$J$6,2,0)&amp;";")&amp;IF(M23="","",[1]字段对应!$B$11&amp;"="&amp;VLOOKUP(M23,[1]基础信息!$K$2:$L$6,2,0)&amp;";")&amp;IF(N23="","",[1]字段对应!$C$2&amp;"="&amp;N23&amp;","&amp;O23&amp;","&amp;P23&amp;";")&amp;IF(Q23="","",[1]字段对应!$B$13&amp;"="&amp;Q23&amp;";")&amp;IF(R23="","",[1]字段对应!$B$14&amp;"="&amp;R23&amp;";")&amp;IF(U23="","",[1]字段对应!$B$22&amp;"="&amp;U23&amp;";")&amp;IF(K23="","",[1]字段对应!$B$21&amp;"="&amp;VLOOKUP(K23,[1]基础信息!$F$2:$G$4,2,0))</f>
        <v>PhotoMode=0;ScanSpeed=2;WlRange=1090,200,1;Slit1=2.0;</v>
      </c>
      <c r="E23" s="91" t="str">
        <f>IF(W23="","",[1]检测项信息!W12&amp;":"&amp;[1]字段对应!$B$16&amp;"|")&amp;IF(X23="","",X23&amp;":"&amp;IF(V23="是",[1]字段对应!$C$17,[1]字段对应!$B$17&amp;";"&amp;IF(H23="","",[1]字段对应!$B$15&amp;"="&amp;[1]检测项信息!H12))&amp;"|")&amp;IF(Y23="",":",Y23&amp;":")&amp;IF(V23="是",[1]字段对应!$C$18,[1]字段对应!$B$18&amp;";"&amp;IF(H23="","",[1]字段对应!$B$15&amp;"="&amp;[1]检测项信息!H12)&amp;IF(AND(T23="",S23=""),"",";"&amp;[1]字段对应!$B$20&amp;"="&amp;T23&amp;";"&amp;[1]字段对应!$B$19&amp;"="&amp;S23))</f>
        <v>黑挡块:Dark|空气:BaseLine|空气:Scan</v>
      </c>
      <c r="F23" s="91">
        <v>1</v>
      </c>
      <c r="G23" s="91"/>
      <c r="H23" s="91"/>
      <c r="I23" s="99" t="str">
        <f>VLOOKUP(J23,字段对应!$D$2:$E$8,2,0)</f>
        <v>Validation.ViewModel.DataStructure.GetMaxDIstanceUVTestTool</v>
      </c>
      <c r="J23" s="91" t="s">
        <v>219</v>
      </c>
      <c r="K23" s="108"/>
      <c r="L23" s="110" t="s">
        <v>81</v>
      </c>
      <c r="M23" s="110" t="s">
        <v>91</v>
      </c>
      <c r="N23" s="108">
        <v>1090</v>
      </c>
      <c r="O23" s="108">
        <v>200</v>
      </c>
      <c r="P23" s="110">
        <v>1</v>
      </c>
      <c r="Q23" s="108"/>
      <c r="R23" s="110" t="s">
        <v>96</v>
      </c>
      <c r="S23" s="108"/>
      <c r="T23" s="108"/>
      <c r="U23" s="108"/>
      <c r="V23" s="91" t="s">
        <v>80</v>
      </c>
      <c r="W23" s="91" t="s">
        <v>202</v>
      </c>
      <c r="X23" s="91" t="s">
        <v>198</v>
      </c>
      <c r="Y23" s="91" t="s">
        <v>198</v>
      </c>
      <c r="Z23" s="91">
        <f>VLOOKUP(A23,对应信息!$D$2:$E$10,2,0)</f>
        <v>4000</v>
      </c>
      <c r="AA23" s="91">
        <f t="shared" si="0"/>
        <v>4001</v>
      </c>
      <c r="AB23" s="118"/>
    </row>
    <row r="24" spans="1:30">
      <c r="A24" s="101"/>
      <c r="B24" s="101"/>
      <c r="C24" s="101"/>
      <c r="D24" s="101"/>
      <c r="E24" s="101"/>
      <c r="F24" s="101"/>
      <c r="G24" s="101"/>
      <c r="H24" s="101"/>
      <c r="I24" s="10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01"/>
      <c r="Y24" s="102"/>
      <c r="Z24" s="101"/>
      <c r="AA24" s="101"/>
      <c r="AB24" s="120"/>
      <c r="AC24" s="104"/>
      <c r="AD24" s="104"/>
    </row>
    <row r="25" spans="1:30">
      <c r="A25" s="101"/>
      <c r="B25" s="101"/>
      <c r="C25" s="101"/>
      <c r="D25" s="101"/>
      <c r="E25" s="101"/>
      <c r="F25" s="101"/>
      <c r="G25" s="101"/>
      <c r="H25" s="101"/>
      <c r="I25" s="10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01"/>
      <c r="Y25" s="101"/>
      <c r="Z25" s="101"/>
      <c r="AA25" s="101"/>
      <c r="AB25" s="120"/>
      <c r="AC25" s="104"/>
      <c r="AD25" s="104"/>
    </row>
    <row r="26" spans="1:30">
      <c r="A26" s="101"/>
      <c r="B26" s="101"/>
      <c r="C26" s="101"/>
      <c r="D26" s="101"/>
      <c r="E26" s="101"/>
      <c r="F26" s="101"/>
      <c r="G26" s="101"/>
      <c r="H26" s="101"/>
      <c r="I26" s="10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01"/>
      <c r="Y26" s="102"/>
      <c r="Z26" s="101"/>
      <c r="AA26" s="101"/>
      <c r="AB26" s="120"/>
      <c r="AC26" s="104"/>
      <c r="AD26" s="104"/>
    </row>
    <row r="27" spans="1:30">
      <c r="A27" s="101"/>
      <c r="B27" s="101"/>
      <c r="C27" s="101"/>
      <c r="D27" s="101"/>
      <c r="E27" s="101"/>
      <c r="F27" s="101"/>
      <c r="G27" s="101"/>
      <c r="H27" s="101"/>
      <c r="I27" s="10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01"/>
      <c r="Y27" s="101"/>
      <c r="Z27" s="101"/>
      <c r="AA27" s="101"/>
      <c r="AB27" s="120"/>
      <c r="AC27" s="104"/>
      <c r="AD27" s="104"/>
    </row>
    <row r="28" spans="1:30">
      <c r="A28" s="101"/>
      <c r="B28" s="101"/>
      <c r="C28" s="101"/>
      <c r="D28" s="101"/>
      <c r="E28" s="101"/>
      <c r="F28" s="101"/>
      <c r="G28" s="101"/>
      <c r="H28" s="101"/>
      <c r="I28" s="10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01"/>
      <c r="Y28" s="102"/>
      <c r="Z28" s="101"/>
      <c r="AA28" s="101"/>
      <c r="AB28" s="120"/>
      <c r="AC28" s="104"/>
      <c r="AD28" s="104"/>
    </row>
    <row r="29" ht="39.75" customHeight="1" spans="1:30">
      <c r="A29" s="101"/>
      <c r="B29" s="102"/>
      <c r="C29" s="101"/>
      <c r="D29" s="101"/>
      <c r="E29" s="101"/>
      <c r="F29" s="101"/>
      <c r="G29" s="101"/>
      <c r="H29" s="101"/>
      <c r="I29" s="10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02"/>
      <c r="Y29" s="101"/>
      <c r="Z29" s="101"/>
      <c r="AA29" s="101"/>
      <c r="AB29" s="120"/>
      <c r="AC29" s="104"/>
      <c r="AD29" s="104"/>
    </row>
    <row r="30" spans="1:30">
      <c r="A30" s="101"/>
      <c r="B30" s="102"/>
      <c r="C30" s="101"/>
      <c r="D30" s="101"/>
      <c r="E30" s="101"/>
      <c r="F30" s="101"/>
      <c r="G30" s="101"/>
      <c r="H30" s="101"/>
      <c r="I30" s="101"/>
      <c r="J30" s="111"/>
      <c r="K30" s="111"/>
      <c r="L30" s="111"/>
      <c r="M30" s="111"/>
      <c r="N30" s="111"/>
      <c r="O30" s="111"/>
      <c r="P30" s="111"/>
      <c r="Q30" s="111"/>
      <c r="R30" s="113"/>
      <c r="S30" s="111"/>
      <c r="T30" s="111"/>
      <c r="U30" s="111"/>
      <c r="V30" s="111"/>
      <c r="W30" s="111"/>
      <c r="X30" s="102"/>
      <c r="Y30" s="101"/>
      <c r="Z30" s="101"/>
      <c r="AA30" s="101"/>
      <c r="AB30" s="120"/>
      <c r="AC30" s="104"/>
      <c r="AD30" s="104"/>
    </row>
    <row r="31" spans="1:30">
      <c r="A31" s="101"/>
      <c r="B31" s="101"/>
      <c r="C31" s="101"/>
      <c r="D31" s="101"/>
      <c r="E31" s="101"/>
      <c r="F31" s="101"/>
      <c r="G31" s="101"/>
      <c r="H31" s="102"/>
      <c r="I31" s="10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4"/>
      <c r="Y31" s="101"/>
      <c r="Z31" s="101"/>
      <c r="AA31" s="101"/>
      <c r="AB31" s="121"/>
      <c r="AC31" s="104"/>
      <c r="AD31" s="104"/>
    </row>
    <row r="32" spans="1:30">
      <c r="A32" s="101"/>
      <c r="B32" s="101"/>
      <c r="C32" s="101"/>
      <c r="D32" s="101"/>
      <c r="E32" s="101"/>
      <c r="F32" s="101"/>
      <c r="G32" s="101"/>
      <c r="H32" s="101"/>
      <c r="I32" s="10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01"/>
      <c r="Y32" s="101"/>
      <c r="Z32" s="101"/>
      <c r="AA32" s="101"/>
      <c r="AB32" s="121"/>
      <c r="AC32" s="104"/>
      <c r="AD32" s="104"/>
    </row>
    <row r="33" spans="1:30">
      <c r="A33" s="101"/>
      <c r="B33" s="101"/>
      <c r="C33" s="101"/>
      <c r="D33" s="101"/>
      <c r="E33" s="101"/>
      <c r="F33" s="101"/>
      <c r="G33" s="101"/>
      <c r="H33" s="101"/>
      <c r="I33" s="10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01"/>
      <c r="Y33" s="101"/>
      <c r="Z33" s="101"/>
      <c r="AA33" s="101"/>
      <c r="AB33" s="121"/>
      <c r="AC33" s="104"/>
      <c r="AD33" s="104"/>
    </row>
    <row r="34" ht="40.5" customHeight="1" spans="1:30">
      <c r="A34" s="101"/>
      <c r="B34" s="101"/>
      <c r="C34" s="101"/>
      <c r="D34" s="101"/>
      <c r="E34" s="101"/>
      <c r="F34" s="101"/>
      <c r="G34" s="101"/>
      <c r="H34" s="101"/>
      <c r="I34" s="10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01"/>
      <c r="Y34" s="101"/>
      <c r="Z34" s="101"/>
      <c r="AA34" s="101"/>
      <c r="AB34" s="121"/>
      <c r="AC34" s="104"/>
      <c r="AD34" s="104"/>
    </row>
    <row r="35" spans="1:30">
      <c r="A35" s="101"/>
      <c r="B35" s="102"/>
      <c r="C35" s="101"/>
      <c r="D35" s="101"/>
      <c r="E35" s="101"/>
      <c r="F35" s="101"/>
      <c r="G35" s="101"/>
      <c r="H35" s="101"/>
      <c r="I35" s="10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01"/>
      <c r="Y35" s="101"/>
      <c r="Z35" s="101"/>
      <c r="AA35" s="101"/>
      <c r="AB35" s="120"/>
      <c r="AC35" s="104"/>
      <c r="AD35" s="104"/>
    </row>
    <row r="36" spans="1:30">
      <c r="A36" s="103"/>
      <c r="B36" s="104"/>
      <c r="C36" s="104"/>
      <c r="D36" s="104"/>
      <c r="E36" s="104"/>
      <c r="F36" s="104"/>
      <c r="G36" s="104"/>
      <c r="H36" s="104"/>
      <c r="I36" s="104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04"/>
      <c r="Y36" s="104"/>
      <c r="Z36" s="101"/>
      <c r="AA36" s="101"/>
      <c r="AB36" s="120"/>
      <c r="AC36" s="104"/>
      <c r="AD36" s="104"/>
    </row>
    <row r="37" spans="10:23"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</row>
    <row r="38" spans="10:23"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</row>
    <row r="39" spans="10:23"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</row>
    <row r="40" spans="10:23"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</row>
    <row r="41" spans="5:5">
      <c r="E41" s="105"/>
    </row>
  </sheetData>
  <dataValidations count="9">
    <dataValidation type="list" allowBlank="1" showInputMessage="1" showErrorMessage="1" sqref="K22 K1:K20 K24:K1048576">
      <formula1>基础信息!$F$2:$F$4</formula1>
    </dataValidation>
    <dataValidation type="list" allowBlank="1" showInputMessage="1" showErrorMessage="1" sqref="Q22 Q1:Q20 Q24:Q1048576">
      <formula1>基础信息!$Q$2:$Q$7</formula1>
    </dataValidation>
    <dataValidation type="list" allowBlank="1" showInputMessage="1" showErrorMessage="1" sqref="U22 U1:U20 U24:U1048576">
      <formula1>基础信息!$R$2:$R$5</formula1>
    </dataValidation>
    <dataValidation type="list" allowBlank="1" showInputMessage="1" showErrorMessage="1" sqref="J1:J22 J24:J1048576">
      <formula1>字段对应!$D$2:$D$8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V1:V22 V24:V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B13" sqref="B13"/>
    </sheetView>
  </sheetViews>
  <sheetFormatPr defaultColWidth="9" defaultRowHeight="13.5" outlineLevelCol="4"/>
  <cols>
    <col min="1" max="1" width="22.6666666666667" customWidth="1"/>
    <col min="2" max="2" width="44.6666666666667" customWidth="1"/>
    <col min="3" max="3" width="22.6666666666667" customWidth="1"/>
    <col min="4" max="5" width="5.44166666666667" customWidth="1"/>
    <col min="6" max="9" width="22.6666666666667" customWidth="1"/>
  </cols>
  <sheetData>
    <row r="1" spans="1:5">
      <c r="A1" s="79" t="s">
        <v>220</v>
      </c>
      <c r="B1" s="79" t="s">
        <v>221</v>
      </c>
      <c r="C1" s="79" t="s">
        <v>222</v>
      </c>
      <c r="D1" s="79" t="s">
        <v>223</v>
      </c>
      <c r="E1" s="79" t="s">
        <v>224</v>
      </c>
    </row>
    <row r="2" spans="1:5">
      <c r="A2" s="41" t="str">
        <f ca="1" t="shared" ref="A2:A18" si="0">MID(CELL("filename"),FIND("[",CELL("filename"),1)+1,FIND(".",CELL("filename"),1)-FIND("[",CELL("filename"),1)-1)</f>
        <v>T600T700-VariableSlit</v>
      </c>
      <c r="B2" s="80" t="s">
        <v>225</v>
      </c>
      <c r="C2" s="81"/>
      <c r="D2" s="41"/>
      <c r="E2" s="41"/>
    </row>
    <row r="3" spans="1:5">
      <c r="A3" s="41" t="str">
        <f ca="1" t="shared" si="0"/>
        <v>T600T700-VariableSlit</v>
      </c>
      <c r="B3" s="82" t="s">
        <v>226</v>
      </c>
      <c r="C3" s="81"/>
      <c r="D3" s="41"/>
      <c r="E3" s="41"/>
    </row>
    <row r="4" spans="1:5">
      <c r="A4" s="41" t="str">
        <f ca="1" t="shared" si="0"/>
        <v>T600T700-VariableSlit</v>
      </c>
      <c r="B4" s="82" t="s">
        <v>227</v>
      </c>
      <c r="C4" s="81"/>
      <c r="D4" s="41"/>
      <c r="E4" s="41"/>
    </row>
    <row r="5" spans="1:5">
      <c r="A5" s="41" t="str">
        <f ca="1" t="shared" si="0"/>
        <v>T600T700-VariableSlit</v>
      </c>
      <c r="B5" s="82" t="s">
        <v>228</v>
      </c>
      <c r="C5" s="81"/>
      <c r="D5" s="41"/>
      <c r="E5" s="41"/>
    </row>
    <row r="6" spans="1:5">
      <c r="A6" s="41" t="str">
        <f ca="1" t="shared" si="0"/>
        <v>T600T700-VariableSlit</v>
      </c>
      <c r="B6" s="82" t="s">
        <v>229</v>
      </c>
      <c r="C6" s="81"/>
      <c r="D6" s="41"/>
      <c r="E6" s="41"/>
    </row>
    <row r="7" spans="1:5">
      <c r="A7" s="41" t="str">
        <f ca="1" t="shared" si="0"/>
        <v>T600T700-VariableSlit</v>
      </c>
      <c r="B7" s="82" t="s">
        <v>230</v>
      </c>
      <c r="C7" s="81"/>
      <c r="D7" s="41"/>
      <c r="E7" s="41"/>
    </row>
    <row r="8" spans="1:5">
      <c r="A8" s="41" t="str">
        <f ca="1" t="shared" si="0"/>
        <v>T600T700-VariableSlit</v>
      </c>
      <c r="B8" s="82" t="s">
        <v>231</v>
      </c>
      <c r="C8" s="81"/>
      <c r="D8" s="41"/>
      <c r="E8" s="41"/>
    </row>
    <row r="9" spans="1:5">
      <c r="A9" s="41" t="str">
        <f ca="1" t="shared" si="0"/>
        <v>T600T700-VariableSlit</v>
      </c>
      <c r="B9" s="82" t="s">
        <v>232</v>
      </c>
      <c r="C9" s="81"/>
      <c r="D9" s="41"/>
      <c r="E9" s="41"/>
    </row>
    <row r="10" spans="1:5">
      <c r="A10" s="41" t="str">
        <f ca="1" t="shared" si="0"/>
        <v>T600T700-VariableSlit</v>
      </c>
      <c r="B10" s="80" t="s">
        <v>233</v>
      </c>
      <c r="C10" s="81"/>
      <c r="D10" s="41">
        <v>1001</v>
      </c>
      <c r="E10" s="41">
        <v>1001</v>
      </c>
    </row>
    <row r="11" spans="1:5">
      <c r="A11" s="41" t="str">
        <f ca="1" t="shared" si="0"/>
        <v>T600T700-VariableSlit</v>
      </c>
      <c r="B11" s="80" t="s">
        <v>234</v>
      </c>
      <c r="C11" s="81"/>
      <c r="D11" s="41">
        <v>1002</v>
      </c>
      <c r="E11" s="41">
        <v>1002</v>
      </c>
    </row>
    <row r="12" spans="1:5">
      <c r="A12" s="41" t="str">
        <f ca="1" t="shared" si="0"/>
        <v>T600T700-VariableSlit</v>
      </c>
      <c r="B12" s="80" t="s">
        <v>235</v>
      </c>
      <c r="C12" s="81"/>
      <c r="D12" s="41">
        <v>2001</v>
      </c>
      <c r="E12" s="41">
        <v>2001</v>
      </c>
    </row>
    <row r="13" spans="1:5">
      <c r="A13" s="41" t="str">
        <f ca="1" t="shared" si="0"/>
        <v>T600T700-VariableSlit</v>
      </c>
      <c r="B13" s="80" t="s">
        <v>236</v>
      </c>
      <c r="C13" s="81"/>
      <c r="D13" s="41">
        <v>2002</v>
      </c>
      <c r="E13" s="41">
        <v>2001</v>
      </c>
    </row>
    <row r="14" spans="1:5">
      <c r="A14" s="41" t="str">
        <f ca="1" t="shared" si="0"/>
        <v>T600T700-VariableSlit</v>
      </c>
      <c r="B14" s="80" t="s">
        <v>237</v>
      </c>
      <c r="C14" s="81"/>
      <c r="D14" s="41">
        <v>2003</v>
      </c>
      <c r="E14" s="41">
        <v>2001</v>
      </c>
    </row>
    <row r="15" spans="1:5">
      <c r="A15" s="41" t="str">
        <f ca="1" t="shared" si="0"/>
        <v>T600T700-VariableSlit</v>
      </c>
      <c r="B15" s="80" t="s">
        <v>238</v>
      </c>
      <c r="C15" s="81"/>
      <c r="D15" s="41">
        <v>2004</v>
      </c>
      <c r="E15" s="41">
        <v>2001</v>
      </c>
    </row>
    <row r="16" spans="1:5">
      <c r="A16" s="41" t="str">
        <f ca="1" t="shared" si="0"/>
        <v>T600T700-VariableSlit</v>
      </c>
      <c r="B16" s="80" t="s">
        <v>239</v>
      </c>
      <c r="C16" s="81"/>
      <c r="D16" s="41">
        <v>3001</v>
      </c>
      <c r="E16" s="41">
        <v>3001</v>
      </c>
    </row>
    <row r="17" spans="1:5">
      <c r="A17" s="41" t="str">
        <f ca="1" t="shared" si="0"/>
        <v>T600T700-VariableSlit</v>
      </c>
      <c r="B17" s="80" t="s">
        <v>240</v>
      </c>
      <c r="C17" s="81"/>
      <c r="D17" s="41">
        <v>3002</v>
      </c>
      <c r="E17" s="41">
        <v>3002</v>
      </c>
    </row>
    <row r="18" spans="1:5">
      <c r="A18" s="41" t="str">
        <f ca="1" t="shared" si="0"/>
        <v>T600T700-VariableSlit</v>
      </c>
      <c r="B18" s="83" t="s">
        <v>241</v>
      </c>
      <c r="C18" s="81"/>
      <c r="D18" s="41">
        <v>4001</v>
      </c>
      <c r="E18" s="41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7" sqref="D7"/>
    </sheetView>
  </sheetViews>
  <sheetFormatPr defaultColWidth="9" defaultRowHeight="13.5"/>
  <cols>
    <col min="1" max="1" width="35.775" customWidth="1"/>
  </cols>
  <sheetData>
    <row r="1" ht="190.05" customHeight="1" spans="1:1">
      <c r="A1" s="78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selection activeCell="A2" sqref="A2:A14"/>
    </sheetView>
  </sheetViews>
  <sheetFormatPr defaultColWidth="9" defaultRowHeight="13.5" outlineLevelCol="3"/>
  <cols>
    <col min="1" max="1" width="35.3333333333333" customWidth="1"/>
    <col min="2" max="2" width="27.4416666666667" customWidth="1"/>
    <col min="3" max="3" width="15.775" customWidth="1"/>
    <col min="4" max="4" width="20.2166666666667" customWidth="1"/>
  </cols>
  <sheetData>
    <row r="1" spans="1:4">
      <c r="A1" s="1" t="s">
        <v>242</v>
      </c>
      <c r="B1" s="1" t="s">
        <v>24</v>
      </c>
      <c r="C1" s="1" t="s">
        <v>69</v>
      </c>
      <c r="D1" s="70" t="s">
        <v>243</v>
      </c>
    </row>
    <row r="2" spans="1:4">
      <c r="A2" s="71" t="s">
        <v>139</v>
      </c>
      <c r="B2" s="72" t="s">
        <v>140</v>
      </c>
      <c r="C2" s="73" t="s">
        <v>141</v>
      </c>
      <c r="D2" s="73">
        <v>23.2</v>
      </c>
    </row>
    <row r="3" spans="1:4">
      <c r="A3" s="74"/>
      <c r="B3" s="26"/>
      <c r="C3" s="73" t="s">
        <v>142</v>
      </c>
      <c r="D3" s="73">
        <v>51.58</v>
      </c>
    </row>
    <row r="4" ht="12" customHeight="1" spans="1:4">
      <c r="A4" s="74"/>
      <c r="B4" s="26"/>
      <c r="C4" s="75" t="s">
        <v>143</v>
      </c>
      <c r="D4" s="73">
        <v>14.06</v>
      </c>
    </row>
    <row r="5" spans="1:4">
      <c r="A5" s="74"/>
      <c r="B5" s="26"/>
      <c r="C5" s="75" t="s">
        <v>144</v>
      </c>
      <c r="D5" s="73">
        <v>18.42</v>
      </c>
    </row>
    <row r="6" spans="1:4">
      <c r="A6" s="74"/>
      <c r="B6" s="76" t="s">
        <v>97</v>
      </c>
      <c r="C6" s="73" t="s">
        <v>145</v>
      </c>
      <c r="D6" s="73">
        <v>7.62</v>
      </c>
    </row>
    <row r="7" spans="1:4">
      <c r="A7" s="74"/>
      <c r="B7" s="73"/>
      <c r="C7" s="73" t="s">
        <v>146</v>
      </c>
      <c r="D7" s="73">
        <v>11.03</v>
      </c>
    </row>
    <row r="8" spans="1:4">
      <c r="A8" s="74"/>
      <c r="B8" s="73"/>
      <c r="C8" s="73" t="s">
        <v>147</v>
      </c>
      <c r="D8" s="73">
        <v>11.46</v>
      </c>
    </row>
    <row r="9" spans="1:4">
      <c r="A9" s="74"/>
      <c r="B9" s="76" t="s">
        <v>102</v>
      </c>
      <c r="C9" s="73" t="s">
        <v>145</v>
      </c>
      <c r="D9" s="73">
        <v>17.64</v>
      </c>
    </row>
    <row r="10" spans="1:4">
      <c r="A10" s="74"/>
      <c r="B10" s="73"/>
      <c r="C10" s="73" t="s">
        <v>146</v>
      </c>
      <c r="D10" s="73">
        <v>21.74</v>
      </c>
    </row>
    <row r="11" spans="1:4">
      <c r="A11" s="74"/>
      <c r="B11" s="73"/>
      <c r="C11" s="73" t="s">
        <v>147</v>
      </c>
      <c r="D11" s="73">
        <v>21.92</v>
      </c>
    </row>
    <row r="12" spans="1:4">
      <c r="A12" s="74"/>
      <c r="B12" s="76" t="s">
        <v>105</v>
      </c>
      <c r="C12" s="73" t="s">
        <v>145</v>
      </c>
      <c r="D12" s="73">
        <v>23.59</v>
      </c>
    </row>
    <row r="13" spans="1:4">
      <c r="A13" s="74"/>
      <c r="B13" s="73"/>
      <c r="C13" s="73" t="s">
        <v>146</v>
      </c>
      <c r="D13" s="73">
        <v>29.32</v>
      </c>
    </row>
    <row r="14" spans="1:4">
      <c r="A14" s="57"/>
      <c r="B14" s="73"/>
      <c r="C14" s="73" t="s">
        <v>147</v>
      </c>
      <c r="D14" s="73">
        <v>29.91</v>
      </c>
    </row>
    <row r="15" spans="1:4">
      <c r="A15" s="72" t="s">
        <v>23</v>
      </c>
      <c r="B15" s="26" t="s">
        <v>30</v>
      </c>
      <c r="C15" s="27" t="s">
        <v>132</v>
      </c>
      <c r="D15" s="27"/>
    </row>
    <row r="16" spans="1:4">
      <c r="A16" s="74"/>
      <c r="B16" s="32" t="s">
        <v>31</v>
      </c>
      <c r="C16" s="27" t="s">
        <v>244</v>
      </c>
      <c r="D16" s="27"/>
    </row>
    <row r="17" spans="1:4">
      <c r="A17" s="74"/>
      <c r="B17" s="33"/>
      <c r="C17" s="27" t="s">
        <v>245</v>
      </c>
      <c r="D17" s="27"/>
    </row>
    <row r="18" spans="1:4">
      <c r="A18" s="74"/>
      <c r="B18" s="33"/>
      <c r="C18" s="27" t="s">
        <v>246</v>
      </c>
      <c r="D18" s="27"/>
    </row>
    <row r="19" spans="1:4">
      <c r="A19" s="74"/>
      <c r="B19" s="33"/>
      <c r="C19" s="27" t="s">
        <v>247</v>
      </c>
      <c r="D19" s="27"/>
    </row>
    <row r="20" spans="1:4">
      <c r="A20" s="74"/>
      <c r="B20" s="33"/>
      <c r="C20" s="27" t="s">
        <v>248</v>
      </c>
      <c r="D20" s="27"/>
    </row>
    <row r="21" spans="1:4">
      <c r="A21" s="57"/>
      <c r="B21" s="34"/>
      <c r="C21" s="27" t="s">
        <v>249</v>
      </c>
      <c r="D21" s="27"/>
    </row>
    <row r="23" spans="1:4">
      <c r="A23" s="77" t="s">
        <v>250</v>
      </c>
      <c r="B23" s="77"/>
      <c r="C23" s="77"/>
      <c r="D23" s="77"/>
    </row>
  </sheetData>
  <mergeCells count="8">
    <mergeCell ref="A23:D23"/>
    <mergeCell ref="A2:A14"/>
    <mergeCell ref="A15:A21"/>
    <mergeCell ref="B2:B5"/>
    <mergeCell ref="B6:B8"/>
    <mergeCell ref="B9:B11"/>
    <mergeCell ref="B12:B14"/>
    <mergeCell ref="B16:B21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G7" sqref="G7:G8"/>
    </sheetView>
  </sheetViews>
  <sheetFormatPr defaultColWidth="9" defaultRowHeight="13.5" outlineLevelCol="4"/>
  <cols>
    <col min="1" max="2" width="16.1083333333333" customWidth="1"/>
    <col min="4" max="4" width="13.8833333333333" customWidth="1"/>
    <col min="5" max="5" width="69.8833333333333" customWidth="1"/>
  </cols>
  <sheetData>
    <row r="1" spans="1:5">
      <c r="A1" s="31" t="s">
        <v>251</v>
      </c>
      <c r="B1" s="31" t="s">
        <v>252</v>
      </c>
      <c r="D1" s="31" t="s">
        <v>253</v>
      </c>
      <c r="E1" s="31" t="s">
        <v>254</v>
      </c>
    </row>
    <row r="2" spans="1:5">
      <c r="A2" s="43" t="s">
        <v>188</v>
      </c>
      <c r="B2" s="43" t="s">
        <v>255</v>
      </c>
      <c r="C2" s="43" t="s">
        <v>256</v>
      </c>
      <c r="D2" s="67" t="s">
        <v>200</v>
      </c>
      <c r="E2" s="68" t="s">
        <v>257</v>
      </c>
    </row>
    <row r="3" spans="1:5">
      <c r="A3" s="43" t="s">
        <v>189</v>
      </c>
      <c r="B3" s="43" t="s">
        <v>258</v>
      </c>
      <c r="D3" s="43" t="s">
        <v>259</v>
      </c>
      <c r="E3" s="68" t="s">
        <v>260</v>
      </c>
    </row>
    <row r="4" spans="1:5">
      <c r="A4" s="43" t="s">
        <v>76</v>
      </c>
      <c r="B4" s="43" t="s">
        <v>261</v>
      </c>
      <c r="D4" s="67" t="s">
        <v>214</v>
      </c>
      <c r="E4" s="68" t="s">
        <v>262</v>
      </c>
    </row>
    <row r="5" spans="1:5">
      <c r="A5" s="43" t="s">
        <v>185</v>
      </c>
      <c r="B5" s="43" t="s">
        <v>263</v>
      </c>
      <c r="D5" s="67" t="s">
        <v>197</v>
      </c>
      <c r="E5" s="68" t="s">
        <v>264</v>
      </c>
    </row>
    <row r="6" spans="1:5">
      <c r="A6" s="43" t="s">
        <v>183</v>
      </c>
      <c r="B6" s="43" t="s">
        <v>265</v>
      </c>
      <c r="D6" s="67" t="s">
        <v>266</v>
      </c>
      <c r="E6" s="68" t="s">
        <v>267</v>
      </c>
    </row>
    <row r="7" spans="1:5">
      <c r="A7" s="43" t="s">
        <v>184</v>
      </c>
      <c r="B7" s="43" t="s">
        <v>268</v>
      </c>
      <c r="D7" s="69" t="s">
        <v>219</v>
      </c>
      <c r="E7" s="68" t="s">
        <v>269</v>
      </c>
    </row>
    <row r="8" spans="1:5">
      <c r="A8" s="43" t="s">
        <v>270</v>
      </c>
      <c r="B8" s="43" t="s">
        <v>271</v>
      </c>
      <c r="D8" s="67" t="s">
        <v>272</v>
      </c>
      <c r="E8" s="68" t="s">
        <v>273</v>
      </c>
    </row>
    <row r="9" spans="1:2">
      <c r="A9" s="43" t="s">
        <v>182</v>
      </c>
      <c r="B9" s="43" t="s">
        <v>274</v>
      </c>
    </row>
    <row r="10" spans="1:2">
      <c r="A10" s="43" t="s">
        <v>187</v>
      </c>
      <c r="B10" s="43" t="s">
        <v>275</v>
      </c>
    </row>
    <row r="11" spans="1:2">
      <c r="A11" s="43" t="s">
        <v>74</v>
      </c>
      <c r="B11" s="43" t="s">
        <v>276</v>
      </c>
    </row>
    <row r="12" spans="1:2">
      <c r="A12" s="43" t="s">
        <v>190</v>
      </c>
      <c r="B12" s="43" t="s">
        <v>277</v>
      </c>
    </row>
    <row r="13" spans="1:2">
      <c r="A13" s="43" t="s">
        <v>26</v>
      </c>
      <c r="B13" s="43" t="s">
        <v>278</v>
      </c>
    </row>
    <row r="14" spans="1:2">
      <c r="A14" s="43" t="s">
        <v>191</v>
      </c>
      <c r="B14" s="43" t="s">
        <v>279</v>
      </c>
    </row>
    <row r="15" spans="1:2">
      <c r="A15" s="43" t="s">
        <v>69</v>
      </c>
      <c r="B15" s="43" t="s">
        <v>280</v>
      </c>
    </row>
    <row r="16" spans="1:2">
      <c r="A16" s="43" t="s">
        <v>281</v>
      </c>
      <c r="B16" s="43" t="s">
        <v>282</v>
      </c>
    </row>
    <row r="17" spans="1:3">
      <c r="A17" s="43" t="s">
        <v>283</v>
      </c>
      <c r="B17" s="43" t="s">
        <v>284</v>
      </c>
      <c r="C17" s="43" t="s">
        <v>285</v>
      </c>
    </row>
    <row r="18" spans="1:3">
      <c r="A18" s="43" t="s">
        <v>286</v>
      </c>
      <c r="B18" s="43" t="s">
        <v>287</v>
      </c>
      <c r="C18" s="43" t="s">
        <v>288</v>
      </c>
    </row>
    <row r="19" spans="1:2">
      <c r="A19" s="43" t="s">
        <v>192</v>
      </c>
      <c r="B19" s="68" t="s">
        <v>289</v>
      </c>
    </row>
    <row r="20" spans="1:4">
      <c r="A20" s="43" t="s">
        <v>193</v>
      </c>
      <c r="B20" s="43" t="s">
        <v>290</v>
      </c>
      <c r="D20" s="43"/>
    </row>
    <row r="21" spans="1:2">
      <c r="A21" s="43" t="s">
        <v>71</v>
      </c>
      <c r="B21" s="68" t="s">
        <v>291</v>
      </c>
    </row>
    <row r="22" spans="1:2">
      <c r="A22" s="43" t="s">
        <v>79</v>
      </c>
      <c r="B22" s="68" t="s">
        <v>292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workbookViewId="0">
      <selection activeCell="B8" sqref="B8"/>
    </sheetView>
  </sheetViews>
  <sheetFormatPr defaultColWidth="9" defaultRowHeight="13.5" outlineLevelCol="5"/>
  <cols>
    <col min="1" max="1" width="11.775" style="10" customWidth="1"/>
    <col min="2" max="2" width="16.1083333333333" style="61" customWidth="1"/>
    <col min="3" max="16384" width="9" style="10"/>
  </cols>
  <sheetData>
    <row r="1" ht="30" customHeight="1" spans="1:2">
      <c r="A1" s="1" t="s">
        <v>182</v>
      </c>
      <c r="B1" s="2" t="s">
        <v>293</v>
      </c>
    </row>
    <row r="2" spans="1:2">
      <c r="A2" s="62" t="s">
        <v>294</v>
      </c>
      <c r="B2" s="5"/>
    </row>
    <row r="3" spans="1:2">
      <c r="A3" s="62" t="s">
        <v>295</v>
      </c>
      <c r="B3" s="5"/>
    </row>
    <row r="4" spans="1:6">
      <c r="A4" s="62" t="s">
        <v>296</v>
      </c>
      <c r="B4" s="5"/>
      <c r="D4" s="63"/>
      <c r="E4" s="63"/>
      <c r="F4" s="63"/>
    </row>
    <row r="5" spans="1:6">
      <c r="A5" s="62" t="s">
        <v>297</v>
      </c>
      <c r="B5" s="5"/>
      <c r="D5" s="63"/>
      <c r="E5" s="63"/>
      <c r="F5" s="63"/>
    </row>
    <row r="6" spans="1:6">
      <c r="A6" s="62" t="s">
        <v>298</v>
      </c>
      <c r="B6" s="5"/>
      <c r="D6" s="63"/>
      <c r="E6" s="63"/>
      <c r="F6" s="63"/>
    </row>
    <row r="7" ht="18" customHeight="1" spans="1:6">
      <c r="A7" s="7" t="s">
        <v>299</v>
      </c>
      <c r="B7" s="64" t="str" cm="1">
        <f t="array" ref="B7">IF(AND(MAX(B2:B6)-MIN(B2:B6)&lt;0.1,B2:B6&gt;=99.9,B2:B6&lt;=100.1),"合格","不合格")</f>
        <v>不合格</v>
      </c>
      <c r="D7" s="65"/>
      <c r="E7" s="63"/>
      <c r="F7" s="63"/>
    </row>
    <row r="8" spans="1:6">
      <c r="A8" s="7" t="s">
        <v>115</v>
      </c>
      <c r="B8" s="66">
        <f>MAX(B2:B6)-MIN(B2:B6)</f>
        <v>0</v>
      </c>
      <c r="D8" s="63"/>
      <c r="E8" s="63"/>
      <c r="F8" s="63"/>
    </row>
    <row r="9" spans="4:6">
      <c r="D9" s="63"/>
      <c r="E9" s="63"/>
      <c r="F9" s="63"/>
    </row>
    <row r="10" spans="4:6">
      <c r="D10" s="63"/>
      <c r="E10" s="63"/>
      <c r="F10" s="63"/>
    </row>
    <row r="11" spans="4:6">
      <c r="D11" s="63"/>
      <c r="E11" s="63"/>
      <c r="F11" s="63"/>
    </row>
    <row r="12" spans="4:6">
      <c r="D12" s="63"/>
      <c r="E12" s="63"/>
      <c r="F12" s="63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A1" sqref="$A1:$XFD11"/>
    </sheetView>
  </sheetViews>
  <sheetFormatPr defaultColWidth="9" defaultRowHeight="13.5" outlineLevelCol="5"/>
  <cols>
    <col min="1" max="1" width="11.4416666666667" style="50" customWidth="1"/>
    <col min="2" max="2" width="9.10833333333333" style="51" customWidth="1"/>
    <col min="3" max="3" width="8.44166666666667" style="52" customWidth="1"/>
    <col min="4" max="4" width="10.4416666666667" style="53" customWidth="1"/>
    <col min="5" max="5" width="9" style="50"/>
    <col min="6" max="6" width="9.66666666666667" style="50" customWidth="1"/>
    <col min="7" max="16384" width="9" style="50"/>
  </cols>
  <sheetData>
    <row r="1" s="50" customFormat="1" ht="25.5" spans="1:6">
      <c r="A1" s="1" t="s">
        <v>182</v>
      </c>
      <c r="B1" s="1" t="s">
        <v>300</v>
      </c>
      <c r="C1" s="54" t="s">
        <v>25</v>
      </c>
      <c r="D1" s="54" t="s">
        <v>26</v>
      </c>
      <c r="E1" s="54" t="s">
        <v>301</v>
      </c>
      <c r="F1" s="54" t="s">
        <v>28</v>
      </c>
    </row>
    <row r="2" s="50" customFormat="1" ht="15" customHeight="1" spans="1:6">
      <c r="A2" s="55" t="s">
        <v>29</v>
      </c>
      <c r="B2" s="56">
        <v>486</v>
      </c>
      <c r="C2" s="28" t="s">
        <v>90</v>
      </c>
      <c r="D2" s="28">
        <v>4</v>
      </c>
      <c r="E2" s="28" t="s">
        <v>29</v>
      </c>
      <c r="F2" s="28"/>
    </row>
    <row r="3" s="50" customFormat="1" ht="15" customHeight="1" spans="1:6">
      <c r="A3" s="57"/>
      <c r="B3" s="56">
        <v>656.1</v>
      </c>
      <c r="C3" s="28" t="s">
        <v>90</v>
      </c>
      <c r="D3" s="28">
        <v>4</v>
      </c>
      <c r="E3" s="28" t="s">
        <v>29</v>
      </c>
      <c r="F3" s="28"/>
    </row>
    <row r="4" s="50" customFormat="1" ht="15" customHeight="1" spans="1:6">
      <c r="A4" s="26" t="s">
        <v>30</v>
      </c>
      <c r="B4" s="56">
        <v>807.4</v>
      </c>
      <c r="C4" s="28" t="s">
        <v>81</v>
      </c>
      <c r="D4" s="28"/>
      <c r="E4" s="28"/>
      <c r="F4" s="28"/>
    </row>
    <row r="5" s="50" customFormat="1" ht="12" customHeight="1" spans="1:6">
      <c r="A5" s="58" t="s">
        <v>31</v>
      </c>
      <c r="B5" s="56">
        <v>241</v>
      </c>
      <c r="C5" s="28" t="s">
        <v>81</v>
      </c>
      <c r="D5" s="28"/>
      <c r="E5" s="28"/>
      <c r="F5" s="28"/>
    </row>
    <row r="6" s="50" customFormat="1" spans="1:6">
      <c r="A6" s="58"/>
      <c r="B6" s="56">
        <v>361</v>
      </c>
      <c r="C6" s="28" t="s">
        <v>81</v>
      </c>
      <c r="D6" s="28"/>
      <c r="E6" s="28"/>
      <c r="F6" s="28"/>
    </row>
    <row r="7" s="50" customFormat="1" ht="16" customHeight="1" spans="1:6">
      <c r="A7" s="58"/>
      <c r="B7" s="56">
        <v>640.7</v>
      </c>
      <c r="C7" s="28" t="s">
        <v>81</v>
      </c>
      <c r="D7" s="28"/>
      <c r="E7" s="28"/>
      <c r="F7" s="28"/>
    </row>
    <row r="8" s="50" customFormat="1" ht="15" customHeight="1" spans="1:6">
      <c r="A8" s="26" t="s">
        <v>32</v>
      </c>
      <c r="B8" s="59">
        <v>296.7</v>
      </c>
      <c r="C8" s="28" t="s">
        <v>90</v>
      </c>
      <c r="D8" s="28">
        <v>3</v>
      </c>
      <c r="E8" s="28" t="s">
        <v>32</v>
      </c>
      <c r="F8" s="28"/>
    </row>
    <row r="9" s="50" customFormat="1" spans="1:6">
      <c r="A9" s="26"/>
      <c r="B9" s="59">
        <v>404.7</v>
      </c>
      <c r="C9" s="28" t="s">
        <v>90</v>
      </c>
      <c r="D9" s="28">
        <v>3</v>
      </c>
      <c r="E9" s="28" t="s">
        <v>32</v>
      </c>
      <c r="F9" s="28"/>
    </row>
    <row r="10" s="50" customFormat="1" spans="1:6">
      <c r="A10" s="26"/>
      <c r="B10" s="59">
        <v>435.8</v>
      </c>
      <c r="C10" s="28" t="s">
        <v>90</v>
      </c>
      <c r="D10" s="28">
        <v>3</v>
      </c>
      <c r="E10" s="28" t="s">
        <v>32</v>
      </c>
      <c r="F10" s="28"/>
    </row>
    <row r="11" s="50" customFormat="1" spans="1:6">
      <c r="A11" s="26"/>
      <c r="B11" s="56">
        <v>546.1</v>
      </c>
      <c r="C11" s="28" t="s">
        <v>90</v>
      </c>
      <c r="D11" s="28">
        <v>3</v>
      </c>
      <c r="E11" s="28" t="s">
        <v>32</v>
      </c>
      <c r="F11" s="60"/>
    </row>
    <row r="12" ht="15" customHeight="1"/>
    <row r="17" spans="4:4">
      <c r="D17" s="50"/>
    </row>
    <row r="18" spans="4:4">
      <c r="D18" s="50"/>
    </row>
  </sheetData>
  <sortState ref="B2:B3">
    <sortCondition ref="B2"/>
  </sortState>
  <mergeCells count="3">
    <mergeCell ref="A2:A3"/>
    <mergeCell ref="A5:A7"/>
    <mergeCell ref="A8:A11"/>
  </mergeCells>
  <dataValidations count="3">
    <dataValidation type="list" allowBlank="1" showInputMessage="1" showErrorMessage="1" sqref="C1:C11 C17:C1048576">
      <formula1>"Abs,T%,Er,Es"</formula1>
    </dataValidation>
    <dataValidation type="list" allowBlank="1" showInputMessage="1" showErrorMessage="1" sqref="D1:D11 D17:D1048576">
      <formula1>"1,2,3,4"</formula1>
    </dataValidation>
    <dataValidation type="list" allowBlank="1" showInputMessage="1" showErrorMessage="1" sqref="E1:E11 E17:E1048576">
      <formula1>"氘灯,钨灯,汞灯"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showGridLines="0" workbookViewId="0">
      <selection activeCell="D10" sqref="D10"/>
    </sheetView>
  </sheetViews>
  <sheetFormatPr defaultColWidth="9" defaultRowHeight="13.5" outlineLevelRow="6" outlineLevelCol="3"/>
  <cols>
    <col min="1" max="1" width="12.2166666666667" customWidth="1"/>
    <col min="2" max="2" width="12.775" style="36" customWidth="1"/>
    <col min="3" max="3" width="13.2166666666667" style="37" customWidth="1"/>
  </cols>
  <sheetData>
    <row r="1" ht="30" customHeight="1" spans="1:4">
      <c r="A1" s="38" t="s">
        <v>182</v>
      </c>
      <c r="B1" s="38" t="s">
        <v>300</v>
      </c>
      <c r="C1" s="39" t="s">
        <v>28</v>
      </c>
      <c r="D1" s="40" t="s">
        <v>90</v>
      </c>
    </row>
    <row r="2" s="35" customFormat="1" ht="18" customHeight="1" spans="1:4">
      <c r="A2" s="26" t="s">
        <v>199</v>
      </c>
      <c r="B2" s="27" t="s">
        <v>302</v>
      </c>
      <c r="C2" s="28"/>
      <c r="D2" s="41"/>
    </row>
    <row r="3" s="35" customFormat="1" spans="1:4">
      <c r="A3" s="26" t="s">
        <v>201</v>
      </c>
      <c r="B3" s="27" t="s">
        <v>131</v>
      </c>
      <c r="C3" s="28"/>
      <c r="D3" s="41"/>
    </row>
    <row r="4" s="35" customFormat="1" spans="1:4">
      <c r="A4" s="26" t="s">
        <v>40</v>
      </c>
      <c r="B4" s="42" t="s">
        <v>303</v>
      </c>
      <c r="C4" s="28"/>
      <c r="D4" s="43"/>
    </row>
    <row r="5" s="35" customFormat="1" spans="1:4">
      <c r="A5" s="26" t="s">
        <v>29</v>
      </c>
      <c r="B5" s="42" t="s">
        <v>303</v>
      </c>
      <c r="C5" s="44"/>
      <c r="D5" s="45"/>
    </row>
    <row r="6" s="35" customFormat="1" spans="1:4">
      <c r="A6" s="46"/>
      <c r="B6" s="47"/>
      <c r="C6" s="48"/>
      <c r="D6" s="49"/>
    </row>
    <row r="7" s="35" customFormat="1" spans="1:4">
      <c r="A7" s="46"/>
      <c r="B7" s="47"/>
      <c r="C7" s="48"/>
      <c r="D7" s="49"/>
    </row>
  </sheetData>
  <mergeCells count="2">
    <mergeCell ref="A6:A7"/>
    <mergeCell ref="B6:B7"/>
  </mergeCells>
  <dataValidations count="1">
    <dataValidation type="list" allowBlank="1" showInputMessage="1" showErrorMessage="1" sqref="D1">
      <formula1>"Abs,T%,Er,Es"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E18" sqref="E18"/>
    </sheetView>
  </sheetViews>
  <sheetFormatPr defaultColWidth="8.89166666666667" defaultRowHeight="13.5" outlineLevelCol="5"/>
  <cols>
    <col min="1" max="1" width="17" style="10" customWidth="1"/>
    <col min="2" max="3" width="8.89166666666667" style="10"/>
    <col min="4" max="4" width="9.44166666666667" style="10"/>
    <col min="5" max="16384" width="8.89166666666667" style="10"/>
  </cols>
  <sheetData>
    <row r="1" ht="25.5" spans="1:6">
      <c r="A1" s="22" t="s">
        <v>182</v>
      </c>
      <c r="B1" s="22" t="s">
        <v>300</v>
      </c>
      <c r="C1" s="23" t="s">
        <v>28</v>
      </c>
      <c r="D1" s="24" t="s">
        <v>304</v>
      </c>
      <c r="E1" s="3" t="s">
        <v>305</v>
      </c>
      <c r="F1" s="25" t="s">
        <v>119</v>
      </c>
    </row>
    <row r="2" spans="1:6">
      <c r="A2" s="26" t="s">
        <v>201</v>
      </c>
      <c r="B2" s="27" t="s">
        <v>131</v>
      </c>
      <c r="C2" s="28"/>
      <c r="D2" s="29" t="str">
        <f>IF(ISBLANK(C2),"",IF(C2&lt;&gt;"",C2-B2,""))</f>
        <v/>
      </c>
      <c r="E2" s="30">
        <v>0.1</v>
      </c>
      <c r="F2" s="31" t="str">
        <f>IF(C2="","不合格",IF(AND(ROUND(ABS(D2),1)&lt;=ROUND(ABS(E2),1)),"合格","不合格"))</f>
        <v>不合格</v>
      </c>
    </row>
    <row r="3" spans="1:6">
      <c r="A3" s="26" t="s">
        <v>306</v>
      </c>
      <c r="B3" s="27" t="s">
        <v>302</v>
      </c>
      <c r="C3" s="28"/>
      <c r="D3" s="29" t="str">
        <f t="shared" ref="D3:D10" si="0">IF(ISBLANK(C3),"",IF(C3&lt;&gt;"",C3-B3,""))</f>
        <v/>
      </c>
      <c r="E3" s="30">
        <v>0.1</v>
      </c>
      <c r="F3" s="31" t="str">
        <f t="shared" ref="F3:F10" si="1">IF(C3="","不合格",IF(AND(ROUND(ABS(D3),1)&lt;=ROUND(ABS(E3),1)),"合格","不合格"))</f>
        <v>不合格</v>
      </c>
    </row>
    <row r="4" ht="14" customHeight="1" spans="1:6">
      <c r="A4" s="26" t="s">
        <v>30</v>
      </c>
      <c r="B4" s="27" t="s">
        <v>132</v>
      </c>
      <c r="C4" s="28"/>
      <c r="D4" s="29" t="str">
        <f t="shared" si="0"/>
        <v/>
      </c>
      <c r="E4" s="30">
        <v>0.3</v>
      </c>
      <c r="F4" s="31" t="str">
        <f t="shared" si="1"/>
        <v>不合格</v>
      </c>
    </row>
    <row r="5" spans="1:6">
      <c r="A5" s="32" t="s">
        <v>31</v>
      </c>
      <c r="B5" s="27" t="s">
        <v>244</v>
      </c>
      <c r="C5" s="28"/>
      <c r="D5" s="29" t="str">
        <f t="shared" si="0"/>
        <v/>
      </c>
      <c r="E5" s="30">
        <v>0.3</v>
      </c>
      <c r="F5" s="31" t="str">
        <f t="shared" si="1"/>
        <v>不合格</v>
      </c>
    </row>
    <row r="6" spans="1:6">
      <c r="A6" s="33"/>
      <c r="B6" s="27" t="s">
        <v>245</v>
      </c>
      <c r="C6" s="28"/>
      <c r="D6" s="29" t="str">
        <f t="shared" si="0"/>
        <v/>
      </c>
      <c r="E6" s="30">
        <v>0.3</v>
      </c>
      <c r="F6" s="31" t="str">
        <f t="shared" si="1"/>
        <v>不合格</v>
      </c>
    </row>
    <row r="7" spans="1:6">
      <c r="A7" s="33"/>
      <c r="B7" s="27" t="s">
        <v>246</v>
      </c>
      <c r="C7" s="28"/>
      <c r="D7" s="29" t="str">
        <f t="shared" si="0"/>
        <v/>
      </c>
      <c r="E7" s="30">
        <v>0.3</v>
      </c>
      <c r="F7" s="31" t="str">
        <f t="shared" si="1"/>
        <v>不合格</v>
      </c>
    </row>
    <row r="8" spans="1:6">
      <c r="A8" s="33"/>
      <c r="B8" s="27" t="s">
        <v>247</v>
      </c>
      <c r="C8" s="28"/>
      <c r="D8" s="29" t="str">
        <f t="shared" si="0"/>
        <v/>
      </c>
      <c r="E8" s="30">
        <v>0.3</v>
      </c>
      <c r="F8" s="31" t="str">
        <f t="shared" si="1"/>
        <v>不合格</v>
      </c>
    </row>
    <row r="9" spans="1:6">
      <c r="A9" s="33"/>
      <c r="B9" s="27" t="s">
        <v>248</v>
      </c>
      <c r="C9" s="28"/>
      <c r="D9" s="29" t="str">
        <f t="shared" si="0"/>
        <v/>
      </c>
      <c r="E9" s="30">
        <v>0.3</v>
      </c>
      <c r="F9" s="31" t="str">
        <f t="shared" si="1"/>
        <v>不合格</v>
      </c>
    </row>
    <row r="10" spans="1:6">
      <c r="A10" s="34"/>
      <c r="B10" s="27" t="s">
        <v>249</v>
      </c>
      <c r="C10" s="28"/>
      <c r="D10" s="29" t="str">
        <f t="shared" si="0"/>
        <v/>
      </c>
      <c r="E10" s="30">
        <v>0.3</v>
      </c>
      <c r="F10" s="31" t="str">
        <f t="shared" si="1"/>
        <v>不合格</v>
      </c>
    </row>
  </sheetData>
  <mergeCells count="1">
    <mergeCell ref="A5:A1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F6" sqref="F6"/>
    </sheetView>
  </sheetViews>
  <sheetFormatPr defaultColWidth="8.89166666666667" defaultRowHeight="13.5" outlineLevelRow="7" outlineLevelCol="7"/>
  <cols>
    <col min="1" max="1" width="18.5583333333333" style="10" customWidth="1"/>
    <col min="2" max="2" width="8.89166666666667" style="10" customWidth="1"/>
    <col min="3" max="6" width="8.89166666666667" style="10"/>
    <col min="7" max="7" width="25.225" style="10" customWidth="1"/>
    <col min="8" max="16384" width="8.89166666666667" style="10"/>
  </cols>
  <sheetData>
    <row r="1" spans="1:8">
      <c r="A1" s="1" t="s">
        <v>182</v>
      </c>
      <c r="B1" s="1" t="s">
        <v>307</v>
      </c>
      <c r="C1" s="11" t="s">
        <v>308</v>
      </c>
      <c r="D1" s="12"/>
      <c r="E1" s="12"/>
      <c r="F1" s="13" t="s">
        <v>309</v>
      </c>
      <c r="G1" s="1" t="s">
        <v>119</v>
      </c>
      <c r="H1" s="14"/>
    </row>
    <row r="2" ht="16" customHeight="1" spans="1:8">
      <c r="A2" s="15" t="s">
        <v>53</v>
      </c>
      <c r="B2" s="16">
        <v>220</v>
      </c>
      <c r="C2" s="17"/>
      <c r="D2" s="17"/>
      <c r="E2" s="17"/>
      <c r="F2" s="18">
        <v>0.01</v>
      </c>
      <c r="G2" s="7" t="str">
        <f>IF(C2="","不合格",IF(ROUND(ABS(AVERAGE(C2:E2)),4)&lt;ROUND(F2,4),"合格","不合格"))</f>
        <v>不合格</v>
      </c>
      <c r="H2" s="14"/>
    </row>
    <row r="3" spans="1:8">
      <c r="A3" s="15" t="s">
        <v>57</v>
      </c>
      <c r="B3" s="16">
        <v>360</v>
      </c>
      <c r="C3" s="17"/>
      <c r="D3" s="17"/>
      <c r="E3" s="17"/>
      <c r="F3" s="18">
        <v>0.05</v>
      </c>
      <c r="G3" s="7" t="str">
        <f>IF(C3="","不合格",IF(ROUND(ABS(AVERAGE(C3:E3)),4)&lt;ROUND(F3,4),"合格","不合格"))</f>
        <v>不合格</v>
      </c>
      <c r="H3" s="14"/>
    </row>
    <row r="4" spans="1:8">
      <c r="A4" s="14"/>
      <c r="B4" s="14"/>
      <c r="C4" s="19"/>
      <c r="D4" s="19"/>
      <c r="E4" s="19"/>
      <c r="F4" s="20"/>
      <c r="G4" s="14"/>
      <c r="H4" s="14"/>
    </row>
    <row r="5" spans="1:8">
      <c r="A5" s="21"/>
      <c r="B5" s="14"/>
      <c r="C5" s="19"/>
      <c r="D5" s="19"/>
      <c r="E5" s="19"/>
      <c r="F5" s="20"/>
      <c r="G5" s="14"/>
      <c r="H5" s="14"/>
    </row>
    <row r="6" spans="1:8">
      <c r="A6" s="14"/>
      <c r="B6" s="14"/>
      <c r="C6" s="19"/>
      <c r="D6" s="19"/>
      <c r="E6" s="19"/>
      <c r="F6" s="20"/>
      <c r="G6" s="14"/>
      <c r="H6" s="14"/>
    </row>
    <row r="7" spans="1:8">
      <c r="A7" s="14"/>
      <c r="B7" s="14"/>
      <c r="C7" s="19"/>
      <c r="D7" s="19"/>
      <c r="E7" s="19"/>
      <c r="F7" s="20"/>
      <c r="G7" s="14"/>
      <c r="H7" s="14"/>
    </row>
    <row r="8" spans="1:8">
      <c r="A8" s="14"/>
      <c r="B8" s="14"/>
      <c r="C8" s="19"/>
      <c r="D8" s="19"/>
      <c r="E8" s="19"/>
      <c r="F8" s="20"/>
      <c r="G8" s="14"/>
      <c r="H8" s="14"/>
    </row>
  </sheetData>
  <mergeCells count="1">
    <mergeCell ref="C1:E1"/>
  </mergeCells>
  <conditionalFormatting sqref="G2:G3">
    <cfRule type="cellIs" dxfId="0" priority="1" operator="equal">
      <formula>"不合格"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N21" sqref="N21"/>
    </sheetView>
  </sheetViews>
  <sheetFormatPr defaultColWidth="8.89166666666667" defaultRowHeight="13.5" outlineLevelRow="3" outlineLevelCol="3"/>
  <cols>
    <col min="1" max="1" width="13.1083333333333" customWidth="1"/>
    <col min="2" max="2" width="10.1083333333333" customWidth="1"/>
    <col min="3" max="3" width="11" customWidth="1"/>
    <col min="4" max="4" width="10.775" customWidth="1"/>
  </cols>
  <sheetData>
    <row r="1" ht="25.5" spans="1:4">
      <c r="A1" s="1" t="s">
        <v>182</v>
      </c>
      <c r="B1" s="2" t="s">
        <v>60</v>
      </c>
      <c r="C1" s="3" t="s">
        <v>309</v>
      </c>
      <c r="D1" s="1" t="s">
        <v>119</v>
      </c>
    </row>
    <row r="2" spans="1:4">
      <c r="A2" s="4" t="s">
        <v>58</v>
      </c>
      <c r="B2" s="5"/>
      <c r="C2" s="6">
        <v>0.0005</v>
      </c>
      <c r="D2" s="7" t="str">
        <f>IF(OR(B2="",(ABS(B2)&gt;C2)),"不合格","合格")</f>
        <v>不合格</v>
      </c>
    </row>
    <row r="3" spans="2:2">
      <c r="B3" s="8"/>
    </row>
    <row r="4" spans="2:2">
      <c r="B4" s="9"/>
    </row>
  </sheetData>
  <conditionalFormatting sqref="D2">
    <cfRule type="cellIs" dxfId="0" priority="1" operator="equal">
      <formula>"不合格"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Report</vt:lpstr>
      <vt:lpstr>基础信息</vt:lpstr>
      <vt:lpstr>测量结果表</vt:lpstr>
      <vt:lpstr>管理表</vt:lpstr>
      <vt:lpstr>对应信息</vt:lpstr>
      <vt:lpstr>检测项信息</vt:lpstr>
      <vt:lpstr>仪器状态</vt:lpstr>
      <vt:lpstr>样品池准确度与重复性校验</vt:lpstr>
      <vt:lpstr>标准值</vt:lpstr>
      <vt:lpstr>字段对应</vt:lpstr>
      <vt:lpstr>样品池重复性</vt:lpstr>
      <vt:lpstr>波长拟合</vt:lpstr>
      <vt:lpstr>能量扫描</vt:lpstr>
      <vt:lpstr>波长示值误差校验</vt:lpstr>
      <vt:lpstr>杂散光校验</vt:lpstr>
      <vt:lpstr>基线平直度检验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2006-09-16T00:00:00Z</dcterms:created>
  <dcterms:modified xsi:type="dcterms:W3CDTF">2025-01-08T06:48:26Z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86E952DB04CD4107886B6A0121A4A3E0_13</vt:lpwstr>
  </property>
  <property fmtid="{D5CDD505-2E9C-101B-9397-08002B2CF9AE}" pid="3" name="KSOProductBuildVer">
    <vt:lpwstr>2052-12.1.0.19302</vt:lpwstr>
  </property>
</Properties>
</file>